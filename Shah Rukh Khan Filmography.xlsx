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ilms" sheetId="2" state="visible" r:id="rId2"/>
    <sheet xmlns:r="http://schemas.openxmlformats.org/officeDocument/2006/relationships" name="Romances" sheetId="3" state="visible" r:id="rId3"/>
    <sheet xmlns:r="http://schemas.openxmlformats.org/officeDocument/2006/relationships" name="Collaborators" sheetId="4" state="visible" r:id="rId4"/>
    <sheet xmlns:r="http://schemas.openxmlformats.org/officeDocument/2006/relationships" name="Ensemble Cast" sheetId="5" state="visible" r:id="rId5"/>
    <sheet xmlns:r="http://schemas.openxmlformats.org/officeDocument/2006/relationships" name="Awards" sheetId="6" state="visible" r:id="rId6"/>
    <sheet xmlns:r="http://schemas.openxmlformats.org/officeDocument/2006/relationships" name="Sources" sheetId="7" state="visible" r:id="rId7"/>
  </sheets>
  <definedNames>
    <definedName name="_xlnm._FilterDatabase" localSheetId="1" hidden="1">'Films'!$A$1:$AT$98</definedName>
    <definedName name="_xlnm._FilterDatabase" localSheetId="2" hidden="1">'Romances'!$A$1:$AT$69</definedName>
    <definedName name="_xlnm._FilterDatabase" localSheetId="3" hidden="1">'Collaborators'!$A$1:$U$380</definedName>
    <definedName name="_xlnm._FilterDatabase" localSheetId="4" hidden="1">'Ensemble Cast'!$A$1:$M$504</definedName>
    <definedName name="_xlnm._FilterDatabase" localSheetId="5" hidden="1">'Awards'!$A$1:$M$292</definedName>
    <definedName name="_xlnm._FilterDatabase" localSheetId="6" hidden="1">'Sources'!$A$1:$M$345</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7">
    <font>
      <name val="Calibri"/>
      <family val="2"/>
      <color theme="1"/>
      <sz val="11"/>
      <scheme val="minor"/>
    </font>
    <font>
      <b val="1"/>
      <color rgb="00FFFFFF"/>
    </font>
    <font>
      <b val="1"/>
    </font>
    <font>
      <color rgb="000563C1"/>
      <u val="single"/>
    </font>
    <font>
      <b val="1"/>
      <color rgb="001F3A5F"/>
      <sz val="16"/>
    </font>
    <font>
      <i val="1"/>
      <color rgb="00555555"/>
    </font>
    <font>
      <b val="1"/>
      <color rgb="001F3A5F"/>
      <sz val="12"/>
    </font>
  </fonts>
  <fills count="6">
    <fill>
      <patternFill/>
    </fill>
    <fill>
      <patternFill patternType="gray125"/>
    </fill>
    <fill>
      <patternFill patternType="solid">
        <fgColor rgb="001F3A5F"/>
      </patternFill>
    </fill>
    <fill>
      <patternFill patternType="solid">
        <fgColor rgb="003B5E3F"/>
      </patternFill>
    </fill>
    <fill>
      <patternFill patternType="solid">
        <fgColor rgb="008A5A00"/>
      </patternFill>
    </fill>
    <fill>
      <patternFill patternType="solid">
        <fgColor rgb="00F3F7F0"/>
      </patternFill>
    </fill>
  </fills>
  <borders count="2">
    <border>
      <left/>
      <right/>
      <top/>
      <bottom/>
      <diagonal/>
    </border>
    <border>
      <bottom style="thin">
        <color rgb="00BFC5CC"/>
      </bottom>
    </border>
  </borders>
  <cellStyleXfs count="1">
    <xf numFmtId="0" fontId="0" fillId="0" borderId="0"/>
  </cellStyleXfs>
  <cellXfs count="23">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165" fontId="0" fillId="0" borderId="0" applyAlignment="1" pivotButton="0" quotePrefix="0" xfId="0">
      <alignment horizontal="left" vertical="top" wrapText="1"/>
    </xf>
    <xf numFmtId="1" fontId="0" fillId="0" borderId="0" applyAlignment="1" pivotButton="0" quotePrefix="0" xfId="0">
      <alignment horizontal="left" vertical="top" wrapText="1"/>
    </xf>
    <xf numFmtId="0" fontId="1" fillId="2" borderId="0" pivotButton="0" quotePrefix="0" xfId="0"/>
    <xf numFmtId="0" fontId="1" fillId="4" borderId="0" pivotButton="0" quotePrefix="0" xfId="0"/>
    <xf numFmtId="0" fontId="1" fillId="3"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0" applyAlignment="1" pivotButton="0" quotePrefix="0" xfId="0">
      <alignment horizontal="center" vertical="top" wrapText="1"/>
    </xf>
    <xf numFmtId="164" fontId="0" fillId="0" borderId="0" applyAlignment="1" pivotButton="0" quotePrefix="0" xfId="0">
      <alignment horizontal="right" vertical="top"/>
    </xf>
    <xf numFmtId="1" fontId="0" fillId="0" borderId="0" applyAlignment="1" pivotButton="0" quotePrefix="0" xfId="0">
      <alignment horizontal="center" vertical="top"/>
    </xf>
    <xf numFmtId="0" fontId="0" fillId="0" borderId="0" applyAlignment="1" pivotButton="0" quotePrefix="0" xfId="0">
      <alignment horizontal="center" vertical="top"/>
    </xf>
    <xf numFmtId="0" fontId="0" fillId="5" borderId="0" applyAlignment="1" pivotButton="0" quotePrefix="0" xfId="0">
      <alignment horizontal="left" vertical="top" wrapText="1"/>
    </xf>
    <xf numFmtId="0" fontId="0" fillId="0" borderId="0" applyAlignment="1" pivotButton="0" quotePrefix="0" xfId="0">
      <alignment horizontal="center" vertical="top" wrapText="1"/>
    </xf>
    <xf numFmtId="4" fontId="0" fillId="0" borderId="0" applyAlignment="1" pivotButton="0" quotePrefix="0" xfId="0">
      <alignment horizontal="right" vertical="top"/>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Lover-boy score by release year (per pairing)</a:t>
            </a:r>
          </a:p>
        </rich>
      </tx>
    </title>
    <plotArea>
      <scatterChart>
        <ser>
          <idx val="0"/>
          <order val="0"/>
          <tx>
            <v>Lover-boy score</v>
          </tx>
          <spPr>
            <a:ln xmlns:a="http://schemas.openxmlformats.org/drawingml/2006/main">
              <a:noFill/>
              <a:prstDash val="solid"/>
            </a:ln>
          </spPr>
          <marker>
            <symbol val="circle"/>
            <size val="7"/>
            <spPr>
              <a:ln xmlns:a="http://schemas.openxmlformats.org/drawingml/2006/main">
                <a:prstDash val="solid"/>
              </a:ln>
            </spPr>
          </marker>
          <xVal>
            <numRef>
              <f>'Romances'!$D$2:$D$69</f>
            </numRef>
          </xVal>
          <yVal>
            <numRef>
              <f>'Romances'!$V$2:$V$69</f>
            </numRef>
          </yVal>
        </ser>
        <axId val="10"/>
        <axId val="20"/>
      </scatterChart>
      <valAx>
        <axId val="10"/>
        <scaling>
          <orientation val="minMax"/>
          <max val="2024"/>
          <min val="1991"/>
        </scaling>
        <delete val="0"/>
        <axPos val="l"/>
        <majorGridlines/>
        <title>
          <tx>
            <rich>
              <a:bodyPr xmlns:a="http://schemas.openxmlformats.org/drawingml/2006/main"/>
              <a:p xmlns:a="http://schemas.openxmlformats.org/drawingml/2006/main">
                <a:pPr>
                  <a:defRPr/>
                </a:pPr>
                <a:r>
                  <a:t>Release year</a:t>
                </a:r>
              </a:p>
            </rich>
          </tx>
        </title>
        <majorTickMark val="none"/>
        <minorTickMark val="none"/>
        <crossAx val="20"/>
      </valAx>
      <valAx>
        <axId val="20"/>
        <scaling>
          <orientation val="minMax"/>
          <max val="10"/>
          <min val="0"/>
        </scaling>
        <delete val="0"/>
        <axPos val="l"/>
        <majorGridlines/>
        <title>
          <tx>
            <rich>
              <a:bodyPr xmlns:a="http://schemas.openxmlformats.org/drawingml/2006/main"/>
              <a:p xmlns:a="http://schemas.openxmlformats.org/drawingml/2006/main">
                <a:pPr>
                  <a:defRPr/>
                </a:pPr>
                <a:r>
                  <a:t>Lover-boy score</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Romantic co-star frequency</a:t>
            </a:r>
          </a:p>
        </rich>
      </tx>
    </title>
    <plotArea>
      <barChart>
        <barDir val="bar"/>
        <grouping val="clustered"/>
        <ser>
          <idx val="0"/>
          <order val="0"/>
          <tx>
            <strRef>
              <f>'Overview'!B49</f>
            </strRef>
          </tx>
          <spPr>
            <a:ln xmlns:a="http://schemas.openxmlformats.org/drawingml/2006/main">
              <a:prstDash val="solid"/>
            </a:ln>
          </spPr>
          <cat>
            <numRef>
              <f>'Overview'!$A$50:$A$59</f>
            </numRef>
          </cat>
          <val>
            <numRef>
              <f>'Overview'!$B$50:$B$59</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Pair friction vs external opposition</a:t>
            </a:r>
          </a:p>
        </rich>
      </tx>
    </title>
    <plotArea>
      <scatterChart>
        <ser>
          <idx val="0"/>
          <order val="0"/>
          <tx>
            <v>External opposition</v>
          </tx>
          <spPr>
            <a:ln xmlns:a="http://schemas.openxmlformats.org/drawingml/2006/main">
              <a:noFill/>
              <a:prstDash val="solid"/>
            </a:ln>
          </spPr>
          <marker>
            <symbol val="circle"/>
            <size val="7"/>
            <spPr>
              <a:ln xmlns:a="http://schemas.openxmlformats.org/drawingml/2006/main">
                <a:prstDash val="solid"/>
              </a:ln>
            </spPr>
          </marker>
          <xVal>
            <numRef>
              <f>'Romances'!$Q$2:$Q$69</f>
            </numRef>
          </xVal>
          <yVal>
            <numRef>
              <f>'Romances'!$S$2:$S$69</f>
            </numRef>
          </yVal>
        </ser>
        <axId val="10"/>
        <axId val="20"/>
      </scatterChart>
      <valAx>
        <axId val="10"/>
        <scaling>
          <orientation val="minMax"/>
          <max val="10"/>
          <min val="0"/>
        </scaling>
        <delete val="0"/>
        <axPos val="l"/>
        <majorGridlines/>
        <title>
          <tx>
            <rich>
              <a:bodyPr xmlns:a="http://schemas.openxmlformats.org/drawingml/2006/main"/>
              <a:p xmlns:a="http://schemas.openxmlformats.org/drawingml/2006/main">
                <a:pPr>
                  <a:defRPr/>
                </a:pPr>
                <a:r>
                  <a:t>Pair friction</a:t>
                </a:r>
              </a:p>
            </rich>
          </tx>
        </title>
        <majorTickMark val="none"/>
        <minorTickMark val="none"/>
        <crossAx val="20"/>
      </valAx>
      <valAx>
        <axId val="20"/>
        <scaling>
          <orientation val="minMax"/>
          <max val="10"/>
          <min val="0"/>
        </scaling>
        <delete val="0"/>
        <axPos val="l"/>
        <majorGridlines/>
        <title>
          <tx>
            <rich>
              <a:bodyPr xmlns:a="http://schemas.openxmlformats.org/drawingml/2006/main"/>
              <a:p xmlns:a="http://schemas.openxmlformats.org/drawingml/2006/main">
                <a:pPr>
                  <a:defRPr/>
                </a:pPr>
                <a:r>
                  <a:t>External opposition</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Average romance centrality by decade</a:t>
            </a:r>
          </a:p>
        </rich>
      </tx>
    </title>
    <plotArea>
      <barChart>
        <barDir val="col"/>
        <grouping val="clustered"/>
        <ser>
          <idx val="0"/>
          <order val="0"/>
          <tx>
            <strRef>
              <f>'Overview'!C62</f>
            </strRef>
          </tx>
          <spPr>
            <a:ln xmlns:a="http://schemas.openxmlformats.org/drawingml/2006/main">
              <a:prstDash val="solid"/>
            </a:ln>
          </spPr>
          <cat>
            <numRef>
              <f>'Overview'!$A$63:$A$66</f>
            </numRef>
          </cat>
          <val>
            <numRef>
              <f>'Overview'!$C$63:$C$66</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0"/>
          <min val="0"/>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6</col>
      <colOff>0</colOff>
      <row>3</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20</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37</row>
      <rowOff>0</rowOff>
    </from>
    <ext cx="57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54</row>
      <rowOff>0</rowOff>
    </from>
    <ext cx="576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hyperlink" Target="https://en.wikipedia.org/wiki/Shah_Rukh_Khan_filmography" TargetMode="External" Id="rId1"/><Relationship Type="http://schemas.openxmlformats.org/officeDocument/2006/relationships/hyperlink" Target="https://en.wikipedia.org/wiki/List_of_awards_and_nominations_received_by_Shah_Rukh_Khan" TargetMode="External" Id="rId2"/><Relationship Type="http://schemas.openxmlformats.org/officeDocument/2006/relationships/hyperlink" Target="https://en.wikipedia.org/wiki/Shah_Rukh_Khan" TargetMode="External" Id="rId3"/><Relationship Type="http://schemas.openxmlformats.org/officeDocument/2006/relationships/hyperlink" Target="https://en.wikipedia.org/wiki/Deewana_(1992_film)" TargetMode="External" Id="rId4"/><Relationship Type="http://schemas.openxmlformats.org/officeDocument/2006/relationships/hyperlink" Target="https://en.wikipedia.org/wiki/Chamatkar" TargetMode="External" Id="rId5"/><Relationship Type="http://schemas.openxmlformats.org/officeDocument/2006/relationships/hyperlink" Target="https://en.wikipedia.org/wiki/Raju_Ban_Gaya_Gentleman" TargetMode="External" Id="rId6"/><Relationship Type="http://schemas.openxmlformats.org/officeDocument/2006/relationships/hyperlink" Target="https://en.wikipedia.org/wiki/Dil_Aashna_Hai" TargetMode="External" Id="rId7"/><Relationship Type="http://schemas.openxmlformats.org/officeDocument/2006/relationships/hyperlink" Target="https://en.wikipedia.org/wiki/King_Uncle" TargetMode="External" Id="rId8"/><Relationship Type="http://schemas.openxmlformats.org/officeDocument/2006/relationships/hyperlink" Target="https://en.wikipedia.org/wiki/Maya_Memsaab" TargetMode="External" Id="rId9"/><Relationship Type="http://schemas.openxmlformats.org/officeDocument/2006/relationships/hyperlink" Target="https://en.wikipedia.org/wiki/Pehla_Nasha" TargetMode="External" Id="rId10"/><Relationship Type="http://schemas.openxmlformats.org/officeDocument/2006/relationships/hyperlink" Target="https://en.wikipedia.org/wiki/Baazigar" TargetMode="External" Id="rId11"/><Relationship Type="http://schemas.openxmlformats.org/officeDocument/2006/relationships/hyperlink" Target="https://en.wikipedia.org/wiki/Darr" TargetMode="External" Id="rId12"/><Relationship Type="http://schemas.openxmlformats.org/officeDocument/2006/relationships/hyperlink" Target="https://en.wikipedia.org/wiki/Kabhi_Haan_Kabhi_Naa" TargetMode="External" Id="rId13"/><Relationship Type="http://schemas.openxmlformats.org/officeDocument/2006/relationships/hyperlink" Target="https://en.wikipedia.org/wiki/Anjaam" TargetMode="External" Id="rId14"/><Relationship Type="http://schemas.openxmlformats.org/officeDocument/2006/relationships/hyperlink" Target="https://en.wikipedia.org/wiki/Karan_Arjun" TargetMode="External" Id="rId15"/><Relationship Type="http://schemas.openxmlformats.org/officeDocument/2006/relationships/hyperlink" Target="https://en.wikipedia.org/wiki/Zamaana_Deewana" TargetMode="External" Id="rId16"/><Relationship Type="http://schemas.openxmlformats.org/officeDocument/2006/relationships/hyperlink" Target="https://en.wikipedia.org/wiki/Guddu_(film)" TargetMode="External" Id="rId17"/><Relationship Type="http://schemas.openxmlformats.org/officeDocument/2006/relationships/hyperlink" Target="https://en.wikipedia.org/wiki/Oh_Darling!_Yeh_Hai_India!" TargetMode="External" Id="rId18"/><Relationship Type="http://schemas.openxmlformats.org/officeDocument/2006/relationships/hyperlink" Target="https://en.wikipedia.org/wiki/Dilwale_Dulhania_Le_Jayenge" TargetMode="External" Id="rId19"/><Relationship Type="http://schemas.openxmlformats.org/officeDocument/2006/relationships/hyperlink" Target="https://en.wikipedia.org/wiki/Ram_Jaane" TargetMode="External" Id="rId20"/><Relationship Type="http://schemas.openxmlformats.org/officeDocument/2006/relationships/hyperlink" Target="https://en.wikipedia.org/wiki/Trimurti_(1995_film)" TargetMode="External" Id="rId21"/><Relationship Type="http://schemas.openxmlformats.org/officeDocument/2006/relationships/hyperlink" Target="https://en.wikipedia.org/wiki/English_Babu_Desi_Mem" TargetMode="External" Id="rId22"/><Relationship Type="http://schemas.openxmlformats.org/officeDocument/2006/relationships/hyperlink" Target="https://en.wikipedia.org/wiki/Chaahat_(1996_film)" TargetMode="External" Id="rId23"/><Relationship Type="http://schemas.openxmlformats.org/officeDocument/2006/relationships/hyperlink" Target="https://en.wikipedia.org/wiki/Army_(1996_film)" TargetMode="External" Id="rId24"/><Relationship Type="http://schemas.openxmlformats.org/officeDocument/2006/relationships/hyperlink" Target="https://en.wikipedia.org/wiki/Dushman_Duniya_Ka" TargetMode="External" Id="rId25"/><Relationship Type="http://schemas.openxmlformats.org/officeDocument/2006/relationships/hyperlink" Target="https://en.wikipedia.org/wiki/Gudgudee" TargetMode="External" Id="rId26"/><Relationship Type="http://schemas.openxmlformats.org/officeDocument/2006/relationships/hyperlink" Target="https://en.wikipedia.org/wiki/Koyla" TargetMode="External" Id="rId27"/><Relationship Type="http://schemas.openxmlformats.org/officeDocument/2006/relationships/hyperlink" Target="https://en.wikipedia.org/wiki/Yes_Boss_(film)" TargetMode="External" Id="rId28"/><Relationship Type="http://schemas.openxmlformats.org/officeDocument/2006/relationships/hyperlink" Target="https://en.wikipedia.org/wiki/Pardes_(1997_film)" TargetMode="External" Id="rId29"/><Relationship Type="http://schemas.openxmlformats.org/officeDocument/2006/relationships/hyperlink" Target="https://en.wikipedia.org/wiki/Dil_To_Pagal_Hai" TargetMode="External" Id="rId30"/><Relationship Type="http://schemas.openxmlformats.org/officeDocument/2006/relationships/hyperlink" Target="https://en.wikipedia.org/wiki/Duplicate_(1998_film)" TargetMode="External" Id="rId31"/><Relationship Type="http://schemas.openxmlformats.org/officeDocument/2006/relationships/hyperlink" Target="https://en.wikipedia.org/wiki/Achanak_(1998_film)" TargetMode="External" Id="rId32"/><Relationship Type="http://schemas.openxmlformats.org/officeDocument/2006/relationships/hyperlink" Target="https://en.wikipedia.org/wiki/Dil_Se.." TargetMode="External" Id="rId33"/><Relationship Type="http://schemas.openxmlformats.org/officeDocument/2006/relationships/hyperlink" Target="https://en.wikipedia.org/wiki/Kuch_Kuch_Hota_Hai" TargetMode="External" Id="rId34"/><Relationship Type="http://schemas.openxmlformats.org/officeDocument/2006/relationships/hyperlink" Target="https://en.wikipedia.org/wiki/Baadshah_(1999_film)" TargetMode="External" Id="rId35"/><Relationship Type="http://schemas.openxmlformats.org/officeDocument/2006/relationships/hyperlink" Target="https://en.wikipedia.org/wiki/Phir_Bhi_Dil_Hai_Hindustani" TargetMode="External" Id="rId36"/><Relationship Type="http://schemas.openxmlformats.org/officeDocument/2006/relationships/hyperlink" Target="https://en.wikipedia.org/wiki/Hey_Ram" TargetMode="External" Id="rId37"/><Relationship Type="http://schemas.openxmlformats.org/officeDocument/2006/relationships/hyperlink" Target="https://en.wikipedia.org/wiki/Josh_(2000_film)" TargetMode="External" Id="rId38"/><Relationship Type="http://schemas.openxmlformats.org/officeDocument/2006/relationships/hyperlink" Target="https://en.wikipedia.org/wiki/Har_Dil_Jo_Pyar_Karega" TargetMode="External" Id="rId39"/><Relationship Type="http://schemas.openxmlformats.org/officeDocument/2006/relationships/hyperlink" Target="https://en.wikipedia.org/wiki/Mohabbatein" TargetMode="External" Id="rId40"/><Relationship Type="http://schemas.openxmlformats.org/officeDocument/2006/relationships/hyperlink" Target="https://en.wikipedia.org/wiki/Gaja_Gamini" TargetMode="External" Id="rId41"/><Relationship Type="http://schemas.openxmlformats.org/officeDocument/2006/relationships/hyperlink" Target="https://en.wikipedia.org/wiki/One_2_Ka_4" TargetMode="External" Id="rId42"/><Relationship Type="http://schemas.openxmlformats.org/officeDocument/2006/relationships/hyperlink" Target="https://en.wikipedia.org/wiki/Asoka_(2001_film)" TargetMode="External" Id="rId43"/><Relationship Type="http://schemas.openxmlformats.org/officeDocument/2006/relationships/hyperlink" Target="https://en.wikipedia.org/wiki/Kabhi_Khushi_Kabhie_Gham" TargetMode="External" Id="rId44"/><Relationship Type="http://schemas.openxmlformats.org/officeDocument/2006/relationships/hyperlink" Target="https://en.wikipedia.org/wiki/Hum_Tumhare_Hain_Sanam" TargetMode="External" Id="rId45"/><Relationship Type="http://schemas.openxmlformats.org/officeDocument/2006/relationships/hyperlink" Target="https://en.wikipedia.org/wiki/Devdas_(2002_Hindi_film)" TargetMode="External" Id="rId46"/><Relationship Type="http://schemas.openxmlformats.org/officeDocument/2006/relationships/hyperlink" Target="https://en.wikipedia.org/wiki/Shakti:_The_Power" TargetMode="External" Id="rId47"/><Relationship Type="http://schemas.openxmlformats.org/officeDocument/2006/relationships/hyperlink" Target="https://en.wikipedia.org/wiki/Saathiya_(film)" TargetMode="External" Id="rId48"/><Relationship Type="http://schemas.openxmlformats.org/officeDocument/2006/relationships/hyperlink" Target="https://en.wikipedia.org/wiki/Chalte_Chalte_(2003_film)" TargetMode="External" Id="rId49"/><Relationship Type="http://schemas.openxmlformats.org/officeDocument/2006/relationships/hyperlink" Target="https://en.wikipedia.org/wiki/Kal_Ho_Naa_Ho" TargetMode="External" Id="rId50"/><Relationship Type="http://schemas.openxmlformats.org/officeDocument/2006/relationships/hyperlink" Target="https://en.wikipedia.org/wiki/Yeh_Lamhe_Judaai_Ke" TargetMode="External" Id="rId51"/><Relationship Type="http://schemas.openxmlformats.org/officeDocument/2006/relationships/hyperlink" Target="https://en.wikipedia.org/wiki/Main_Hoon_Na" TargetMode="External" Id="rId52"/><Relationship Type="http://schemas.openxmlformats.org/officeDocument/2006/relationships/hyperlink" Target="https://en.wikipedia.org/wiki/Veer-Zaara" TargetMode="External" Id="rId53"/><Relationship Type="http://schemas.openxmlformats.org/officeDocument/2006/relationships/hyperlink" Target="https://en.wikipedia.org/wiki/Swades" TargetMode="External" Id="rId54"/><Relationship Type="http://schemas.openxmlformats.org/officeDocument/2006/relationships/hyperlink" Target="https://en.wikipedia.org/wiki/Kuchh_Meetha_Ho_Jaye" TargetMode="External" Id="rId55"/><Relationship Type="http://schemas.openxmlformats.org/officeDocument/2006/relationships/hyperlink" Target="https://en.wikipedia.org/wiki/Kaal_(2005_film)" TargetMode="External" Id="rId56"/><Relationship Type="http://schemas.openxmlformats.org/officeDocument/2006/relationships/hyperlink" Target="https://en.wikipedia.org/wiki/Silsiilay" TargetMode="External" Id="rId57"/><Relationship Type="http://schemas.openxmlformats.org/officeDocument/2006/relationships/hyperlink" Target="https://en.wikipedia.org/wiki/Paheli_(2005_film)" TargetMode="External" Id="rId58"/><Relationship Type="http://schemas.openxmlformats.org/officeDocument/2006/relationships/hyperlink" Target="https://en.wikipedia.org/wiki/Alag" TargetMode="External" Id="rId59"/><Relationship Type="http://schemas.openxmlformats.org/officeDocument/2006/relationships/hyperlink" Target="https://en.wikipedia.org/wiki/Kabhi_Alvida_Naa_Kehna" TargetMode="External" Id="rId60"/><Relationship Type="http://schemas.openxmlformats.org/officeDocument/2006/relationships/hyperlink" Target="https://en.wikipedia.org/wiki/Don_(2006_Hindi_film)" TargetMode="External" Id="rId61"/><Relationship Type="http://schemas.openxmlformats.org/officeDocument/2006/relationships/hyperlink" Target="https://en.wikipedia.org/wiki/I_See_You_(2006_film)" TargetMode="External" Id="rId62"/><Relationship Type="http://schemas.openxmlformats.org/officeDocument/2006/relationships/hyperlink" Target="https://en.wikipedia.org/wiki/Chak_De!_India" TargetMode="External" Id="rId63"/><Relationship Type="http://schemas.openxmlformats.org/officeDocument/2006/relationships/hyperlink" Target="https://en.wikipedia.org/wiki/Heyy_Babyy" TargetMode="External" Id="rId64"/><Relationship Type="http://schemas.openxmlformats.org/officeDocument/2006/relationships/hyperlink" Target="https://en.wikipedia.org/wiki/Om_Shanti_Om" TargetMode="External" Id="rId65"/><Relationship Type="http://schemas.openxmlformats.org/officeDocument/2006/relationships/hyperlink" Target="https://en.wikipedia.org/wiki/Shaurya" TargetMode="External" Id="rId66"/><Relationship Type="http://schemas.openxmlformats.org/officeDocument/2006/relationships/hyperlink" Target="https://en.wikipedia.org/wiki/Krazzy_4" TargetMode="External" Id="rId67"/><Relationship Type="http://schemas.openxmlformats.org/officeDocument/2006/relationships/hyperlink" Target="https://en.wikipedia.org/wiki/Bhoothnath" TargetMode="External" Id="rId68"/><Relationship Type="http://schemas.openxmlformats.org/officeDocument/2006/relationships/hyperlink" Target="https://en.wikipedia.org/wiki/Kismat_Konnection" TargetMode="External" Id="rId69"/><Relationship Type="http://schemas.openxmlformats.org/officeDocument/2006/relationships/hyperlink" Target="https://en.wikipedia.org/wiki/Rab_Ne_Bana_Di_Jodi" TargetMode="External" Id="rId70"/><Relationship Type="http://schemas.openxmlformats.org/officeDocument/2006/relationships/hyperlink" Target="https://en.wikipedia.org/wiki/Luck_by_Chance" TargetMode="External" Id="rId71"/><Relationship Type="http://schemas.openxmlformats.org/officeDocument/2006/relationships/hyperlink" Target="https://en.wikipedia.org/wiki/Billu_Barber" TargetMode="External" Id="rId72"/><Relationship Type="http://schemas.openxmlformats.org/officeDocument/2006/relationships/hyperlink" Target="https://en.wikipedia.org/wiki/Dulha_Mil_Gaya" TargetMode="External" Id="rId73"/><Relationship Type="http://schemas.openxmlformats.org/officeDocument/2006/relationships/hyperlink" Target="https://en.wikipedia.org/wiki/My_Name_Is_Khan" TargetMode="External" Id="rId74"/><Relationship Type="http://schemas.openxmlformats.org/officeDocument/2006/relationships/hyperlink" Target="https://en.wikipedia.org/wiki/Shahrukh_Bola_%22Khoobsurat_Hai_Tu%22" TargetMode="External" Id="rId75"/><Relationship Type="http://schemas.openxmlformats.org/officeDocument/2006/relationships/hyperlink" Target="https://en.wikipedia.org/wiki/Always_Kabhi_Kabhi" TargetMode="External" Id="rId76"/><Relationship Type="http://schemas.openxmlformats.org/officeDocument/2006/relationships/hyperlink" Target="https://en.wikipedia.org/wiki/Love_Breakups_Zindagi" TargetMode="External" Id="rId77"/><Relationship Type="http://schemas.openxmlformats.org/officeDocument/2006/relationships/hyperlink" Target="https://en.wikipedia.org/wiki/Ra.One" TargetMode="External" Id="rId78"/><Relationship Type="http://schemas.openxmlformats.org/officeDocument/2006/relationships/hyperlink" Target="https://en.wikipedia.org/wiki/Don_2" TargetMode="External" Id="rId79"/><Relationship Type="http://schemas.openxmlformats.org/officeDocument/2006/relationships/hyperlink" Target="https://en.wikipedia.org/wiki/Jab_Tak_Hai_Jaan" TargetMode="External" Id="rId80"/><Relationship Type="http://schemas.openxmlformats.org/officeDocument/2006/relationships/hyperlink" Target="https://en.wikipedia.org/wiki/Bombay_Talkies_(film)" TargetMode="External" Id="rId81"/><Relationship Type="http://schemas.openxmlformats.org/officeDocument/2006/relationships/hyperlink" Target="https://en.wikipedia.org/wiki/Chennai_Express" TargetMode="External" Id="rId82"/><Relationship Type="http://schemas.openxmlformats.org/officeDocument/2006/relationships/hyperlink" Target="https://en.wikipedia.org/wiki/Bhoothnath_Returns" TargetMode="External" Id="rId83"/><Relationship Type="http://schemas.openxmlformats.org/officeDocument/2006/relationships/hyperlink" Target="https://en.wikipedia.org/wiki/Happy_New_Year_(2014_film)" TargetMode="External" Id="rId84"/><Relationship Type="http://schemas.openxmlformats.org/officeDocument/2006/relationships/hyperlink" Target="https://en.wikipedia.org/wiki/Dilwale_(2015_film)" TargetMode="External" Id="rId85"/><Relationship Type="http://schemas.openxmlformats.org/officeDocument/2006/relationships/hyperlink" Target="https://en.wikipedia.org/wiki/Fan_(2016_film)" TargetMode="External" Id="rId86"/><Relationship Type="http://schemas.openxmlformats.org/officeDocument/2006/relationships/hyperlink" Target="https://en.wikipedia.org/wiki/Ae_Dil_Hai_Mushkil" TargetMode="External" Id="rId87"/><Relationship Type="http://schemas.openxmlformats.org/officeDocument/2006/relationships/hyperlink" Target="https://en.wikipedia.org/wiki/Dear_Zindagi" TargetMode="External" Id="rId88"/><Relationship Type="http://schemas.openxmlformats.org/officeDocument/2006/relationships/hyperlink" Target="https://en.wikipedia.org/wiki/Raees_(2017_film)" TargetMode="External" Id="rId89"/><Relationship Type="http://schemas.openxmlformats.org/officeDocument/2006/relationships/hyperlink" Target="https://en.wikipedia.org/wiki/Tubelight_(2017_Hindi_film)" TargetMode="External" Id="rId90"/><Relationship Type="http://schemas.openxmlformats.org/officeDocument/2006/relationships/hyperlink" Target="https://en.wikipedia.org/wiki/Jab_Harry_Met_Sejal" TargetMode="External" Id="rId91"/><Relationship Type="http://schemas.openxmlformats.org/officeDocument/2006/relationships/hyperlink" Target="https://en.wikipedia.org/wiki/Zero_(2018_film)" TargetMode="External" Id="rId92"/><Relationship Type="http://schemas.openxmlformats.org/officeDocument/2006/relationships/hyperlink" Target="https://en.wikipedia.org/wiki/The_Zoya_Factor_(film)" TargetMode="External" Id="rId93"/><Relationship Type="http://schemas.openxmlformats.org/officeDocument/2006/relationships/hyperlink" Target="https://en.wikipedia.org/wiki/Rocketry:_The_Nambi_Effect" TargetMode="External" Id="rId94"/><Relationship Type="http://schemas.openxmlformats.org/officeDocument/2006/relationships/hyperlink" Target="https://en.wikipedia.org/wiki/Laal_Singh_Chaddha" TargetMode="External" Id="rId95"/><Relationship Type="http://schemas.openxmlformats.org/officeDocument/2006/relationships/hyperlink" Target="https://en.wikipedia.org/wiki/Brahm%C4%81stra:_Part_One_%E2%80%93_Shiva" TargetMode="External" Id="rId96"/><Relationship Type="http://schemas.openxmlformats.org/officeDocument/2006/relationships/hyperlink" Target="https://en.wikipedia.org/wiki/Pathaan_(film)" TargetMode="External" Id="rId97"/><Relationship Type="http://schemas.openxmlformats.org/officeDocument/2006/relationships/hyperlink" Target="https://en.wikipedia.org/wiki/Jawan_(film)" TargetMode="External" Id="rId98"/><Relationship Type="http://schemas.openxmlformats.org/officeDocument/2006/relationships/hyperlink" Target="https://en.wikipedia.org/wiki/Tiger_3" TargetMode="External" Id="rId99"/><Relationship Type="http://schemas.openxmlformats.org/officeDocument/2006/relationships/hyperlink" Target="https://en.wikipedia.org/wiki/Dunki_(film)" TargetMode="External" Id="rId100"/><Relationship Type="http://schemas.openxmlformats.org/officeDocument/2006/relationships/hyperlink" Target="https://en.wikipedia.org/wiki/List_of_accolades_received_by_Dil_To_Pagal_Hai" TargetMode="External" Id="rId101"/><Relationship Type="http://schemas.openxmlformats.org/officeDocument/2006/relationships/hyperlink" Target="https://en.wikipedia.org/wiki/List_of_accolades_received_by_Mohabbatein" TargetMode="External" Id="rId102"/><Relationship Type="http://schemas.openxmlformats.org/officeDocument/2006/relationships/hyperlink" Target="https://en.wikipedia.org/wiki/List_of_accolades_received_by_Devdas_(2002_Hindi_film)" TargetMode="External" Id="rId103"/><Relationship Type="http://schemas.openxmlformats.org/officeDocument/2006/relationships/hyperlink" Target="https://en.wikipedia.org/wiki/List_of_accolades_received_by_Kal_Ho_Naa_Ho" TargetMode="External" Id="rId104"/><Relationship Type="http://schemas.openxmlformats.org/officeDocument/2006/relationships/hyperlink" Target="https://en.wikipedia.org/wiki/List_of_accolades_received_by_Veer-Zaara" TargetMode="External" Id="rId105"/><Relationship Type="http://schemas.openxmlformats.org/officeDocument/2006/relationships/hyperlink" Target="https://en.wikipedia.org/wiki/List_of_accolades_received_by_Kabhi_Alvida_Naa_Kehna" TargetMode="External" Id="rId106"/><Relationship Type="http://schemas.openxmlformats.org/officeDocument/2006/relationships/hyperlink" Target="https://en.wikipedia.org/wiki/List_of_accolades_received_by_Chak_De!_India" TargetMode="External" Id="rId107"/><Relationship Type="http://schemas.openxmlformats.org/officeDocument/2006/relationships/hyperlink" Target="https://en.wikipedia.org/wiki/List_of_accolades_received_by_My_Name_Is_Khan" TargetMode="External" Id="rId108"/><Relationship Type="http://schemas.openxmlformats.org/officeDocument/2006/relationships/hyperlink" Target="https://en.wikipedia.org/wiki/List_of_accolades_received_by_Ra.One" TargetMode="External" Id="rId109"/><Relationship Type="http://schemas.openxmlformats.org/officeDocument/2006/relationships/hyperlink" Target="https://en.wikipedia.org/wiki/List_of_accolades_received_by_Chennai_Express" TargetMode="External" Id="rId110"/><Relationship Type="http://schemas.openxmlformats.org/officeDocument/2006/relationships/hyperlink" Target="https://en.wikipedia.org/wiki/Nadeem%E2%80%93Shravan" TargetMode="External" Id="rId111"/><Relationship Type="http://schemas.openxmlformats.org/officeDocument/2006/relationships/hyperlink" Target="https://en.wikipedia.org/wiki/Raj_Kanwar" TargetMode="External" Id="rId112"/><Relationship Type="http://schemas.openxmlformats.org/officeDocument/2006/relationships/hyperlink" Target="https://en.wikipedia.org/wiki/Surinder_Sodhi" TargetMode="External" Id="rId113"/><Relationship Type="http://schemas.openxmlformats.org/officeDocument/2006/relationships/hyperlink" Target="https://en.wikipedia.org/wiki/Anu_Malik" TargetMode="External" Id="rId114"/><Relationship Type="http://schemas.openxmlformats.org/officeDocument/2006/relationships/hyperlink" Target="https://en.wikipedia.org/wiki/Vanraj_Bhatia" TargetMode="External" Id="rId115"/><Relationship Type="http://schemas.openxmlformats.org/officeDocument/2006/relationships/hyperlink" Target="https://en.wikipedia.org/wiki/Aziz_Mirza" TargetMode="External" Id="rId116"/><Relationship Type="http://schemas.openxmlformats.org/officeDocument/2006/relationships/hyperlink" Target="https://en.wikipedia.org/wiki/G._P._Sippy" TargetMode="External" Id="rId117"/><Relationship Type="http://schemas.openxmlformats.org/officeDocument/2006/relationships/hyperlink" Target="https://en.wikipedia.org/wiki/Jatin%E2%80%93Lalit" TargetMode="External" Id="rId118"/><Relationship Type="http://schemas.openxmlformats.org/officeDocument/2006/relationships/hyperlink" Target="https://en.wikipedia.org/wiki/Anand%E2%80%93Milind" TargetMode="External" Id="rId119"/><Relationship Type="http://schemas.openxmlformats.org/officeDocument/2006/relationships/hyperlink" Target="https://en.wikipedia.org/wiki/Rajesh_Roshan" TargetMode="External" Id="rId120"/><Relationship Type="http://schemas.openxmlformats.org/officeDocument/2006/relationships/hyperlink" Target="https://en.wikipedia.org/wiki/Rakesh_Roshan" TargetMode="External" Id="rId121"/><Relationship Type="http://schemas.openxmlformats.org/officeDocument/2006/relationships/hyperlink" Target="https://en.wikipedia.org/wiki/Ketan_Mehta" TargetMode="External" Id="rId122"/><Relationship Type="http://schemas.openxmlformats.org/officeDocument/2006/relationships/hyperlink" Target="https://en.wikipedia.org/wiki/Ashutosh_Gowariker" TargetMode="External" Id="rId123"/><Relationship Type="http://schemas.openxmlformats.org/officeDocument/2006/relationships/hyperlink" Target="https://en.wikipedia.org/wiki/Abbas%E2%80%93Mustan" TargetMode="External" Id="rId124"/><Relationship Type="http://schemas.openxmlformats.org/officeDocument/2006/relationships/hyperlink" Target="https://en.wikipedia.org/wiki/Javed_Siddiqui" TargetMode="External" Id="rId125"/><Relationship Type="http://schemas.openxmlformats.org/officeDocument/2006/relationships/hyperlink" Target="https://en.wikipedia.org/wiki/Robin_Bhatt" TargetMode="External" Id="rId126"/><Relationship Type="http://schemas.openxmlformats.org/officeDocument/2006/relationships/hyperlink" Target="https://en.wikipedia.org/wiki/Ishtar_Music" TargetMode="External" Id="rId127"/><Relationship Type="http://schemas.openxmlformats.org/officeDocument/2006/relationships/hyperlink" Target="https://en.wikipedia.org/wiki/Yash_Chopra" TargetMode="External" Id="rId128"/><Relationship Type="http://schemas.openxmlformats.org/officeDocument/2006/relationships/hyperlink" Target="https://en.wikipedia.org/wiki/Yash_Raj_Films" TargetMode="External" Id="rId129"/><Relationship Type="http://schemas.openxmlformats.org/officeDocument/2006/relationships/hyperlink" Target="https://en.wikipedia.org/wiki/Kundan_Shah" TargetMode="External" Id="rId130"/><Relationship Type="http://schemas.openxmlformats.org/officeDocument/2006/relationships/hyperlink" Target="https://en.wikipedia.org/wiki/Ramesh_Sippy" TargetMode="External" Id="rId131"/><Relationship Type="http://schemas.openxmlformats.org/officeDocument/2006/relationships/hyperlink" Target="https://en.wikipedia.org/wiki/Ranjit_Barot" TargetMode="External" Id="rId132"/><Relationship Type="http://schemas.openxmlformats.org/officeDocument/2006/relationships/hyperlink" Target="https://en.wikipedia.org/wiki/Aditya_Chopra" TargetMode="External" Id="rId133"/><Relationship Type="http://schemas.openxmlformats.org/officeDocument/2006/relationships/hyperlink" Target="https://en.wikipedia.org/wiki/Subhash_Ghai" TargetMode="External" Id="rId134"/><Relationship Type="http://schemas.openxmlformats.org/officeDocument/2006/relationships/hyperlink" Target="https://en.wikipedia.org/wiki/Nikhil%E2%80%93Vinay" TargetMode="External" Id="rId135"/><Relationship Type="http://schemas.openxmlformats.org/officeDocument/2006/relationships/hyperlink" Target="https://en.wikipedia.org/wiki/Mahesh_Bhatt" TargetMode="External" Id="rId136"/><Relationship Type="http://schemas.openxmlformats.org/officeDocument/2006/relationships/hyperlink" Target="https://en.wikipedia.org/wiki/Bappi_Lahiri" TargetMode="External" Id="rId137"/><Relationship Type="http://schemas.openxmlformats.org/officeDocument/2006/relationships/hyperlink" Target="https://en.wikipedia.org/wiki/Javed_Akhtar" TargetMode="External" Id="rId138"/><Relationship Type="http://schemas.openxmlformats.org/officeDocument/2006/relationships/hyperlink" Target="https://en.wikipedia.org/wiki/Uttam_Singh" TargetMode="External" Id="rId139"/><Relationship Type="http://schemas.openxmlformats.org/officeDocument/2006/relationships/hyperlink" Target="https://en.wikipedia.org/wiki/Dharma_Productions" TargetMode="External" Id="rId140"/><Relationship Type="http://schemas.openxmlformats.org/officeDocument/2006/relationships/hyperlink" Target="https://en.wikipedia.org/wiki/Yash_Johar" TargetMode="External" Id="rId141"/><Relationship Type="http://schemas.openxmlformats.org/officeDocument/2006/relationships/hyperlink" Target="https://en.wikipedia.org/wiki/A._R._Rahman" TargetMode="External" Id="rId142"/><Relationship Type="http://schemas.openxmlformats.org/officeDocument/2006/relationships/hyperlink" Target="https://en.wikipedia.org/wiki/Bharat_Shah" TargetMode="External" Id="rId143"/><Relationship Type="http://schemas.openxmlformats.org/officeDocument/2006/relationships/hyperlink" Target="https://en.wikipedia.org/wiki/Farah_Khan" TargetMode="External" Id="rId144"/><Relationship Type="http://schemas.openxmlformats.org/officeDocument/2006/relationships/hyperlink" Target="https://en.wikipedia.org/wiki/Mani_Ratnam" TargetMode="External" Id="rId145"/><Relationship Type="http://schemas.openxmlformats.org/officeDocument/2006/relationships/hyperlink" Target="https://en.wikipedia.org/wiki/Santosh_Sivan" TargetMode="External" Id="rId146"/><Relationship Type="http://schemas.openxmlformats.org/officeDocument/2006/relationships/hyperlink" Target="https://en.wikipedia.org/wiki/Karan_Johar" TargetMode="External" Id="rId147"/><Relationship Type="http://schemas.openxmlformats.org/officeDocument/2006/relationships/hyperlink" Target="https://en.wikipedia.org/wiki/Red_Chillies_Entertainment" TargetMode="External" Id="rId148"/><Relationship Type="http://schemas.openxmlformats.org/officeDocument/2006/relationships/hyperlink" Target="https://en.wikipedia.org/wiki/Kamal_Haasan" TargetMode="External" Id="rId149"/><Relationship Type="http://schemas.openxmlformats.org/officeDocument/2006/relationships/hyperlink" Target="https://en.wikipedia.org/wiki/Mansoor_Khan" TargetMode="External" Id="rId150"/><Relationship Type="http://schemas.openxmlformats.org/officeDocument/2006/relationships/hyperlink" Target="https://en.wikipedia.org/wiki/Priyadarshan" TargetMode="External" Id="rId151"/><Relationship Type="http://schemas.openxmlformats.org/officeDocument/2006/relationships/hyperlink" Target="https://en.wikipedia.org/wiki/Sajid_Nadiadwala" TargetMode="External" Id="rId152"/><Relationship Type="http://schemas.openxmlformats.org/officeDocument/2006/relationships/hyperlink" Target="https://en.wikipedia.org/wiki/Sandeep_Chowta" TargetMode="External" Id="rId153"/><Relationship Type="http://schemas.openxmlformats.org/officeDocument/2006/relationships/hyperlink" Target="https://en.wikipedia.org/wiki/Aadesh_Shrivastava" TargetMode="External" Id="rId154"/><Relationship Type="http://schemas.openxmlformats.org/officeDocument/2006/relationships/hyperlink" Target="https://en.wikipedia.org/wiki/Sajid%E2%80%93Wajid" TargetMode="External" Id="rId155"/><Relationship Type="http://schemas.openxmlformats.org/officeDocument/2006/relationships/hyperlink" Target="https://en.wikipedia.org/wiki/Ismail_Darbar" TargetMode="External" Id="rId156"/><Relationship Type="http://schemas.openxmlformats.org/officeDocument/2006/relationships/hyperlink" Target="https://en.wikipedia.org/wiki/Monty_Sharma" TargetMode="External" Id="rId157"/><Relationship Type="http://schemas.openxmlformats.org/officeDocument/2006/relationships/hyperlink" Target="https://en.wikipedia.org/wiki/Sanjay_Leela_Bhansali" TargetMode="External" Id="rId158"/><Relationship Type="http://schemas.openxmlformats.org/officeDocument/2006/relationships/hyperlink" Target="https://en.wikipedia.org/wiki/Nikkhil_Advani" TargetMode="External" Id="rId159"/><Relationship Type="http://schemas.openxmlformats.org/officeDocument/2006/relationships/hyperlink" Target="https://en.wikipedia.org/wiki/Niranjan_Iyengar" TargetMode="External" Id="rId160"/><Relationship Type="http://schemas.openxmlformats.org/officeDocument/2006/relationships/hyperlink" Target="https://en.wikipedia.org/wiki/Shankar%E2%80%93Ehsaan%E2%80%93Loy" TargetMode="External" Id="rId161"/><Relationship Type="http://schemas.openxmlformats.org/officeDocument/2006/relationships/hyperlink" Target="https://en.wikipedia.org/wiki/Gauri_Khan" TargetMode="External" Id="rId162"/><Relationship Type="http://schemas.openxmlformats.org/officeDocument/2006/relationships/hyperlink" Target="https://en.wikipedia.org/wiki/UTV_Motion_Pictures" TargetMode="External" Id="rId163"/><Relationship Type="http://schemas.openxmlformats.org/officeDocument/2006/relationships/hyperlink" Target="https://en.wikipedia.org/wiki/Himesh_Reshammiya" TargetMode="External" Id="rId164"/><Relationship Type="http://schemas.openxmlformats.org/officeDocument/2006/relationships/hyperlink" Target="https://en.wikipedia.org/wiki/Salim%E2%80%93Sulaiman" TargetMode="External" Id="rId165"/><Relationship Type="http://schemas.openxmlformats.org/officeDocument/2006/relationships/hyperlink" Target="https://en.wikipedia.org/wiki/Amol_Palekar" TargetMode="External" Id="rId166"/><Relationship Type="http://schemas.openxmlformats.org/officeDocument/2006/relationships/hyperlink" Target="https://en.wikipedia.org/wiki/Excel_Entertainment" TargetMode="External" Id="rId167"/><Relationship Type="http://schemas.openxmlformats.org/officeDocument/2006/relationships/hyperlink" Target="https://en.wikipedia.org/wiki/Ritesh_Sidhwani" TargetMode="External" Id="rId168"/><Relationship Type="http://schemas.openxmlformats.org/officeDocument/2006/relationships/hyperlink" Target="https://en.wikipedia.org/wiki/Farhan_Akhtar" TargetMode="External" Id="rId169"/><Relationship Type="http://schemas.openxmlformats.org/officeDocument/2006/relationships/hyperlink" Target="https://en.wikipedia.org/wiki/Vishal%E2%80%93Shekhar" TargetMode="External" Id="rId170"/><Relationship Type="http://schemas.openxmlformats.org/officeDocument/2006/relationships/hyperlink" Target="https://en.wikipedia.org/wiki/Shimit_Amin" TargetMode="External" Id="rId171"/><Relationship Type="http://schemas.openxmlformats.org/officeDocument/2006/relationships/hyperlink" Target="https://en.wikipedia.org/wiki/B._R._Chopra" TargetMode="External" Id="rId172"/><Relationship Type="http://schemas.openxmlformats.org/officeDocument/2006/relationships/hyperlink" Target="https://en.wikipedia.org/wiki/Pritam" TargetMode="External" Id="rId173"/><Relationship Type="http://schemas.openxmlformats.org/officeDocument/2006/relationships/hyperlink" Target="https://en.wikipedia.org/wiki/Zoya_Akhtar" TargetMode="External" Id="rId174"/><Relationship Type="http://schemas.openxmlformats.org/officeDocument/2006/relationships/hyperlink" Target="https://en.wikipedia.org/wiki/Star_Studio18" TargetMode="External" Id="rId175"/><Relationship Type="http://schemas.openxmlformats.org/officeDocument/2006/relationships/hyperlink" Target="https://en.wikipedia.org/wiki/Amit_Trivedi" TargetMode="External" Id="rId176"/><Relationship Type="http://schemas.openxmlformats.org/officeDocument/2006/relationships/hyperlink" Target="https://en.wikipedia.org/wiki/Amar_Mohile" TargetMode="External" Id="rId177"/><Relationship Type="http://schemas.openxmlformats.org/officeDocument/2006/relationships/hyperlink" Target="https://en.wikipedia.org/wiki/Rohit_Shetty" TargetMode="External" Id="rId178"/><Relationship Type="http://schemas.openxmlformats.org/officeDocument/2006/relationships/hyperlink" Target="https://en.wikipedia.org/wiki/Ram_Sampath" TargetMode="External" Id="rId179"/><Relationship Type="http://schemas.openxmlformats.org/officeDocument/2006/relationships/hyperlink" Target="https://en.wikipedia.org/wiki/Maneesh_Sharma" TargetMode="External" Id="rId180"/><Relationship Type="http://schemas.openxmlformats.org/officeDocument/2006/relationships/hyperlink" Target="https://en.wikipedia.org/wiki/Gauri_Shinde" TargetMode="External" Id="rId181"/><Relationship Type="http://schemas.openxmlformats.org/officeDocument/2006/relationships/hyperlink" Target="https://en.wikipedia.org/wiki/Imtiaz_Ali_(director)" TargetMode="External" Id="rId182"/><Relationship Type="http://schemas.openxmlformats.org/officeDocument/2006/relationships/hyperlink" Target="https://en.wikipedia.org/wiki/Aanand_L._Rai" TargetMode="External" Id="rId183"/><Relationship Type="http://schemas.openxmlformats.org/officeDocument/2006/relationships/hyperlink" Target="https://en.wikipedia.org/wiki/Siddharth_Anand" TargetMode="External" Id="rId184"/><Relationship Type="http://schemas.openxmlformats.org/officeDocument/2006/relationships/hyperlink" Target="https://en.wikipedia.org/wiki/Atlee_(director)" TargetMode="External" Id="rId185"/><Relationship Type="http://schemas.openxmlformats.org/officeDocument/2006/relationships/hyperlink" Target="https://en.wikipedia.org/wiki/Rajkumar_Hirani" TargetMode="External" Id="rId186"/><Relationship Type="http://schemas.openxmlformats.org/officeDocument/2006/relationships/hyperlink" Target="https://en.wikipedia.org/wiki/Akash_Khurana" TargetMode="External" Id="rId187"/><Relationship Type="http://schemas.openxmlformats.org/officeDocument/2006/relationships/hyperlink" Target="https://en.wikipedia.org/wiki/Champak_Jain" TargetMode="External" Id="rId188"/><Relationship Type="http://schemas.openxmlformats.org/officeDocument/2006/relationships/hyperlink" Target="https://en.wikipedia.org/wiki/Ganesh_Jain" TargetMode="External" Id="rId189"/><Relationship Type="http://schemas.openxmlformats.org/officeDocument/2006/relationships/hyperlink" Target="https://en.wikipedia.org/wiki/Juhi_Chawla" TargetMode="External" Id="rId190"/><Relationship Type="http://schemas.openxmlformats.org/officeDocument/2006/relationships/hyperlink" Target="https://en.wikipedia.org/wiki/Mushtaq_Shiekh" TargetMode="External" Id="rId191"/><Relationship Type="http://schemas.openxmlformats.org/officeDocument/2006/relationships/hyperlink" Target="https://en.wikipedia.org/wiki/Neeraj_Vora" TargetMode="External" Id="rId192"/><Relationship Type="http://schemas.openxmlformats.org/officeDocument/2006/relationships/hyperlink" Target="https://en.wikipedia.org/wiki/Sachin_Bhowmick" TargetMode="External" Id="rId193"/><Relationship Type="http://schemas.openxmlformats.org/officeDocument/2006/relationships/hyperlink" Target="https://en.wikipedia.org/wiki/Sanjay_Chhel" TargetMode="External" Id="rId194"/><Relationship Type="http://schemas.openxmlformats.org/officeDocument/2006/relationships/hyperlink" Target="https://en.wikipedia.org/wiki/Abbas_Tyrewala" TargetMode="External" Id="rId195"/><Relationship Type="http://schemas.openxmlformats.org/officeDocument/2006/relationships/hyperlink" Target="https://en.wikipedia.org/wiki/Anees_Bazmee" TargetMode="External" Id="rId196"/><Relationship Type="http://schemas.openxmlformats.org/officeDocument/2006/relationships/hyperlink" Target="https://en.wikipedia.org/wiki/K._Subash" TargetMode="External" Id="rId197"/><Relationship Type="http://schemas.openxmlformats.org/officeDocument/2006/relationships/hyperlink" Target="https://en.wikipedia.org/wiki/Kanika_Dhillon" TargetMode="External" Id="rId198"/><Relationship Type="http://schemas.openxmlformats.org/officeDocument/2006/relationships/hyperlink" Target="https://en.wikipedia.org/wiki/Mukta_Arts" TargetMode="External" Id="rId199"/><Relationship Type="http://schemas.openxmlformats.org/officeDocument/2006/relationships/hyperlink" Target="https://en.wikipedia.org/wiki/Mukul_S._Anand" TargetMode="External" Id="rId200"/><Relationship Type="http://schemas.openxmlformats.org/officeDocument/2006/relationships/hyperlink" Target="https://en.wikipedia.org/wiki/Rumi_Jaffery" TargetMode="External" Id="rId201"/><Relationship Type="http://schemas.openxmlformats.org/officeDocument/2006/relationships/hyperlink" Target="https://en.wikipedia.org/wiki/Shibani_Bathija" TargetMode="External" Id="rId202"/><Relationship Type="http://schemas.openxmlformats.org/officeDocument/2006/relationships/hyperlink" Target="https://en.wikipedia.org/wiki/Shridhar_Raghavan" TargetMode="External" Id="rId203"/><Relationship Type="http://schemas.openxmlformats.org/officeDocument/2006/relationships/hyperlink" Target="https://en.wikipedia.org/wiki/Viveck_Vaswani" TargetMode="External" Id="rId204"/><Relationship Type="http://schemas.openxmlformats.org/officeDocument/2006/relationships/hyperlink" Target="https://en.wikipedia.org/wiki/Aamir_Khan" TargetMode="External" Id="rId205"/><Relationship Type="http://schemas.openxmlformats.org/officeDocument/2006/relationships/hyperlink" Target="https://en.wikipedia.org/wiki/Abhijat_Joshi" TargetMode="External" Id="rId206"/><Relationship Type="http://schemas.openxmlformats.org/officeDocument/2006/relationships/hyperlink" Target="https://en.wikipedia.org/wiki/Abhishek_Sharma_(director)" TargetMode="External" Id="rId207"/><Relationship Type="http://schemas.openxmlformats.org/officeDocument/2006/relationships/hyperlink" Target="https://en.wikipedia.org/wiki/Abrar_Alvi" TargetMode="External" Id="rId208"/><Relationship Type="http://schemas.openxmlformats.org/officeDocument/2006/relationships/hyperlink" Target="https://en.wikipedia.org/wiki/Reliance_MediaWorks" TargetMode="External" Id="rId209"/><Relationship Type="http://schemas.openxmlformats.org/officeDocument/2006/relationships/hyperlink" Target="https://en.wikipedia.org/wiki/Adnan_Sami" TargetMode="External" Id="rId210"/><Relationship Type="http://schemas.openxmlformats.org/officeDocument/2006/relationships/hyperlink" Target="https://en.wikipedia.org/wiki/Advait_Chandan" TargetMode="External" Id="rId211"/><Relationship Type="http://schemas.openxmlformats.org/officeDocument/2006/relationships/hyperlink" Target="https://en.wikipedia.org/wiki/Ajay-Atul" TargetMode="External" Id="rId212"/><Relationship Type="http://schemas.openxmlformats.org/officeDocument/2006/relationships/hyperlink" Target="https://en.wikipedia.org/wiki/Ajit_Andhare" TargetMode="External" Id="rId213"/><Relationship Type="http://schemas.openxmlformats.org/officeDocument/2006/relationships/hyperlink" Target="https://en.wikipedia.org/wiki/Alejandro_G%C3%B3mez_Monteverde" TargetMode="External" Id="rId214"/><Relationship Type="http://schemas.openxmlformats.org/officeDocument/2006/relationships/hyperlink" Target="https://en.wikipedia.org/wiki/Amar_Haldipur" TargetMode="External" Id="rId215"/><Relationship Type="http://schemas.openxmlformats.org/officeDocument/2006/relationships/hyperlink" Target="https://en.wikipedia.org/wiki/Anand_Raaj_Anand" TargetMode="External" Id="rId216"/><Relationship Type="http://schemas.openxmlformats.org/officeDocument/2006/relationships/hyperlink" Target="https://en.wikipedia.org/wiki/Andrea_Guerra_(composer)" TargetMode="External" Id="rId217"/><Relationship Type="http://schemas.openxmlformats.org/officeDocument/2006/relationships/hyperlink" Target="https://en.wikipedia.org/wiki/Anirudh_Ravichander" TargetMode="External" Id="rId218"/><Relationship Type="http://schemas.openxmlformats.org/officeDocument/2006/relationships/hyperlink" Target="https://en.wikipedia.org/wiki/Sanchit_Balhara_and_Ankit_Balhara" TargetMode="External" Id="rId219"/><Relationship Type="http://schemas.openxmlformats.org/officeDocument/2006/relationships/hyperlink" Target="https://en.wikipedia.org/wiki/Anubhav_Sinha" TargetMode="External" Id="rId220"/><Relationship Type="http://schemas.openxmlformats.org/officeDocument/2006/relationships/hyperlink" Target="https://en.wikipedia.org/wiki/Anuja_Chauhan" TargetMode="External" Id="rId221"/><Relationship Type="http://schemas.openxmlformats.org/officeDocument/2006/relationships/hyperlink" Target="https://en.wikipedia.org/wiki/Anurag_Kashyap" TargetMode="External" Id="rId222"/><Relationship Type="http://schemas.openxmlformats.org/officeDocument/2006/relationships/hyperlink" Target="https://en.wikipedia.org/wiki/Ashu_Trikha" TargetMode="External" Id="rId223"/><Relationship Type="http://schemas.openxmlformats.org/officeDocument/2006/relationships/hyperlink" Target="https://en.wikipedia.org/wiki/Ashwni_Dhir" TargetMode="External" Id="rId224"/><Relationship Type="http://schemas.openxmlformats.org/officeDocument/2006/relationships/hyperlink" Target="https://en.wikipedia.org/wiki/Atul_Kulkarni" TargetMode="External" Id="rId225"/><Relationship Type="http://schemas.openxmlformats.org/officeDocument/2006/relationships/hyperlink" Target="https://en.wikipedia.org/wiki/Ayan_Mukerji" TargetMode="External" Id="rId226"/><Relationship Type="http://schemas.openxmlformats.org/officeDocument/2006/relationships/hyperlink" Target="https://en.wikipedia.org/wiki/Bali_Brahmbhatt" TargetMode="External" Id="rId227"/><Relationship Type="http://schemas.openxmlformats.org/officeDocument/2006/relationships/hyperlink" Target="https://en.wikipedia.org/wiki/Basu_Chatterjee" TargetMode="External" Id="rId228"/><Relationship Type="http://schemas.openxmlformats.org/officeDocument/2006/relationships/hyperlink" Target="https://en.wikipedia.org/wiki/Bhupen_Hazarika" TargetMode="External" Id="rId229"/><Relationship Type="http://schemas.openxmlformats.org/officeDocument/2006/relationships/hyperlink" Target="https://en.wikipedia.org/wiki/Bhushan_Kumar" TargetMode="External" Id="rId230"/><Relationship Type="http://schemas.openxmlformats.org/officeDocument/2006/relationships/hyperlink" Target="https://en.wikipedia.org/wiki/Birju_Maharaj" TargetMode="External" Id="rId231"/><Relationship Type="http://schemas.openxmlformats.org/officeDocument/2006/relationships/hyperlink" Target="https://en.wikipedia.org/wiki/Kaleidoscope_Entertainment" TargetMode="External" Id="rId232"/><Relationship Type="http://schemas.openxmlformats.org/officeDocument/2006/relationships/hyperlink" Target="https://en.wikipedia.org/wiki/Boney_Kapoor" TargetMode="External" Id="rId233"/><Relationship Type="http://schemas.openxmlformats.org/officeDocument/2006/relationships/hyperlink" Target="https://en.wikipedia.org/wiki/Dia_Mirza" TargetMode="External" Id="rId234"/><Relationship Type="http://schemas.openxmlformats.org/officeDocument/2006/relationships/hyperlink" Target="https://en.wikipedia.org/wiki/Chandrahasan" TargetMode="External" Id="rId235"/><Relationship Type="http://schemas.openxmlformats.org/officeDocument/2006/relationships/hyperlink" Target="https://en.wikipedia.org/wiki/Clinton_Cerejo" TargetMode="External" Id="rId236"/><Relationship Type="http://schemas.openxmlformats.org/officeDocument/2006/relationships/hyperlink" Target="https://en.wikipedia.org/wiki/Colour_Yellow_Productions" TargetMode="External" Id="rId237"/><Relationship Type="http://schemas.openxmlformats.org/officeDocument/2006/relationships/hyperlink" Target="https://en.wikipedia.org/wiki/Daboo_Malik" TargetMode="External" Id="rId238"/><Relationship Type="http://schemas.openxmlformats.org/officeDocument/2006/relationships/hyperlink" Target="https://en.wikipedia.org/wiki/Deepa_Sahi" TargetMode="External" Id="rId239"/><Relationship Type="http://schemas.openxmlformats.org/officeDocument/2006/relationships/hyperlink" Target="https://en.wikipedia.org/wiki/Devika_Bhagat" TargetMode="External" Id="rId240"/><Relationship Type="http://schemas.openxmlformats.org/officeDocument/2006/relationships/hyperlink" Target="https://en.wikipedia.org/wiki/Dibakar_Banerjee" TargetMode="External" Id="rId241"/><Relationship Type="http://schemas.openxmlformats.org/officeDocument/2006/relationships/hyperlink" Target="https://en.wikipedia.org/wiki/Diplo" TargetMode="External" Id="rId242"/><Relationship Type="http://schemas.openxmlformats.org/officeDocument/2006/relationships/hyperlink" Target="https://en.wikipedia.org/wiki/Searchlight_Pictures" TargetMode="External" Id="rId243"/><Relationship Type="http://schemas.openxmlformats.org/officeDocument/2006/relationships/hyperlink" Target="https://en.wikipedia.org/wiki/Gautam_Rajadhyaksha" TargetMode="External" Id="rId244"/><Relationship Type="http://schemas.openxmlformats.org/officeDocument/2006/relationships/hyperlink" Target="https://en.wikipedia.org/wiki/Guddu_Dhanoa" TargetMode="External" Id="rId245"/><Relationship Type="http://schemas.openxmlformats.org/officeDocument/2006/relationships/hyperlink" Target="https://en.wikipedia.org/wiki/Habib_Faisal" TargetMode="External" Id="rId246"/><Relationship Type="http://schemas.openxmlformats.org/officeDocument/2006/relationships/hyperlink" Target="https://en.wikipedia.org/wiki/Hema_Malini" TargetMode="External" Id="rId247"/><Relationship Type="http://schemas.openxmlformats.org/officeDocument/2006/relationships/hyperlink" Target="https://en.wikipedia.org/wiki/Himanshu_Sharma" TargetMode="External" Id="rId248"/><Relationship Type="http://schemas.openxmlformats.org/officeDocument/2006/relationships/hyperlink" Target="https://en.wikipedia.org/wiki/Honey_Irani" TargetMode="External" Id="rId249"/><Relationship Type="http://schemas.openxmlformats.org/officeDocument/2006/relationships/hyperlink" Target="https://en.wikipedia.org/wiki/Hriday_Lani" TargetMode="External" Id="rId250"/><Relationship Type="http://schemas.openxmlformats.org/officeDocument/2006/relationships/hyperlink" Target="https://en.wikipedia.org/wiki/Hridaynath_Mangeshkar" TargetMode="External" Id="rId251"/><Relationship Type="http://schemas.openxmlformats.org/officeDocument/2006/relationships/hyperlink" Target="https://en.wikipedia.org/wiki/Hussain_Dalal" TargetMode="External" Id="rId252"/><Relationship Type="http://schemas.openxmlformats.org/officeDocument/2006/relationships/hyperlink" Target="https://en.wikipedia.org/wiki/Ilaiyaraaja" TargetMode="External" Id="rId253"/><Relationship Type="http://schemas.openxmlformats.org/officeDocument/2006/relationships/hyperlink" Target="https://en.wikipedia.org/wiki/Iqbal_Durrani" TargetMode="External" Id="rId254"/><Relationship Type="http://schemas.openxmlformats.org/officeDocument/2006/relationships/hyperlink" Target="https://en.wikipedia.org/wiki/Ishita_Moitra" TargetMode="External" Id="rId255"/><Relationship Type="http://schemas.openxmlformats.org/officeDocument/2006/relationships/hyperlink" Target="https://en.wikipedia.org/wiki/Jaideep_Sahni" TargetMode="External" Id="rId256"/><Relationship Type="http://schemas.openxmlformats.org/officeDocument/2006/relationships/hyperlink" Target="https://en.wikipedia.org/wiki/JAM8" TargetMode="External" Id="rId257"/><Relationship Type="http://schemas.openxmlformats.org/officeDocument/2006/relationships/hyperlink" Target="https://en.wikipedia.org/wiki/Julius_Packiam" TargetMode="External" Id="rId258"/><Relationship Type="http://schemas.openxmlformats.org/officeDocument/2006/relationships/hyperlink" Target="https://en.wikipedia.org/wiki/Jyoti_Deshpande" TargetMode="External" Id="rId259"/><Relationship Type="http://schemas.openxmlformats.org/officeDocument/2006/relationships/hyperlink" Target="https://en.wikipedia.org/wiki/K_Sera_Sera_Limited" TargetMode="External" Id="rId260"/><Relationship Type="http://schemas.openxmlformats.org/officeDocument/2006/relationships/hyperlink" Target="https://en.wikipedia.org/wiki/K._C._Bokadia" TargetMode="External" Id="rId261"/><Relationship Type="http://schemas.openxmlformats.org/officeDocument/2006/relationships/hyperlink" Target="https://en.wikipedia.org/wiki/K._S._Adhiyaman" TargetMode="External" Id="rId262"/><Relationship Type="http://schemas.openxmlformats.org/officeDocument/2006/relationships/hyperlink" Target="https://en.wikipedia.org/wiki/Kabir_Khan_(director)" TargetMode="External" Id="rId263"/><Relationship Type="http://schemas.openxmlformats.org/officeDocument/2006/relationships/hyperlink" Target="https://en.wikipedia.org/wiki/Kamna_Chandra" TargetMode="External" Id="rId264"/><Relationship Type="http://schemas.openxmlformats.org/officeDocument/2006/relationships/hyperlink" Target="https://en.wikipedia.org/wiki/Karan_Razdan" TargetMode="External" Id="rId265"/><Relationship Type="http://schemas.openxmlformats.org/officeDocument/2006/relationships/hyperlink" Target="https://en.wikipedia.org/wiki/Karim_Morani" TargetMode="External" Id="rId266"/><Relationship Type="http://schemas.openxmlformats.org/officeDocument/2006/relationships/hyperlink" Target="https://en.wikipedia.org/wiki/Khalid_Mohamed" TargetMode="External" Id="rId267"/><Relationship Type="http://schemas.openxmlformats.org/officeDocument/2006/relationships/hyperlink" Target="https://en.wikipedia.org/wiki/Kiran_Rao" TargetMode="External" Id="rId268"/><Relationship Type="http://schemas.openxmlformats.org/officeDocument/2006/relationships/hyperlink" Target="https://en.wikipedia.org/wiki/Koti_(composer)" TargetMode="External" Id="rId269"/><Relationship Type="http://schemas.openxmlformats.org/officeDocument/2006/relationships/hyperlink" Target="https://en.wikipedia.org/wiki/Krishan_Kumar_(actor)" TargetMode="External" Id="rId270"/><Relationship Type="http://schemas.openxmlformats.org/officeDocument/2006/relationships/hyperlink" Target="https://en.wikipedia.org/wiki/Krishna_Vamsi" TargetMode="External" Id="rId271"/><Relationship Type="http://schemas.openxmlformats.org/officeDocument/2006/relationships/hyperlink" Target="https://en.wikipedia.org/wiki/Laxmikant%E2%80%93Pyarelal" TargetMode="External" Id="rId272"/><Relationship Type="http://schemas.openxmlformats.org/officeDocument/2006/relationships/hyperlink" Target="https://en.wikipedia.org/wiki/Louis_Banks" TargetMode="External" Id="rId273"/><Relationship Type="http://schemas.openxmlformats.org/officeDocument/2006/relationships/hyperlink" Target="https://en.wikipedia.org/wiki/M._F._Husain" TargetMode="External" Id="rId274"/><Relationship Type="http://schemas.openxmlformats.org/officeDocument/2006/relationships/hyperlink" Target="https://en.wikipedia.org/wiki/M._M._Keeravani" TargetMode="External" Id="rId275"/><Relationship Type="http://schemas.openxmlformats.org/officeDocument/2006/relationships/hyperlink" Target="https://en.wikipedia.org/wiki/Madan_Mohan_(composer)" TargetMode="External" Id="rId276"/><Relationship Type="http://schemas.openxmlformats.org/officeDocument/2006/relationships/hyperlink" Target="https://en.wikipedia.org/wiki/Madras_Talkies" TargetMode="External" Id="rId277"/><Relationship Type="http://schemas.openxmlformats.org/officeDocument/2006/relationships/hyperlink" Target="https://en.wikipedia.org/wiki/Makarand_Deshpande" TargetMode="External" Id="rId278"/><Relationship Type="http://schemas.openxmlformats.org/officeDocument/2006/relationships/hyperlink" Target="https://en.wikipedia.org/wiki/Mani_Sharma" TargetMode="External" Id="rId279"/><Relationship Type="http://schemas.openxmlformats.org/officeDocument/2006/relationships/hyperlink" Target="https://en.wikipedia.org/wiki/Manohar_Shyam_Joshi" TargetMode="External" Id="rId280"/><Relationship Type="http://schemas.openxmlformats.org/officeDocument/2006/relationships/hyperlink" Target="https://en.wikipedia.org/wiki/Mayur_Puri" TargetMode="External" Id="rId281"/><Relationship Type="http://schemas.openxmlformats.org/officeDocument/2006/relationships/hyperlink" Target="https://en.wikipedia.org/wiki/Meet_Bros" TargetMode="External" Id="rId282"/><Relationship Type="http://schemas.openxmlformats.org/officeDocument/2006/relationships/hyperlink" Target="https://en.wikipedia.org/wiki/Mehmood_(actor)" TargetMode="External" Id="rId283"/><Relationship Type="http://schemas.openxmlformats.org/officeDocument/2006/relationships/hyperlink" Target="https://en.wikipedia.org/wiki/Mehr_Jesia" TargetMode="External" Id="rId284"/><Relationship Type="http://schemas.openxmlformats.org/officeDocument/2006/relationships/hyperlink" Target="https://en.wikipedia.org/wiki/Milap_Zaveri" TargetMode="External" Id="rId285"/><Relationship Type="http://schemas.openxmlformats.org/officeDocument/2006/relationships/hyperlink" Target="https://en.wikipedia.org/wiki/Moser_Baer" TargetMode="External" Id="rId286"/><Relationship Type="http://schemas.openxmlformats.org/officeDocument/2006/relationships/hyperlink" Target="https://en.wikipedia.org/wiki/Mudassar_Aziz" TargetMode="External" Id="rId287"/><Relationship Type="http://schemas.openxmlformats.org/officeDocument/2006/relationships/hyperlink" Target="https://en.wikipedia.org/wiki/Nadiadwala_Grandson_Entertainment" TargetMode="External" Id="rId288"/><Relationship Type="http://schemas.openxmlformats.org/officeDocument/2006/relationships/hyperlink" Target="https://en.wikipedia.org/wiki/Namit_Malhotra" TargetMode="External" Id="rId289"/><Relationship Type="http://schemas.openxmlformats.org/officeDocument/2006/relationships/hyperlink" Target="https://en.wikipedia.org/wiki/Naushad" TargetMode="External" Id="rId290"/><Relationship Type="http://schemas.openxmlformats.org/officeDocument/2006/relationships/hyperlink" Target="https://en.wikipedia.org/wiki/Nitesh_Tiwari" TargetMode="External" Id="rId291"/><Relationship Type="http://schemas.openxmlformats.org/officeDocument/2006/relationships/hyperlink" Target="https://en.wikipedia.org/wiki/Palash_Muchhal" TargetMode="External" Id="rId292"/><Relationship Type="http://schemas.openxmlformats.org/officeDocument/2006/relationships/hyperlink" Target="https://en.wikipedia.org/wiki/Pamela_Chopra" TargetMode="External" Id="rId293"/><Relationship Type="http://schemas.openxmlformats.org/officeDocument/2006/relationships/hyperlink" Target="https://en.wikipedia.org/wiki/Pankaj_Advani_(director)" TargetMode="External" Id="rId294"/><Relationship Type="http://schemas.openxmlformats.org/officeDocument/2006/relationships/hyperlink" Target="https://en.wikipedia.org/wiki/Paramount_Pictures" TargetMode="External" Id="rId295"/><Relationship Type="http://schemas.openxmlformats.org/officeDocument/2006/relationships/hyperlink" Target="https://en.wikipedia.org/wiki/Pooja_Entertainment" TargetMode="External" Id="rId296"/><Relationship Type="http://schemas.openxmlformats.org/officeDocument/2006/relationships/hyperlink" Target="https://en.wikipedia.org/wiki/Pradhuman_Singh" TargetMode="External" Id="rId297"/><Relationship Type="http://schemas.openxmlformats.org/officeDocument/2006/relationships/hyperlink" Target="https://en.wikipedia.org/wiki/Praveen_Nischol" TargetMode="External" Id="rId298"/><Relationship Type="http://schemas.openxmlformats.org/officeDocument/2006/relationships/hyperlink" Target="https://en.wikipedia.org/wiki/DNEG" TargetMode="External" Id="rId299"/><Relationship Type="http://schemas.openxmlformats.org/officeDocument/2006/relationships/hyperlink" Target="https://en.wikipedia.org/wiki/R._Madhavan" TargetMode="External" Id="rId300"/><Relationship Type="http://schemas.openxmlformats.org/officeDocument/2006/relationships/hyperlink" Target="https://en.wikipedia.org/wiki/Raaj_Kamal_Films_International" TargetMode="External" Id="rId301"/><Relationship Type="http://schemas.openxmlformats.org/officeDocument/2006/relationships/hyperlink" Target="https://en.wikipedia.org/wiki/Rahul_Dholakia" TargetMode="External" Id="rId302"/><Relationship Type="http://schemas.openxmlformats.org/officeDocument/2006/relationships/hyperlink" Target="https://en.wikipedia.org/wiki/Rahul_Rawail" TargetMode="External" Id="rId303"/><Relationship Type="http://schemas.openxmlformats.org/officeDocument/2006/relationships/hyperlink" Target="https://en.wikipedia.org/wiki/Raju_Singh" TargetMode="External" Id="rId304"/><Relationship Type="http://schemas.openxmlformats.org/officeDocument/2006/relationships/hyperlink" Target="https://en.wikipedia.org/wiki/Ram_Gopal_Varma" TargetMode="External" Id="rId305"/><Relationship Type="http://schemas.openxmlformats.org/officeDocument/2006/relationships/hyperlink" Target="https://en.wikipedia.org/wiki/Ranbir_Kapoor" TargetMode="External" Id="rId306"/><Relationship Type="http://schemas.openxmlformats.org/officeDocument/2006/relationships/hyperlink" Target="https://en.wikipedia.org/wiki/Ranbir_Pushp" TargetMode="External" Id="rId307"/><Relationship Type="http://schemas.openxmlformats.org/officeDocument/2006/relationships/hyperlink" Target="https://en.wikipedia.org/wiki/Ravi_Chopra" TargetMode="External" Id="rId308"/><Relationship Type="http://schemas.openxmlformats.org/officeDocument/2006/relationships/hyperlink" Target="https://en.wikipedia.org/wiki/Reema_Kagti" TargetMode="External" Id="rId309"/><Relationship Type="http://schemas.openxmlformats.org/officeDocument/2006/relationships/hyperlink" Target="https://en.wikipedia.org/wiki/Reema_Rakesh_Nath" TargetMode="External" Id="rId310"/><Relationship Type="http://schemas.openxmlformats.org/officeDocument/2006/relationships/hyperlink" Target="https://en.wikipedia.org/wiki/Ronnie_Screwvala" TargetMode="External" Id="rId311"/><Relationship Type="http://schemas.openxmlformats.org/officeDocument/2006/relationships/hyperlink" Target="https://en.wikipedia.org/wiki/Sagar_Sarhadi" TargetMode="External" Id="rId312"/><Relationship Type="http://schemas.openxmlformats.org/officeDocument/2006/relationships/hyperlink" Target="https://en.wikipedia.org/wiki/Saket_Chaudhary" TargetMode="External" Id="rId313"/><Relationship Type="http://schemas.openxmlformats.org/officeDocument/2006/relationships/hyperlink" Target="https://en.wikipedia.org/wiki/Salim_Khan" TargetMode="External" Id="rId314"/><Relationship Type="http://schemas.openxmlformats.org/officeDocument/2006/relationships/hyperlink" Target="https://en.wikipedia.org/wiki/Salman_Khan" TargetMode="External" Id="rId315"/><Relationship Type="http://schemas.openxmlformats.org/officeDocument/2006/relationships/hyperlink" Target="https://en.wikipedia.org/wiki/Sam_C._S." TargetMode="External" Id="rId316"/><Relationship Type="http://schemas.openxmlformats.org/officeDocument/2006/relationships/hyperlink" Target="https://en.wikipedia.org/wiki/Sandesh_Shandilya" TargetMode="External" Id="rId317"/><Relationship Type="http://schemas.openxmlformats.org/officeDocument/2006/relationships/hyperlink" Target="https://en.wikipedia.org/wiki/Shaad_Ali" TargetMode="External" Id="rId318"/><Relationship Type="http://schemas.openxmlformats.org/officeDocument/2006/relationships/hyperlink" Target="https://en.wikipedia.org/wiki/Shashilal_K._Nair" TargetMode="External" Id="rId319"/><Relationship Type="http://schemas.openxmlformats.org/officeDocument/2006/relationships/hyperlink" Target="https://en.wikipedia.org/wiki/Shaukat_Baig" TargetMode="External" Id="rId320"/><Relationship Type="http://schemas.openxmlformats.org/officeDocument/2006/relationships/hyperlink" Target="https://en.wikipedia.org/wiki/Shekhar_Kapur" TargetMode="External" Id="rId321"/><Relationship Type="http://schemas.openxmlformats.org/officeDocument/2006/relationships/hyperlink" Target="https://en.wikipedia.org/wiki/Shemaroo_Entertainment" TargetMode="External" Id="rId322"/><Relationship Type="http://schemas.openxmlformats.org/officeDocument/2006/relationships/hyperlink" Target="https://en.wikipedia.org/wiki/Shiv%E2%80%93Hari" TargetMode="External" Id="rId323"/><Relationship Type="http://schemas.openxmlformats.org/officeDocument/2006/relationships/hyperlink" Target="https://en.wikipedia.org/wiki/Shyam_Goel" TargetMode="External" Id="rId324"/><Relationship Type="http://schemas.openxmlformats.org/officeDocument/2006/relationships/hyperlink" Target="https://en.wikipedia.org/wiki/Siddharth_Roy_Kapur" TargetMode="External" Id="rId325"/><Relationship Type="http://schemas.openxmlformats.org/officeDocument/2006/relationships/hyperlink" Target="https://en.wikipedia.org/wiki/Sitanshu_Yashaschandra" TargetMode="External" Id="rId326"/><Relationship Type="http://schemas.openxmlformats.org/officeDocument/2006/relationships/hyperlink" Target="https://en.wikipedia.org/wiki/Soham_Shah" TargetMode="External" Id="rId327"/><Relationship Type="http://schemas.openxmlformats.org/officeDocument/2006/relationships/hyperlink" Target="https://en.wikipedia.org/wiki/Sreenivasan" TargetMode="External" Id="rId328"/><Relationship Type="http://schemas.openxmlformats.org/officeDocument/2006/relationships/hyperlink" Target="https://en.wikipedia.org/wiki/Sridevi" TargetMode="External" Id="rId329"/><Relationship Type="http://schemas.openxmlformats.org/officeDocument/2006/relationships/hyperlink" Target="https://en.wikipedia.org/wiki/Suraj_Sanim" TargetMode="External" Id="rId330"/><Relationship Type="http://schemas.openxmlformats.org/officeDocument/2006/relationships/hyperlink" Target="https://en.wikipedia.org/wiki/T-Series_(company)" TargetMode="External" Id="rId331"/><Relationship Type="http://schemas.openxmlformats.org/officeDocument/2006/relationships/hyperlink" Target="https://en.wikipedia.org/wiki/Tanuja_Chandra" TargetMode="External" Id="rId332"/><Relationship Type="http://schemas.openxmlformats.org/officeDocument/2006/relationships/hyperlink" Target="https://en.wikipedia.org/wiki/Vashu_Bhagnani" TargetMode="External" Id="rId333"/><Relationship Type="http://schemas.openxmlformats.org/officeDocument/2006/relationships/hyperlink" Target="https://en.wikipedia.org/wiki/Viacom18_Studios" TargetMode="External" Id="rId334"/><Relationship Type="http://schemas.openxmlformats.org/officeDocument/2006/relationships/hyperlink" Target="https://en.wikipedia.org/wiki/Vijay_Moolan" TargetMode="External" Id="rId335"/><Relationship Type="http://schemas.openxmlformats.org/officeDocument/2006/relationships/hyperlink" Target="https://en.wikipedia.org/wiki/Vijaydan_Detha" TargetMode="External" Id="rId336"/><Relationship Type="http://schemas.openxmlformats.org/officeDocument/2006/relationships/hyperlink" Target="https://en.wikipedia.org/wiki/Vinay_Shukla" TargetMode="External" Id="rId337"/><Relationship Type="http://schemas.openxmlformats.org/officeDocument/2006/relationships/hyperlink" Target="https://en.wikipedia.org/wiki/Vivek_Agrawal" TargetMode="External" Id="rId338"/><Relationship Type="http://schemas.openxmlformats.org/officeDocument/2006/relationships/hyperlink" Target="https://en.wikipedia.org/wiki/Vivek_Sharma" TargetMode="External" Id="rId339"/><Relationship Type="http://schemas.openxmlformats.org/officeDocument/2006/relationships/hyperlink" Target="https://en.wikipedia.org/wiki/Yo_Yo_Honey_Singh" TargetMode="External" Id="rId340"/><Relationship Type="http://schemas.openxmlformats.org/officeDocument/2006/relationships/hyperlink" Target="https://en.wikipedia.org/wiki/Zayed_Khan" TargetMode="External" Id="rId341"/><Relationship Type="http://schemas.openxmlformats.org/officeDocument/2006/relationships/hyperlink" Target="https://en.wikipedia.org/wiki/Sajid_Khan_(director)" TargetMode="External" Id="rId342"/><Relationship Type="http://schemas.openxmlformats.org/officeDocument/2006/relationships/hyperlink" Target="https://en.wikipedia.org/wiki/40th_National_Film_Awards" TargetMode="External" Id="rId343"/><Relationship Type="http://schemas.openxmlformats.org/officeDocument/2006/relationships/hyperlink" Target="https://en.wikipedia.org/wiki/52nd_National_Film_Awards" TargetMode="External" Id="rId344"/></Relationships>
</file>

<file path=xl/worksheets/sheet1.xml><?xml version="1.0" encoding="utf-8"?>
<worksheet xmlns="http://schemas.openxmlformats.org/spreadsheetml/2006/main">
  <sheetPr>
    <outlinePr summaryBelow="1" summaryRight="1"/>
    <pageSetUpPr/>
  </sheetPr>
  <dimension ref="A1:AN71"/>
  <sheetViews>
    <sheetView workbookViewId="0">
      <selection activeCell="A1" sqref="A1"/>
    </sheetView>
  </sheetViews>
  <sheetFormatPr baseColWidth="8" defaultRowHeight="15"/>
  <cols>
    <col width="40" customWidth="1" min="1" max="1"/>
    <col width="38" customWidth="1" min="2" max="2"/>
    <col width="14" customWidth="1" min="3" max="3"/>
    <col width="52" customWidth="1" min="4" max="4"/>
    <col width="14" customWidth="1" min="5" max="5"/>
    <col width="3" customWidth="1" min="6" max="6"/>
    <col hidden="1" width="13" customWidth="1" min="40" max="40"/>
  </cols>
  <sheetData>
    <row r="1">
      <c r="A1" s="1" t="inlineStr">
        <is>
          <t>Shah Rukh Khan: Filmography Overview</t>
        </is>
      </c>
      <c r="AN1" t="inlineStr">
        <is>
          <t>Overall Relationship Classification</t>
        </is>
      </c>
    </row>
    <row r="2">
      <c r="A2" s="2" t="inlineStr">
        <is>
          <t>Generated 2026-10-09 from the research files. Research cutoff: 2026-09-13. Released feature-film acting appearances through 13 September 2026 (97 films), including cameos, special and song appearances, self appearances, narration and voice-over. Excluded: television series and hosting; music videos; the short film Bhaag Jeetu Bhaag (2016); producer-only credits; and King, scheduled for 24 December 2026 and unreleased at the cutoff. Release dates are Indian theatrical dates, with festival premieres noted. Box-office figures are Wikipedia citations of trade sources, mostly Box Office India, and are graded accordingly; figures without a nett/gross label are kept in research notes rather than money columns. Collaborators covers directors, producers or banners, composers and key writers on at least two of his films, plus directors of historically significant single collaborations. Awards covers Filmfare and National Film Award wins for his non-cameo films, all of Khan's own Filmfare nominations, his wins at other film ceremonies (television-hosting awards excluded), Filmfare Awards South wins for Hey Ram, and civilian and state honours. Three award rows lack a ceremony year because the fetched sources do not give one.</t>
        </is>
      </c>
      <c r="AN2" t="inlineStr">
        <is>
          <t>Frictionless idealized romance</t>
        </is>
      </c>
    </row>
    <row r="3">
      <c r="AN3" t="inlineStr">
        <is>
          <t>United couple versus external world</t>
        </is>
      </c>
    </row>
    <row r="4">
      <c r="A4" s="3" t="inlineStr">
        <is>
          <t>Career summary</t>
        </is>
      </c>
      <c r="AN4" t="inlineStr">
        <is>
          <t>Friendship to love</t>
        </is>
      </c>
    </row>
    <row r="5">
      <c r="A5" s="4" t="inlineStr">
        <is>
          <t>Metric</t>
        </is>
      </c>
      <c r="B5" s="4" t="inlineStr">
        <is>
          <t>Value</t>
        </is>
      </c>
      <c r="C5" s="4" t="inlineStr">
        <is>
          <t>Method</t>
        </is>
      </c>
      <c r="D5" s="4" t="inlineStr">
        <is>
          <t>Notes</t>
        </is>
      </c>
      <c r="AN5" t="inlineStr">
        <is>
          <t>Rivals to lovers</t>
        </is>
      </c>
    </row>
    <row r="6" ht="19" customHeight="1">
      <c r="A6" s="5" t="inlineStr">
        <is>
          <t>Actor</t>
        </is>
      </c>
      <c r="B6" s="5" t="inlineStr">
        <is>
          <t>Shah Rukh Khan</t>
        </is>
      </c>
      <c r="C6" s="5" t="inlineStr">
        <is>
          <t>Research file</t>
        </is>
      </c>
      <c r="D6" s="5" t="inlineStr"/>
      <c r="AN6" t="inlineStr">
        <is>
          <t>Playful conflict masking attraction</t>
        </is>
      </c>
    </row>
    <row r="7" ht="19" customHeight="1">
      <c r="A7" s="5" t="inlineStr">
        <is>
          <t>Career period</t>
        </is>
      </c>
      <c r="B7" s="5">
        <f>IF(COUNT(Films!$D$2:$D$98)=0,"n/a",MIN(Films!$D$2:$D$98)&amp;"–"&amp;MAX(Films!$D$2:$D$98))</f>
        <v/>
      </c>
      <c r="C7" s="5" t="inlineStr">
        <is>
          <t>Formula</t>
        </is>
      </c>
      <c r="D7" s="5" t="inlineStr">
        <is>
          <t>First to latest theatrical release year in Films</t>
        </is>
      </c>
      <c r="AN7" t="inlineStr">
        <is>
          <t>Genuine incompatibility gradually resolved</t>
        </is>
      </c>
    </row>
    <row r="8" ht="19" customHeight="1">
      <c r="A8" s="5" t="inlineStr">
        <is>
          <t>Research cutoff date</t>
        </is>
      </c>
      <c r="B8" s="6" t="n">
        <v>46278</v>
      </c>
      <c r="C8" s="5" t="inlineStr">
        <is>
          <t>Research file</t>
        </is>
      </c>
      <c r="D8" s="5" t="inlineStr"/>
      <c r="AN8" t="inlineStr">
        <is>
          <t>Established relationship</t>
        </is>
      </c>
    </row>
    <row r="9" ht="19" customHeight="1">
      <c r="A9" s="5" t="inlineStr">
        <is>
          <t>Total released acting films</t>
        </is>
      </c>
      <c r="B9" s="5">
        <f>COUNTA(Films!$A$2:$A$98)</f>
        <v/>
      </c>
      <c r="C9" s="5" t="inlineStr">
        <is>
          <t>Formula</t>
        </is>
      </c>
      <c r="D9" s="5" t="inlineStr"/>
      <c r="AN9" t="inlineStr">
        <is>
          <t>Marriage under strain</t>
        </is>
      </c>
    </row>
    <row r="10" ht="19" customHeight="1">
      <c r="A10" s="5" t="inlineStr">
        <is>
          <t>Lead and co-lead films</t>
        </is>
      </c>
      <c r="B10" s="5">
        <f>COUNTIF(Films!$T$2:$T$98,"Lead")+COUNTIF(Films!$T$2:$T$98,"Co-lead")+COUNTIF(Films!$T$2:$T$98,"Ensemble lead")</f>
        <v/>
      </c>
      <c r="C10" s="5" t="inlineStr">
        <is>
          <t>Formula</t>
        </is>
      </c>
      <c r="D10" s="5" t="inlineStr">
        <is>
          <t>Role Type: Lead, Co-lead, Ensemble lead</t>
        </is>
      </c>
      <c r="AN10" t="inlineStr">
        <is>
          <t>Relationship damaged by mistrust</t>
        </is>
      </c>
    </row>
    <row r="11" ht="19" customHeight="1">
      <c r="A11" s="5" t="inlineStr">
        <is>
          <t>Supporting roles</t>
        </is>
      </c>
      <c r="B11" s="5">
        <f>COUNTIF(Films!$T$2:$T$98,"Supporting")+COUNTIF(Films!$T$2:$T$98,"Antagonist")</f>
        <v/>
      </c>
      <c r="C11" s="5" t="inlineStr">
        <is>
          <t>Formula</t>
        </is>
      </c>
      <c r="D11" s="5" t="inlineStr">
        <is>
          <t>Role Type: Supporting, Antagonist</t>
        </is>
      </c>
      <c r="AN11" t="inlineStr">
        <is>
          <t>Relationship manipulated by outsiders</t>
        </is>
      </c>
    </row>
    <row r="12" ht="19" customHeight="1">
      <c r="A12" s="5" t="inlineStr">
        <is>
          <t>Cameos and special appearances</t>
        </is>
      </c>
      <c r="B12" s="5">
        <f>COUNTIF(Films!$T$2:$T$98,"Cameo")+COUNTIF(Films!$T$2:$T$98,"Extended special appearance")+COUNTIF(Films!$T$2:$T$98,"Self appearance")</f>
        <v/>
      </c>
      <c r="C12" s="5" t="inlineStr">
        <is>
          <t>Formula</t>
        </is>
      </c>
      <c r="D12" s="5" t="inlineStr">
        <is>
          <t>Role Type: Cameo, Extended special appearance, Self appearance</t>
        </is>
      </c>
      <c r="AN12" t="inlineStr">
        <is>
          <t>Forbidden love</t>
        </is>
      </c>
    </row>
    <row r="13" ht="19" customHeight="1">
      <c r="A13" s="5" t="inlineStr">
        <is>
          <t>Voice, narration and child roles</t>
        </is>
      </c>
      <c r="B13" s="5">
        <f>COUNTIF(Films!$T$2:$T$98,"Voice role")+COUNTIF(Films!$T$2:$T$98,"Narrator")+COUNTIF(Films!$T$2:$T$98,"Child role")</f>
        <v/>
      </c>
      <c r="C13" s="5" t="inlineStr">
        <is>
          <t>Formula</t>
        </is>
      </c>
      <c r="D13" s="5" t="inlineStr">
        <is>
          <t>Role Type: Voice role, Narrator, Child role</t>
        </is>
      </c>
      <c r="AN13" t="inlineStr">
        <is>
          <t>Unrequited love</t>
        </is>
      </c>
    </row>
    <row r="14" ht="19" customHeight="1">
      <c r="A14" s="5" t="inlineStr">
        <is>
          <t>Films with central romance</t>
        </is>
      </c>
      <c r="B14" s="5">
        <f>COUNTIF(Films!$AE$2:$AE$98,"Central")</f>
        <v/>
      </c>
      <c r="C14" s="5" t="inlineStr">
        <is>
          <t>Formula</t>
        </is>
      </c>
      <c r="D14" s="5" t="inlineStr">
        <is>
          <t>Romance Presence: Central</t>
        </is>
      </c>
      <c r="AN14" t="inlineStr">
        <is>
          <t>Love triangle</t>
        </is>
      </c>
    </row>
    <row r="15" ht="19" customHeight="1">
      <c r="A15" s="5" t="inlineStr">
        <is>
          <t>Films with major romance</t>
        </is>
      </c>
      <c r="B15" s="5">
        <f>COUNTIF(Films!$AE$2:$AE$98,"Major")</f>
        <v/>
      </c>
      <c r="C15" s="5" t="inlineStr">
        <is>
          <t>Formula</t>
        </is>
      </c>
      <c r="D15" s="5" t="inlineStr">
        <is>
          <t>Romance Presence: Major</t>
        </is>
      </c>
      <c r="AN15" t="inlineStr">
        <is>
          <t>Tragic lovers</t>
        </is>
      </c>
    </row>
    <row r="16" ht="19" customHeight="1">
      <c r="A16" s="5" t="inlineStr">
        <is>
          <t>Films with secondary romance</t>
        </is>
      </c>
      <c r="B16" s="5">
        <f>COUNTIF(Films!$AE$2:$AE$98,"Secondary")</f>
        <v/>
      </c>
      <c r="C16" s="5" t="inlineStr">
        <is>
          <t>Formula</t>
        </is>
      </c>
      <c r="D16" s="5" t="inlineStr">
        <is>
          <t>Romance Presence: Secondary</t>
        </is>
      </c>
      <c r="AN16" t="inlineStr">
        <is>
          <t>Unequal or coercive relationship</t>
        </is>
      </c>
    </row>
    <row r="17" ht="19" customHeight="1">
      <c r="A17" s="5" t="inlineStr">
        <is>
          <t>Films with minor or implied romance</t>
        </is>
      </c>
      <c r="B17" s="5">
        <f>COUNTIF(Films!$AE$2:$AE$98,"Minor")+COUNTIF(Films!$AE$2:$AE$98,"Implied")</f>
        <v/>
      </c>
      <c r="C17" s="5" t="inlineStr">
        <is>
          <t>Formula</t>
        </is>
      </c>
      <c r="D17" s="5" t="inlineStr">
        <is>
          <t>Romance Presence: Minor, Implied</t>
        </is>
      </c>
      <c r="AN17" t="inlineStr">
        <is>
          <t>Obsessive pursuit</t>
        </is>
      </c>
    </row>
    <row r="18" ht="19" customHeight="1">
      <c r="A18" s="5" t="inlineStr">
        <is>
          <t>Films without meaningful romance</t>
        </is>
      </c>
      <c r="B18" s="5">
        <f>COUNTIF(Films!$AE$2:$AE$98,"None")</f>
        <v/>
      </c>
      <c r="C18" s="5" t="inlineStr">
        <is>
          <t>Formula</t>
        </is>
      </c>
      <c r="D18" s="5" t="inlineStr">
        <is>
          <t>Romance Presence: None</t>
        </is>
      </c>
      <c r="AN18" t="inlineStr">
        <is>
          <t>Romance subordinate to another genre</t>
        </is>
      </c>
    </row>
    <row r="19" ht="19" customHeight="1">
      <c r="A19" s="5" t="inlineStr">
        <is>
          <t>Distinct principal female co-stars</t>
        </is>
      </c>
      <c r="B19" s="5" t="n">
        <v>43</v>
      </c>
      <c r="C19" s="5" t="inlineStr">
        <is>
          <t>Build script</t>
        </is>
      </c>
      <c r="D19" s="5" t="inlineStr">
        <is>
          <t>Distinct names in Principal Female Lead or Leads</t>
        </is>
      </c>
      <c r="AN19" t="inlineStr">
        <is>
          <t>Multiple romantic relationships</t>
        </is>
      </c>
    </row>
    <row r="20" ht="19" customHeight="1">
      <c r="A20" s="5" t="inlineStr">
        <is>
          <t>Romantic pairings recorded</t>
        </is>
      </c>
      <c r="B20" s="5">
        <f>COUNTA(Romances!$A$2:$A$69)</f>
        <v/>
      </c>
      <c r="C20" s="5" t="inlineStr">
        <is>
          <t>Formula</t>
        </is>
      </c>
      <c r="D20" s="5" t="inlineStr"/>
      <c r="AN20" t="inlineStr">
        <is>
          <t>No meaningful romance</t>
        </is>
      </c>
    </row>
    <row r="21" ht="19" customHeight="1">
      <c r="A21" s="5" t="inlineStr">
        <is>
          <t>Most frequent romantic co-star</t>
        </is>
      </c>
      <c r="B21" s="5" t="inlineStr">
        <is>
          <t>Juhi Chawla; Kajol (7 films each)</t>
        </is>
      </c>
      <c r="C21" s="5" t="inlineStr">
        <is>
          <t>Build script</t>
        </is>
      </c>
      <c r="D21" s="5" t="inlineStr">
        <is>
          <t>Films with a Romances row for her</t>
        </is>
      </c>
    </row>
    <row r="22" ht="19" customHeight="1">
      <c r="A22" s="5" t="inlineStr">
        <is>
          <t>Most frequent director</t>
        </is>
      </c>
      <c r="B22" s="5" t="inlineStr">
        <is>
          <t>Karan Johar (6 films)</t>
        </is>
      </c>
      <c r="C22" s="5" t="inlineStr">
        <is>
          <t>Build script</t>
        </is>
      </c>
      <c r="D22" s="5" t="inlineStr"/>
    </row>
    <row r="23" ht="19" customHeight="1">
      <c r="A23" s="5" t="inlineStr">
        <is>
          <t>Most frequent producer or production banner</t>
        </is>
      </c>
      <c r="B23" s="5" t="inlineStr">
        <is>
          <t>Red Chillies Entertainment (18 films)</t>
        </is>
      </c>
      <c r="C23" s="5" t="inlineStr">
        <is>
          <t>Build script</t>
        </is>
      </c>
      <c r="D23" s="5" t="inlineStr">
        <is>
          <t>From Production Banner</t>
        </is>
      </c>
    </row>
    <row r="24" ht="19" customHeight="1">
      <c r="A24" s="5" t="inlineStr">
        <is>
          <t>Most frequent music director</t>
        </is>
      </c>
      <c r="B24" s="5" t="inlineStr">
        <is>
          <t>Anu Malik; Pritam (12 films each)</t>
        </is>
      </c>
      <c r="C24" s="5" t="inlineStr">
        <is>
          <t>Build script</t>
        </is>
      </c>
      <c r="D24" s="5" t="inlineStr">
        <is>
          <t>From Song Composer</t>
        </is>
      </c>
    </row>
    <row r="25" ht="19" customHeight="1">
      <c r="A25" s="5" t="inlineStr">
        <is>
          <t>Average pair-friction score</t>
        </is>
      </c>
      <c r="B25" s="7">
        <f>IFERROR(ROUND(AVERAGE(Romances!$Q$2:$Q$69),1),"n/a")</f>
        <v/>
      </c>
      <c r="C25" s="5" t="inlineStr">
        <is>
          <t>Formula</t>
        </is>
      </c>
      <c r="D25" s="5" t="inlineStr">
        <is>
          <t>Per pairing</t>
        </is>
      </c>
    </row>
    <row r="26" ht="19" customHeight="1">
      <c r="A26" s="5" t="inlineStr">
        <is>
          <t>Average external-opposition score</t>
        </is>
      </c>
      <c r="B26" s="7">
        <f>IFERROR(ROUND(AVERAGE(Romances!$S$2:$S$69),1),"n/a")</f>
        <v/>
      </c>
      <c r="C26" s="5" t="inlineStr">
        <is>
          <t>Formula</t>
        </is>
      </c>
      <c r="D26" s="5" t="inlineStr">
        <is>
          <t>Per pairing</t>
        </is>
      </c>
    </row>
    <row r="27" ht="19" customHeight="1">
      <c r="A27" s="5" t="inlineStr">
        <is>
          <t>Average lover-boy score</t>
        </is>
      </c>
      <c r="B27" s="7">
        <f>IFERROR(ROUND(AVERAGE(Romances!$V$2:$V$69),1),"n/a")</f>
        <v/>
      </c>
      <c r="C27" s="5" t="inlineStr">
        <is>
          <t>Formula</t>
        </is>
      </c>
      <c r="D27" s="5" t="inlineStr">
        <is>
          <t>Per pairing</t>
        </is>
      </c>
    </row>
    <row r="28" ht="19" customHeight="1">
      <c r="A28" s="5" t="inlineStr">
        <is>
          <t>Average romance-centrality score</t>
        </is>
      </c>
      <c r="B28" s="7">
        <f>IFERROR(ROUND(AVERAGE(Films!$AF$2:$AF$98),1),"n/a")</f>
        <v/>
      </c>
      <c r="C28" s="5" t="inlineStr">
        <is>
          <t>Formula</t>
        </is>
      </c>
      <c r="D28" s="5" t="inlineStr">
        <is>
          <t>Per film</t>
        </is>
      </c>
    </row>
    <row r="29" ht="49" customHeight="1">
      <c r="A29" s="5" t="inlineStr">
        <is>
          <t>Highest-grossing film</t>
        </is>
      </c>
      <c r="B29" s="5" t="inlineStr">
        <is>
          <t>Jawan (2023): 1,148.32 INR crore</t>
        </is>
      </c>
      <c r="C29" s="5" t="inlineStr">
        <is>
          <t>Build script</t>
        </is>
      </c>
      <c r="D29" s="5" t="inlineStr">
        <is>
          <t>Largest nominal worldwide gross among 47 film(s) reported in INR crore; not inflation-adjusted; 5 film(s) with ranged or disputed figures excluded</t>
        </is>
      </c>
    </row>
    <row r="30" ht="34" customHeight="1">
      <c r="A30" s="5" t="inlineStr">
        <is>
          <t>Award wins received by the actor</t>
        </is>
      </c>
      <c r="B30" s="5">
        <f>COUNTIFS(Awards!$I$2:$I$292,"Win",Awards!$G$2:$G$292,"*Shah Rukh Khan*")</f>
        <v/>
      </c>
      <c r="C30" s="5" t="inlineStr">
        <is>
          <t>Formula</t>
        </is>
      </c>
      <c r="D30" s="5" t="inlineStr">
        <is>
          <t>Awards rows whose Recipient includes the actor, in any capacity: acting, directing, producing, honours</t>
        </is>
      </c>
    </row>
    <row r="31" ht="19" customHeight="1">
      <c r="A31" s="5" t="inlineStr">
        <is>
          <t>Acting award wins</t>
        </is>
      </c>
      <c r="B31" s="5">
        <f>COUNTIFS(Awards!$I$2:$I$292,"Win",Awards!$G$2:$G$292,"*Shah Rukh Khan*",Awards!$H$2:$H$292,"Actor")</f>
        <v/>
      </c>
      <c r="C31" s="5" t="inlineStr">
        <is>
          <t>Formula</t>
        </is>
      </c>
      <c r="D31" s="5" t="inlineStr">
        <is>
          <t>As above, limited to Recipient Type 'Actor'</t>
        </is>
      </c>
    </row>
    <row r="32" ht="19" customHeight="1">
      <c r="A32" s="5" t="inlineStr">
        <is>
          <t>Award nominations received by the actor</t>
        </is>
      </c>
      <c r="B32" s="5">
        <f>COUNTIFS(Awards!$I$2:$I$292,"Nomination",Awards!$G$2:$G$292,"*Shah Rukh Khan*")</f>
        <v/>
      </c>
      <c r="C32" s="5" t="inlineStr">
        <is>
          <t>Formula</t>
        </is>
      </c>
      <c r="D32" s="5" t="inlineStr">
        <is>
          <t>Nominations that did not win</t>
        </is>
      </c>
    </row>
    <row r="33" ht="19" customHeight="1">
      <c r="A33" s="5" t="inlineStr">
        <is>
          <t>Award wins for his films (all recipients)</t>
        </is>
      </c>
      <c r="B33" s="5">
        <f>COUNTIF(Awards!$I$2:$I$292,"Win")</f>
        <v/>
      </c>
      <c r="C33" s="5" t="inlineStr">
        <is>
          <t>Formula</t>
        </is>
      </c>
      <c r="D33" s="5" t="inlineStr"/>
    </row>
    <row r="34" ht="19" customHeight="1">
      <c r="A34" s="5" t="inlineStr">
        <is>
          <t>Source-confidence summary (films)</t>
        </is>
      </c>
      <c r="B34" s="5">
        <f>"High "&amp;COUNTIF(Films!$AS$2:$AS$98,"High")&amp;" · "&amp;"Medium "&amp;COUNTIF(Films!$AS$2:$AS$98,"Medium")&amp;" · "&amp;"Low "&amp;COUNTIF(Films!$AS$2:$AS$98,"Low")&amp;" · "&amp;"Unknown "&amp;COUNTIF(Films!$AS$2:$AS$98,"Unknown")</f>
        <v/>
      </c>
      <c r="C34" s="5" t="inlineStr">
        <is>
          <t>Formula</t>
        </is>
      </c>
      <c r="D34" s="5" t="inlineStr">
        <is>
          <t>Confidence Grade in Films</t>
        </is>
      </c>
    </row>
    <row r="35" ht="34" customHeight="1">
      <c r="A35" s="5" t="inlineStr">
        <is>
          <t>Sources by reliability tier</t>
        </is>
      </c>
      <c r="B35" s="5">
        <f>"A "&amp;COUNTIF(Sources!$L$2:$L$345,"A")&amp;" · "&amp;"B "&amp;COUNTIF(Sources!$L$2:$L$345,"B")&amp;" · "&amp;"C "&amp;COUNTIF(Sources!$L$2:$L$345,"C")&amp;" · "&amp;"D "&amp;COUNTIF(Sources!$L$2:$L$345,"D")</f>
        <v/>
      </c>
      <c r="C35" s="5" t="inlineStr">
        <is>
          <t>Formula</t>
        </is>
      </c>
      <c r="D35" s="5" t="inlineStr">
        <is>
          <t>A official · B reputable press · C reference databases · D weak</t>
        </is>
      </c>
    </row>
    <row r="37">
      <c r="A37" s="3" t="inlineStr">
        <is>
          <t>Career phases</t>
        </is>
      </c>
    </row>
    <row r="38">
      <c r="A38" s="4" t="inlineStr">
        <is>
          <t>Phase</t>
        </is>
      </c>
      <c r="B38" s="4" t="inlineStr">
        <is>
          <t>Years</t>
        </is>
      </c>
      <c r="C38" s="4" t="inlineStr">
        <is>
          <t>Films</t>
        </is>
      </c>
      <c r="D38" s="4" t="inlineStr">
        <is>
          <t>Summary</t>
        </is>
      </c>
      <c r="E38" s="4" t="inlineStr">
        <is>
          <t>Avg lover-boy score</t>
        </is>
      </c>
    </row>
    <row r="39" ht="49" customHeight="1">
      <c r="A39" s="5" t="inlineStr">
        <is>
          <t>Film debut</t>
        </is>
      </c>
      <c r="B39" s="5" t="inlineStr">
        <is>
          <t>1992–1992</t>
        </is>
      </c>
      <c r="C39" s="8">
        <f>COUNTIFS(Films!$D$2:$D$98,"&gt;=1992",Films!$D$2:$D$98,"&lt;=1992")</f>
        <v/>
      </c>
      <c r="D39" s="5" t="inlineStr">
        <is>
          <t>After television work, he debuts in Deewana as an ardent young lover and plays romantic leads in Raju Ban Gaya Gentleman and Dil Aashna Hai.</t>
        </is>
      </c>
      <c r="E39" s="7">
        <f>IFERROR(ROUND(AVERAGEIFS(Romances!$V$2:$V$69,Romances!$D$2:$D$69,"&gt;=1992",Romances!$D$2:$D$69,"&lt;=1992"),1),"n/a")</f>
        <v/>
      </c>
    </row>
    <row r="40" ht="49" customHeight="1">
      <c r="A40" s="5" t="inlineStr">
        <is>
          <t>Negative characters</t>
        </is>
      </c>
      <c r="B40" s="5" t="inlineStr">
        <is>
          <t>1993–1994</t>
        </is>
      </c>
      <c r="C40" s="8">
        <f>COUNTIFS(Films!$D$2:$D$98,"&gt;=1993",Films!$D$2:$D$98,"&lt;=1994")</f>
        <v/>
      </c>
      <c r="D40" s="5" t="inlineStr">
        <is>
          <t>Baazigar, Darr and Anjaam make his name with murderous and obsessive anti-heroes, while Kabhi Haan Kabhi Naa introduces the lovable loser.</t>
        </is>
      </c>
      <c r="E40" s="7">
        <f>IFERROR(ROUND(AVERAGEIFS(Romances!$V$2:$V$69,Romances!$D$2:$D$69,"&gt;=1993",Romances!$D$2:$D$69,"&lt;=1994"),1),"n/a")</f>
        <v/>
      </c>
    </row>
    <row r="41" ht="49" customHeight="1">
      <c r="A41" s="5" t="inlineStr">
        <is>
          <t>Romantic-hero phase</t>
        </is>
      </c>
      <c r="B41" s="5" t="inlineStr">
        <is>
          <t>1995–1998</t>
        </is>
      </c>
      <c r="C41" s="8">
        <f>COUNTIFS(Films!$D$2:$D$98,"&gt;=1995",Films!$D$2:$D$98,"&lt;=1998")</f>
        <v/>
      </c>
      <c r="D41" s="5" t="inlineStr">
        <is>
          <t>Dilwale Dulhania Le Jayenge, Pardes, Dil To Pagal Hai and Kuch Kuch Hota Hai make him the defining screen lover of the decade, often opposite Kajol, Madhuri Dixit and Juhi Chawla.</t>
        </is>
      </c>
      <c r="E41" s="7">
        <f>IFERROR(ROUND(AVERAGEIFS(Romances!$V$2:$V$69,Romances!$D$2:$D$69,"&gt;=1995",Romances!$D$2:$D$69,"&lt;=1998"),1),"n/a")</f>
        <v/>
      </c>
    </row>
    <row r="42" ht="64" customHeight="1">
      <c r="A42" s="5" t="inlineStr">
        <is>
          <t>Career fluctuations and prestige romances</t>
        </is>
      </c>
      <c r="B42" s="5" t="inlineStr">
        <is>
          <t>1999–2003</t>
        </is>
      </c>
      <c r="C42" s="8">
        <f>COUNTIFS(Films!$D$2:$D$98,"&gt;=1999",Films!$D$2:$D$98,"&lt;=2003")</f>
        <v/>
      </c>
      <c r="D42" s="5" t="inlineStr">
        <is>
          <t>Commercial misses such as Baadshah, Phir Bhi Dil Hai Hindustani and Aśoka alternate with Mohabbatein, Kabhi Khushi Kabhie Gham, Devdas and Kal Ho Naa Ho; he becomes a producer with Dreamz Unlimited.</t>
        </is>
      </c>
      <c r="E42" s="7">
        <f>IFERROR(ROUND(AVERAGEIFS(Romances!$V$2:$V$69,Romances!$D$2:$D$69,"&gt;=1999",Romances!$D$2:$D$69,"&lt;=2003"),1),"n/a")</f>
        <v/>
      </c>
    </row>
    <row r="43" ht="64" customHeight="1">
      <c r="A43" s="5" t="inlineStr">
        <is>
          <t>Comeback and range</t>
        </is>
      </c>
      <c r="B43" s="5" t="inlineStr">
        <is>
          <t>2004–2009</t>
        </is>
      </c>
      <c r="C43" s="8">
        <f>COUNTIFS(Films!$D$2:$D$98,"&gt;=2004",Films!$D$2:$D$98,"&lt;=2009")</f>
        <v/>
      </c>
      <c r="D43" s="5" t="inlineStr">
        <is>
          <t>Main Hoon Na, Veer-Zaara, Swades, Chak De! India, Om Shanti Om and Rab Ne Bana Di Jodi mix sacrificial romance with patriotic and self-referential star vehicles under his new Red Chillies Entertainment.</t>
        </is>
      </c>
      <c r="E43" s="7">
        <f>IFERROR(ROUND(AVERAGEIFS(Romances!$V$2:$V$69,Romances!$D$2:$D$69,"&gt;=2004",Romances!$D$2:$D$69,"&lt;=2009"),1),"n/a")</f>
        <v/>
      </c>
    </row>
    <row r="44" ht="49" customHeight="1">
      <c r="A44" s="5" t="inlineStr">
        <is>
          <t>Expansion to action and comedy</t>
        </is>
      </c>
      <c r="B44" s="5" t="inlineStr">
        <is>
          <t>2010–2014</t>
        </is>
      </c>
      <c r="C44" s="8">
        <f>COUNTIFS(Films!$D$2:$D$98,"&gt;=2010",Films!$D$2:$D$98,"&lt;=2014")</f>
        <v/>
      </c>
      <c r="D44" s="5" t="inlineStr">
        <is>
          <t>My Name Is Khan, Ra.One, Don 2, Jab Tak Hai Jaan, Chennai Express and Happy New Year make romance one strand among action, heist and comedy formats.</t>
        </is>
      </c>
      <c r="E44" s="7">
        <f>IFERROR(ROUND(AVERAGEIFS(Romances!$V$2:$V$69,Romances!$D$2:$D$69,"&gt;=2010",Romances!$D$2:$D$69,"&lt;=2014"),1),"n/a")</f>
        <v/>
      </c>
    </row>
    <row r="45" ht="49" customHeight="1">
      <c r="A45" s="5" t="inlineStr">
        <is>
          <t>Setbacks and hiatus</t>
        </is>
      </c>
      <c r="B45" s="5" t="inlineStr">
        <is>
          <t>2015–2022</t>
        </is>
      </c>
      <c r="C45" s="8">
        <f>COUNTIFS(Films!$D$2:$D$98,"&gt;=2015",Films!$D$2:$D$98,"&lt;=2022")</f>
        <v/>
      </c>
      <c r="D45" s="5" t="inlineStr">
        <is>
          <t>Dilwale, Fan, Dear Zindagi, Raees, Jab Harry Met Sejal and Zero meet mixed results; after Zero he appears only in narration and cameos until 2023.</t>
        </is>
      </c>
      <c r="E45" s="7">
        <f>IFERROR(ROUND(AVERAGEIFS(Romances!$V$2:$V$69,Romances!$D$2:$D$69,"&gt;=2015",Romances!$D$2:$D$69,"&lt;=2022"),1),"n/a")</f>
        <v/>
      </c>
    </row>
    <row r="46" ht="49" customHeight="1">
      <c r="A46" s="5" t="inlineStr">
        <is>
          <t>Resurgence</t>
        </is>
      </c>
      <c r="B46" s="5" t="inlineStr">
        <is>
          <t>2023–2026</t>
        </is>
      </c>
      <c r="C46" s="8">
        <f>COUNTIFS(Films!$D$2:$D$98,"&gt;=2023",Films!$D$2:$D$98,"&lt;=2026")</f>
        <v/>
      </c>
      <c r="D46" s="5" t="inlineStr">
        <is>
          <t>Pathaan, Jawan and Dunki return him to box-office dominance as an older action and dramatic lead, with romance minor or tragic; King is scheduled for December 2026.</t>
        </is>
      </c>
      <c r="E46" s="7">
        <f>IFERROR(ROUND(AVERAGEIFS(Romances!$V$2:$V$69,Romances!$D$2:$D$69,"&gt;=2023",Romances!$D$2:$D$69,"&lt;=2026"),1),"n/a")</f>
        <v/>
      </c>
    </row>
    <row r="48">
      <c r="A48" s="3" t="inlineStr">
        <is>
          <t>Romantic co-stars (top 10)</t>
        </is>
      </c>
    </row>
    <row r="49">
      <c r="A49" s="4" t="inlineStr">
        <is>
          <t>Actress</t>
        </is>
      </c>
      <c r="B49" s="4" t="inlineStr">
        <is>
          <t>Films with a pairing</t>
        </is>
      </c>
    </row>
    <row r="50" ht="19" customHeight="1">
      <c r="A50" s="5" t="inlineStr">
        <is>
          <t>Juhi Chawla</t>
        </is>
      </c>
      <c r="B50" s="5" t="n">
        <v>7</v>
      </c>
    </row>
    <row r="51" ht="19" customHeight="1">
      <c r="A51" s="5" t="inlineStr">
        <is>
          <t>Kajol</t>
        </is>
      </c>
      <c r="B51" s="5" t="n">
        <v>7</v>
      </c>
    </row>
    <row r="52" ht="19" customHeight="1">
      <c r="A52" s="5" t="inlineStr">
        <is>
          <t>Madhuri Dixit</t>
        </is>
      </c>
      <c r="B52" s="5" t="n">
        <v>5</v>
      </c>
    </row>
    <row r="53" ht="19" customHeight="1">
      <c r="A53" s="5" t="inlineStr">
        <is>
          <t>Rani Mukerji</t>
        </is>
      </c>
      <c r="B53" s="5" t="n">
        <v>4</v>
      </c>
    </row>
    <row r="54" ht="19" customHeight="1">
      <c r="A54" s="5" t="inlineStr">
        <is>
          <t>Deepika Padukone</t>
        </is>
      </c>
      <c r="B54" s="5" t="n">
        <v>4</v>
      </c>
    </row>
    <row r="55" ht="19" customHeight="1">
      <c r="A55" s="5" t="inlineStr">
        <is>
          <t>Anushka Sharma</t>
        </is>
      </c>
      <c r="B55" s="5" t="n">
        <v>4</v>
      </c>
    </row>
    <row r="56" ht="19" customHeight="1">
      <c r="A56" s="5" t="inlineStr">
        <is>
          <t>Preity Zinta</t>
        </is>
      </c>
      <c r="B56" s="5" t="n">
        <v>3</v>
      </c>
    </row>
    <row r="57" ht="19" customHeight="1">
      <c r="A57" s="5" t="inlineStr">
        <is>
          <t>Divya Bharti</t>
        </is>
      </c>
      <c r="B57" s="5" t="n">
        <v>2</v>
      </c>
    </row>
    <row r="58" ht="19" customHeight="1">
      <c r="A58" s="5" t="inlineStr">
        <is>
          <t>Manisha Koirala</t>
        </is>
      </c>
      <c r="B58" s="5" t="n">
        <v>2</v>
      </c>
    </row>
    <row r="59" ht="19" customHeight="1">
      <c r="A59" s="5" t="inlineStr">
        <is>
          <t>Sonali Bendre</t>
        </is>
      </c>
      <c r="B59" s="5" t="n">
        <v>2</v>
      </c>
    </row>
    <row r="61">
      <c r="A61" s="3" t="inlineStr">
        <is>
          <t>Romance centrality by decade</t>
        </is>
      </c>
    </row>
    <row r="62">
      <c r="A62" s="4" t="inlineStr">
        <is>
          <t>Decade</t>
        </is>
      </c>
      <c r="B62" s="4" t="inlineStr">
        <is>
          <t>Films</t>
        </is>
      </c>
      <c r="C62" s="4" t="inlineStr">
        <is>
          <t>Avg romance centrality</t>
        </is>
      </c>
    </row>
    <row r="63" ht="19" customHeight="1">
      <c r="A63" s="5" t="inlineStr">
        <is>
          <t>1990s</t>
        </is>
      </c>
      <c r="B63" s="8" t="n">
        <v>32</v>
      </c>
      <c r="C63" s="7" t="n">
        <v>5.6</v>
      </c>
    </row>
    <row r="64" ht="19" customHeight="1">
      <c r="A64" s="5" t="inlineStr">
        <is>
          <t>2000s</t>
        </is>
      </c>
      <c r="B64" s="8" t="n">
        <v>37</v>
      </c>
      <c r="C64" s="7" t="n">
        <v>3.5</v>
      </c>
    </row>
    <row r="65" ht="19" customHeight="1">
      <c r="A65" s="5" t="inlineStr">
        <is>
          <t>2010s</t>
        </is>
      </c>
      <c r="B65" s="8" t="n">
        <v>21</v>
      </c>
      <c r="C65" s="7" t="n">
        <v>3.1</v>
      </c>
    </row>
    <row r="66" ht="19" customHeight="1">
      <c r="A66" s="5" t="inlineStr">
        <is>
          <t>2020s</t>
        </is>
      </c>
      <c r="B66" s="8" t="n">
        <v>7</v>
      </c>
      <c r="C66" s="7" t="n">
        <v>1.6</v>
      </c>
    </row>
    <row r="68">
      <c r="A68" s="3" t="inlineStr">
        <is>
          <t>Column colour key</t>
        </is>
      </c>
    </row>
    <row r="69">
      <c r="A69" s="9" t="inlineStr">
        <is>
          <t>Fact</t>
        </is>
      </c>
      <c r="B69" t="inlineStr">
        <is>
          <t>Fact: credits, dates, figures and descriptive fields</t>
        </is>
      </c>
    </row>
    <row r="70">
      <c r="A70" s="10" t="inlineStr">
        <is>
          <t>Score</t>
        </is>
      </c>
      <c r="B70" t="inlineStr">
        <is>
          <t>Score (0–10): cells shaded white (0) to orange (10)</t>
        </is>
      </c>
    </row>
    <row r="71">
      <c r="A71" s="11" t="inlineStr">
        <is>
          <t>Analysis</t>
        </is>
      </c>
      <c r="B71" t="inlineStr">
        <is>
          <t>Interpretive analysis: header green, cells tinted green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T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2" customWidth="1" min="3" max="3"/>
    <col width="9" customWidth="1" min="4" max="4"/>
    <col width="9" customWidth="1" min="5" max="5"/>
    <col width="14" customWidth="1" min="6" max="6"/>
    <col width="16" customWidth="1" min="7" max="7"/>
    <col width="16" customWidth="1" min="8" max="8"/>
    <col width="10" customWidth="1" min="9" max="9"/>
    <col width="22" customWidth="1" min="10" max="10"/>
    <col width="26" customWidth="1" min="11" max="11"/>
    <col width="24" customWidth="1" min="12" max="12"/>
    <col width="26" customWidth="1" min="13" max="13"/>
    <col width="26" customWidth="1" min="14" max="14"/>
    <col width="22" customWidth="1" min="15" max="15"/>
    <col width="22" customWidth="1" min="16" max="16"/>
    <col width="22" customWidth="1" min="17" max="17"/>
    <col width="20" customWidth="1" min="18" max="18"/>
    <col width="22" customWidth="1" min="19" max="19"/>
    <col width="20" customWidth="1" min="20" max="20"/>
    <col width="11" customWidth="1" min="21" max="21"/>
    <col width="22" customWidth="1" min="22" max="22"/>
    <col width="26" customWidth="1" min="23" max="23"/>
    <col width="60" customWidth="1" min="24" max="24"/>
    <col width="36" customWidth="1" min="25" max="25"/>
    <col width="36" customWidth="1" min="26" max="26"/>
    <col width="40" customWidth="1" min="27" max="27"/>
    <col width="18" customWidth="1" min="28" max="28"/>
    <col width="30" customWidth="1" min="29" max="29"/>
    <col width="26" customWidth="1" min="30" max="30"/>
    <col width="14" customWidth="1" min="31" max="31"/>
    <col width="10" customWidth="1" min="32" max="32"/>
    <col width="30" customWidth="1" min="33" max="33"/>
    <col width="15" customWidth="1" min="34" max="34"/>
    <col width="15" customWidth="1" min="35" max="35"/>
    <col width="15" customWidth="1" min="36" max="36"/>
    <col width="15" customWidth="1" min="37" max="37"/>
    <col width="15" customWidth="1" min="38" max="38"/>
    <col width="13" customWidth="1" min="39" max="39"/>
    <col width="16" customWidth="1" min="40" max="40"/>
    <col width="11" customWidth="1" min="41" max="41"/>
    <col width="45" customWidth="1" min="42" max="42"/>
    <col width="40" customWidth="1" min="43" max="43"/>
    <col width="22" customWidth="1" min="44" max="44"/>
    <col width="12" customWidth="1" min="45" max="45"/>
    <col width="45" customWidth="1" min="46" max="46"/>
  </cols>
  <sheetData>
    <row r="1" ht="51" customHeight="1">
      <c r="A1" s="12" t="inlineStr">
        <is>
          <t>Film ID</t>
        </is>
      </c>
      <c r="B1" s="12" t="inlineStr">
        <is>
          <t>Title</t>
        </is>
      </c>
      <c r="C1" s="12" t="inlineStr">
        <is>
          <t>Release Date</t>
        </is>
      </c>
      <c r="D1" s="12" t="inlineStr">
        <is>
          <t>Release Year</t>
        </is>
      </c>
      <c r="E1" s="12" t="inlineStr">
        <is>
          <t>Decade</t>
        </is>
      </c>
      <c r="F1" s="12" t="inlineStr">
        <is>
          <t>Language</t>
        </is>
      </c>
      <c r="G1" s="12" t="inlineStr">
        <is>
          <t>Genre</t>
        </is>
      </c>
      <c r="H1" s="12" t="inlineStr">
        <is>
          <t>Secondary Genre</t>
        </is>
      </c>
      <c r="I1" s="12" t="inlineStr">
        <is>
          <t>Runtime</t>
        </is>
      </c>
      <c r="J1" s="12" t="inlineStr">
        <is>
          <t>Director</t>
        </is>
      </c>
      <c r="K1" s="12" t="inlineStr">
        <is>
          <t>Producer or Producers</t>
        </is>
      </c>
      <c r="L1" s="12" t="inlineStr">
        <is>
          <t>Production Banner</t>
        </is>
      </c>
      <c r="M1" s="12" t="inlineStr">
        <is>
          <t>Writer or Writers</t>
        </is>
      </c>
      <c r="N1" s="12" t="inlineStr">
        <is>
          <t>Source Material or Remake Status</t>
        </is>
      </c>
      <c r="O1" s="12" t="inlineStr">
        <is>
          <t>Song Composer</t>
        </is>
      </c>
      <c r="P1" s="12" t="inlineStr">
        <is>
          <t>Background-Score Composer</t>
        </is>
      </c>
      <c r="Q1" s="12" t="inlineStr">
        <is>
          <t>Lyricist</t>
        </is>
      </c>
      <c r="R1" s="12" t="inlineStr">
        <is>
          <t>Actor’s Character</t>
        </is>
      </c>
      <c r="S1" s="12" t="inlineStr">
        <is>
          <t>Alternate Identity or Double Role</t>
        </is>
      </c>
      <c r="T1" s="12" t="inlineStr">
        <is>
          <t>Role Type</t>
        </is>
      </c>
      <c r="U1" s="12" t="inlineStr">
        <is>
          <t>Billing Position</t>
        </is>
      </c>
      <c r="V1" s="12" t="inlineStr">
        <is>
          <t>Character Occupation</t>
        </is>
      </c>
      <c r="W1" s="12" t="inlineStr">
        <is>
          <t>Character Social Background</t>
        </is>
      </c>
      <c r="X1" s="13" t="inlineStr">
        <is>
          <t>Role Gist</t>
        </is>
      </c>
      <c r="Y1" s="13" t="inlineStr">
        <is>
          <t>Principal Motivation</t>
        </is>
      </c>
      <c r="Z1" s="13" t="inlineStr">
        <is>
          <t>Principal Conflict</t>
        </is>
      </c>
      <c r="AA1" s="13" t="inlineStr">
        <is>
          <t>Character Arc</t>
        </is>
      </c>
      <c r="AB1" s="13" t="inlineStr">
        <is>
          <t>Moral Alignment</t>
        </is>
      </c>
      <c r="AC1" s="12" t="inlineStr">
        <is>
          <t>Character Outcome</t>
        </is>
      </c>
      <c r="AD1" s="12" t="inlineStr">
        <is>
          <t>Principal Female Lead or Leads</t>
        </is>
      </c>
      <c r="AE1" s="12" t="inlineStr">
        <is>
          <t>Romance Presence</t>
        </is>
      </c>
      <c r="AF1" s="14" t="inlineStr">
        <is>
          <t>Romance Centrality Score</t>
        </is>
      </c>
      <c r="AG1" s="13" t="inlineStr">
        <is>
          <t>Overall Relationship Classification</t>
        </is>
      </c>
      <c r="AH1" s="12" t="inlineStr">
        <is>
          <t>Budget</t>
        </is>
      </c>
      <c r="AI1" s="12" t="inlineStr">
        <is>
          <t>Domestic Nett</t>
        </is>
      </c>
      <c r="AJ1" s="12" t="inlineStr">
        <is>
          <t>Domestic Gross</t>
        </is>
      </c>
      <c r="AK1" s="12" t="inlineStr">
        <is>
          <t>Overseas Gross</t>
        </is>
      </c>
      <c r="AL1" s="12" t="inlineStr">
        <is>
          <t>Worldwide Gross</t>
        </is>
      </c>
      <c r="AM1" s="12" t="inlineStr">
        <is>
          <t>Currency</t>
        </is>
      </c>
      <c r="AN1" s="12" t="inlineStr">
        <is>
          <t>Box-Office Verdict</t>
        </is>
      </c>
      <c r="AO1" s="12" t="inlineStr">
        <is>
          <t>Annual Box-Office Rank</t>
        </is>
      </c>
      <c r="AP1" s="13" t="inlineStr">
        <is>
          <t>Critical Reception Summary</t>
        </is>
      </c>
      <c r="AQ1" s="13" t="inlineStr">
        <is>
          <t>Recognition or Legacy</t>
        </is>
      </c>
      <c r="AR1" s="12" t="inlineStr">
        <is>
          <t>Source IDs</t>
        </is>
      </c>
      <c r="AS1" s="12" t="inlineStr">
        <is>
          <t>Confidence Grade</t>
        </is>
      </c>
      <c r="AT1" s="12" t="inlineStr">
        <is>
          <t>Research Notes</t>
        </is>
      </c>
    </row>
    <row r="2" ht="94" customHeight="1">
      <c r="A2" s="15" t="inlineStr">
        <is>
          <t>FILM-001</t>
        </is>
      </c>
      <c r="B2" s="5" t="inlineStr">
        <is>
          <t>Deewana</t>
        </is>
      </c>
      <c r="C2" s="16" t="n">
        <v>33781</v>
      </c>
      <c r="D2" s="17" t="n">
        <v>1992</v>
      </c>
      <c r="E2" s="5" t="inlineStr">
        <is>
          <t>1990s</t>
        </is>
      </c>
      <c r="F2" s="5" t="inlineStr">
        <is>
          <t>Hindi</t>
        </is>
      </c>
      <c r="G2" s="5" t="inlineStr">
        <is>
          <t>Romantic action</t>
        </is>
      </c>
      <c r="H2" s="5" t="inlineStr">
        <is>
          <t>Melodrama</t>
        </is>
      </c>
      <c r="I2" s="17" t="n">
        <v>162</v>
      </c>
      <c r="J2" s="5" t="inlineStr">
        <is>
          <t>Raj Kanwar</t>
        </is>
      </c>
      <c r="K2" s="5" t="inlineStr">
        <is>
          <t>Guddu Dhanoa; Lalit Kapoor; Raju Kothari</t>
        </is>
      </c>
      <c r="L2" s="5" t="inlineStr">
        <is>
          <t>Bhagwan Chitra Mandir; Mayank Arts</t>
        </is>
      </c>
      <c r="M2" s="5" t="inlineStr">
        <is>
          <t>Sagar Sarhadi; Ranbir Pushp (story)</t>
        </is>
      </c>
      <c r="N2" s="5" t="n"/>
      <c r="O2" s="5" t="inlineStr">
        <is>
          <t>Nadeem–Shravan</t>
        </is>
      </c>
      <c r="P2" s="5" t="n"/>
      <c r="Q2" s="5" t="inlineStr">
        <is>
          <t>Sameer</t>
        </is>
      </c>
      <c r="R2" s="5" t="inlineStr">
        <is>
          <t>Raja Sahai</t>
        </is>
      </c>
      <c r="S2" s="5" t="n"/>
      <c r="T2" s="5" t="inlineStr">
        <is>
          <t>Co-lead</t>
        </is>
      </c>
      <c r="U2" s="18" t="n">
        <v>3</v>
      </c>
      <c r="V2" s="5" t="inlineStr">
        <is>
          <t>Rich man's son; later runs a garage with friends</t>
        </is>
      </c>
      <c r="W2" s="5" t="inlineStr">
        <is>
          <t>Wealthy family; son of Ramakant Sahai</t>
        </is>
      </c>
      <c r="X2" s="19" t="inlineStr">
        <is>
          <t>Raja, the good-hearted son of a rich father, falls for the widow Kajal after knocking down her mother-in-law, and keeps pressing his suit despite her refusals. He defies his father to marry a widow, is thrown out and opens a garage. Kajal comes to love him, and when her presumed-dead first husband Ravi returns she stays with Raja; together the men defeat the villain Dhirendra.</t>
        </is>
      </c>
      <c r="Y2" s="19" t="inlineStr">
        <is>
          <t>Marrying Kajal despite her widowhood and his father's opposition</t>
        </is>
      </c>
      <c r="Z2" s="19" t="inlineStr">
        <is>
          <t>His father's rejection of a widow bride, then the return of Kajal's first husband and Dhirendra's kidnapping plot</t>
        </is>
      </c>
      <c r="AA2" s="19" t="inlineStr">
        <is>
          <t>Privileged, impulsive admirer becomes a self-supporting husband who wins Kajal's love</t>
        </is>
      </c>
      <c r="AB2" s="19" t="inlineStr">
        <is>
          <t>Heroic</t>
        </is>
      </c>
      <c r="AC2" s="5" t="inlineStr">
        <is>
          <t>Married to Kajal; survives Dhirendra's bomb plot, in which Ravi dies saving them</t>
        </is>
      </c>
      <c r="AD2" s="5" t="inlineStr">
        <is>
          <t>Divya Bharti</t>
        </is>
      </c>
      <c r="AE2" s="5" t="inlineStr">
        <is>
          <t>Central</t>
        </is>
      </c>
      <c r="AF2" s="18" t="n">
        <v>9</v>
      </c>
      <c r="AG2" s="19" t="inlineStr">
        <is>
          <t>Love triangle</t>
        </is>
      </c>
      <c r="AH2" s="5" t="n"/>
      <c r="AI2" s="5" t="n"/>
      <c r="AJ2" s="5" t="n"/>
      <c r="AK2" s="5" t="n"/>
      <c r="AL2" s="5" t="n"/>
      <c r="AM2" s="5" t="inlineStr">
        <is>
          <t>INR crore</t>
        </is>
      </c>
      <c r="AN2" s="5" t="n"/>
      <c r="AO2" s="20" t="n"/>
      <c r="AP2" s="19" t="inlineStr">
        <is>
          <t>Positive reviews, with praise for the cinematography, soundtrack and the performances of Bharti and Khan. Nikhat Kazmi (The Times of India) wrote that Khan brought 'fresh zeal' to a clichéd role; Khan later called his own performance 'awful–loud, vulgar and uncontrolled'.</t>
        </is>
      </c>
      <c r="AQ2" s="19" t="inlineStr">
        <is>
          <t>Shah Rukh Khan's feature-film debut, which won him the Filmfare Best Male Debut award. Regarded as one of the earliest Hindi films about the stigma of widow remarriage; Nadeem–Shravan's soundtrack was a multi-platinum success.</t>
        </is>
      </c>
      <c r="AR2" s="5" t="inlineStr">
        <is>
          <t>SOURCE-001; SOURCE-004</t>
        </is>
      </c>
      <c r="AS2" s="5" t="inlineStr">
        <is>
          <t>Medium</t>
        </is>
      </c>
      <c r="AT2" s="5" t="inlineStr">
        <is>
          <t>Infobox gross of ₹18 crore has no nett/gross label and is not entered. No budget or verdict found.</t>
        </is>
      </c>
    </row>
    <row r="3" ht="79" customHeight="1">
      <c r="A3" s="15" t="inlineStr">
        <is>
          <t>FILM-002</t>
        </is>
      </c>
      <c r="B3" s="5" t="inlineStr">
        <is>
          <t>Chamatkar</t>
        </is>
      </c>
      <c r="C3" s="16" t="n">
        <v>33793</v>
      </c>
      <c r="D3" s="17" t="n">
        <v>1992</v>
      </c>
      <c r="E3" s="5" t="inlineStr">
        <is>
          <t>1990s</t>
        </is>
      </c>
      <c r="F3" s="5" t="inlineStr">
        <is>
          <t>Hindi</t>
        </is>
      </c>
      <c r="G3" s="5" t="inlineStr">
        <is>
          <t>Romantic comedy</t>
        </is>
      </c>
      <c r="H3" s="5" t="inlineStr">
        <is>
          <t>Fantasy</t>
        </is>
      </c>
      <c r="I3" s="17" t="n">
        <v>171</v>
      </c>
      <c r="J3" s="5" t="inlineStr">
        <is>
          <t>Rajiv Mehra</t>
        </is>
      </c>
      <c r="K3" s="5" t="inlineStr">
        <is>
          <t>Parvesh C. Mehra</t>
        </is>
      </c>
      <c r="L3" s="5" t="inlineStr">
        <is>
          <t>Eagle Films</t>
        </is>
      </c>
      <c r="M3" s="5" t="inlineStr">
        <is>
          <t>Shaukat Baig (story, screenplay); Rajiv Mehra (screenplay)</t>
        </is>
      </c>
      <c r="N3" s="5" t="inlineStr">
        <is>
          <t>Described by critic Sukanya Verma as a loose adaptation of Blackbeard's Ghost (1968)</t>
        </is>
      </c>
      <c r="O3" s="5" t="inlineStr">
        <is>
          <t>Anu Malik</t>
        </is>
      </c>
      <c r="P3" s="5" t="inlineStr">
        <is>
          <t>Vanraj Bhatia</t>
        </is>
      </c>
      <c r="Q3" s="5" t="n"/>
      <c r="R3" s="5" t="inlineStr">
        <is>
          <t>Sundar Shrivastav</t>
        </is>
      </c>
      <c r="S3" s="5" t="n"/>
      <c r="T3" s="5" t="inlineStr">
        <is>
          <t>Lead</t>
        </is>
      </c>
      <c r="U3" s="18" t="n">
        <v>2</v>
      </c>
      <c r="V3" s="5" t="inlineStr">
        <is>
          <t>Graduate; later cricket coach at Mr. Kaul's school</t>
        </is>
      </c>
      <c r="W3" s="5" t="inlineStr">
        <is>
          <t>Village graduate who owns a half-acre family plot</t>
        </is>
      </c>
      <c r="X3" s="19" t="inlineStr">
        <is>
          <t>Sundar, a naive village graduate who wants to build a school on his father's land, is swindled in Mumbai and shelters in a cemetery, where only he can see the ghost of the gangster Marco. Their bargain makes him cricket coach at Marco's old school; he falls for Marco's daughter Mala, clears Marco's name, defeats Kunta's gang and marries Mala.</t>
        </is>
      </c>
      <c r="Y3" s="19" t="inlineStr">
        <is>
          <t>Fulfilling his father's dream of a village school</t>
        </is>
      </c>
      <c r="Z3" s="19" t="inlineStr">
        <is>
          <t>Kunta's gang, a false theft charge and a decisive cricket match for the school's funds</t>
        </is>
      </c>
      <c r="AA3" s="19" t="inlineStr">
        <is>
          <t>Gullible newcomer becomes a confident coach who redeems Marco and wins Mala</t>
        </is>
      </c>
      <c r="AB3" s="19" t="inlineStr">
        <is>
          <t>Heroic</t>
        </is>
      </c>
      <c r="AC3" s="5" t="inlineStr">
        <is>
          <t>Marries Mala; Marco ascends to heaven</t>
        </is>
      </c>
      <c r="AD3" s="5" t="inlineStr">
        <is>
          <t>Urmila Matondkar</t>
        </is>
      </c>
      <c r="AE3" s="5" t="inlineStr">
        <is>
          <t>Secondary</t>
        </is>
      </c>
      <c r="AF3" s="18" t="n">
        <v>3</v>
      </c>
      <c r="AG3" s="19" t="inlineStr">
        <is>
          <t>Romance subordinate to another genre</t>
        </is>
      </c>
      <c r="AH3" s="5" t="n"/>
      <c r="AI3" s="5" t="n"/>
      <c r="AJ3" s="5" t="n"/>
      <c r="AK3" s="5" t="n"/>
      <c r="AL3" s="5" t="n"/>
      <c r="AM3" s="5" t="n"/>
      <c r="AN3" s="5" t="n"/>
      <c r="AO3" s="20" t="n"/>
      <c r="AP3" s="19" t="n"/>
      <c r="AQ3" s="19" t="n"/>
      <c r="AR3" s="5" t="inlineStr">
        <is>
          <t>SOURCE-001; SOURCE-005</t>
        </is>
      </c>
      <c r="AS3" s="5" t="inlineStr">
        <is>
          <t>Medium</t>
        </is>
      </c>
      <c r="AT3" s="5" t="inlineStr">
        <is>
          <t>The filmography spells the character Sundar Shrivastav; the film page uses Sunder Srivastav. No box-office or reception data on the page.</t>
        </is>
      </c>
    </row>
    <row r="4" ht="94" customHeight="1">
      <c r="A4" s="15" t="inlineStr">
        <is>
          <t>FILM-003</t>
        </is>
      </c>
      <c r="B4" s="5" t="inlineStr">
        <is>
          <t>Raju Ban Gaya Gentleman</t>
        </is>
      </c>
      <c r="C4" s="16" t="n">
        <v>33921</v>
      </c>
      <c r="D4" s="17" t="n">
        <v>1992</v>
      </c>
      <c r="E4" s="5" t="inlineStr">
        <is>
          <t>1990s</t>
        </is>
      </c>
      <c r="F4" s="5" t="inlineStr">
        <is>
          <t>Hindi</t>
        </is>
      </c>
      <c r="G4" s="5" t="inlineStr">
        <is>
          <t>Romantic comedy-drama</t>
        </is>
      </c>
      <c r="H4" s="5" t="n"/>
      <c r="I4" s="17" t="n">
        <v>152</v>
      </c>
      <c r="J4" s="5" t="inlineStr">
        <is>
          <t>Aziz Mirza</t>
        </is>
      </c>
      <c r="K4" s="5" t="inlineStr">
        <is>
          <t>G. P. Sippy; Vivek Vaswani (co-producer)</t>
        </is>
      </c>
      <c r="L4" s="5" t="inlineStr">
        <is>
          <t>Sippy Films</t>
        </is>
      </c>
      <c r="M4" s="5" t="inlineStr">
        <is>
          <t>Manoj Lalwani; Aziz Mirza</t>
        </is>
      </c>
      <c r="N4" s="5" t="inlineStr">
        <is>
          <t>Loosely inspired by The Secret of My Success (1987), Shree 420 (1955) and Anari (1959)</t>
        </is>
      </c>
      <c r="O4" s="5" t="inlineStr">
        <is>
          <t>Jatin–Lalit</t>
        </is>
      </c>
      <c r="P4" s="5" t="n"/>
      <c r="Q4" s="5" t="n"/>
      <c r="R4" s="5" t="inlineStr">
        <is>
          <t>Raj "Raju" Mathur</t>
        </is>
      </c>
      <c r="S4" s="5" t="n"/>
      <c r="T4" s="5" t="inlineStr">
        <is>
          <t>Lead</t>
        </is>
      </c>
      <c r="U4" s="18" t="n">
        <v>1</v>
      </c>
      <c r="V4" s="5" t="inlineStr">
        <is>
          <t>Civil-engineering diploma holder; trainee at a construction company</t>
        </is>
      </c>
      <c r="W4" s="5" t="inlineStr">
        <is>
          <t>Newcomer from Darjeeling with no connections in Bombay</t>
        </is>
      </c>
      <c r="X4" s="19" t="inlineStr">
        <is>
          <t>Raju, a civil-engineering diploma holder from Darjeeling, arrives in Bombay with no contacts, befriends the street performer Jai and gets a trainee job through Renu, with whom he falls in love. Success draws him into the glamorous world of his boss's daughter Sapna, until rivals collapse a bridge he supervised and he is blamed. Disillusioned, he prepares to leave but turns back to Renu.</t>
        </is>
      </c>
      <c r="Y4" s="19" t="inlineStr">
        <is>
          <t>Becoming a big engineer</t>
        </is>
      </c>
      <c r="Z4" s="19" t="inlineStr">
        <is>
          <t>The lure of wealth and a sabotage that ruins his reputation</t>
        </is>
      </c>
      <c r="AA4" s="19" t="inlineStr">
        <is>
          <t>Ambitious newcomer is seduced by glamour, disillusioned, and returns to his modest love</t>
        </is>
      </c>
      <c r="AB4" s="19" t="inlineStr">
        <is>
          <t>Heroic</t>
        </is>
      </c>
      <c r="AC4" s="5" t="inlineStr">
        <is>
          <t>Reunited with Renu after deciding to leave the rich world</t>
        </is>
      </c>
      <c r="AD4" s="5" t="inlineStr">
        <is>
          <t>Juhi Chawla; Amrita Singh</t>
        </is>
      </c>
      <c r="AE4" s="5" t="inlineStr">
        <is>
          <t>Major</t>
        </is>
      </c>
      <c r="AF4" s="18" t="n">
        <v>6</v>
      </c>
      <c r="AG4" s="19" t="inlineStr">
        <is>
          <t>Love triangle</t>
        </is>
      </c>
      <c r="AH4" s="5" t="n"/>
      <c r="AI4" s="5" t="n"/>
      <c r="AJ4" s="21" t="n">
        <v>3.44</v>
      </c>
      <c r="AK4" s="5" t="n"/>
      <c r="AL4" s="5" t="n"/>
      <c r="AM4" s="5" t="inlineStr">
        <is>
          <t>INR crore</t>
        </is>
      </c>
      <c r="AN4" s="5" t="inlineStr">
        <is>
          <t>Commercial success</t>
        </is>
      </c>
      <c r="AO4" s="20" t="inlineStr">
        <is>
          <t>22 (India, 1992)</t>
        </is>
      </c>
      <c r="AP4" s="19" t="n"/>
      <c r="AQ4" s="19" t="inlineStr">
        <is>
          <t>Won the Filmfare Award for Best Screenplay; Nana Patekar was nominated for Best Supporting Actor. Its success in Japan introduced the commercial masala style there and began a short-lived boom in Indian releases.</t>
        </is>
      </c>
      <c r="AR4" s="5" t="inlineStr">
        <is>
          <t>SOURCE-001; SOURCE-006</t>
        </is>
      </c>
      <c r="AS4" s="5" t="inlineStr">
        <is>
          <t>Medium</t>
        </is>
      </c>
      <c r="AT4" s="5" t="inlineStr">
        <is>
          <t>India gross ₹3.44 crore from the box-office section. No budget, nett or reception section found.</t>
        </is>
      </c>
    </row>
    <row r="5" ht="79" customHeight="1">
      <c r="A5" s="15" t="inlineStr">
        <is>
          <t>FILM-004</t>
        </is>
      </c>
      <c r="B5" s="5" t="inlineStr">
        <is>
          <t>Dil Aashna Hai</t>
        </is>
      </c>
      <c r="C5" s="16" t="n">
        <v>33963</v>
      </c>
      <c r="D5" s="17" t="n">
        <v>1992</v>
      </c>
      <c r="E5" s="5" t="inlineStr">
        <is>
          <t>1990s</t>
        </is>
      </c>
      <c r="F5" s="5" t="inlineStr">
        <is>
          <t>Hindi</t>
        </is>
      </c>
      <c r="G5" s="5" t="inlineStr">
        <is>
          <t>Romance</t>
        </is>
      </c>
      <c r="H5" s="5" t="inlineStr">
        <is>
          <t>Drama</t>
        </is>
      </c>
      <c r="I5" s="17" t="n">
        <v>164</v>
      </c>
      <c r="J5" s="5" t="inlineStr">
        <is>
          <t>Hema Malini</t>
        </is>
      </c>
      <c r="K5" s="5" t="inlineStr">
        <is>
          <t>Hema Malini</t>
        </is>
      </c>
      <c r="L5" s="5" t="inlineStr">
        <is>
          <t>H. M. Creations</t>
        </is>
      </c>
      <c r="M5" s="5" t="inlineStr">
        <is>
          <t>Imtiaz Hussain (story, screenplay); Hema Malini (story); Iqbal Durrani; Suraj Sanim (dialogues)</t>
        </is>
      </c>
      <c r="N5" s="5" t="inlineStr">
        <is>
          <t>Adapted from the TV miniseries Lace, based on Shirley Conran's novel</t>
        </is>
      </c>
      <c r="O5" s="5" t="inlineStr">
        <is>
          <t>Anand–Milind</t>
        </is>
      </c>
      <c r="P5" s="5" t="n"/>
      <c r="Q5" s="5" t="n"/>
      <c r="R5" s="5" t="inlineStr">
        <is>
          <t>Karan Singh</t>
        </is>
      </c>
      <c r="S5" s="5" t="n"/>
      <c r="T5" s="5" t="inlineStr">
        <is>
          <t>Co-lead</t>
        </is>
      </c>
      <c r="U5" s="18" t="n">
        <v>2</v>
      </c>
      <c r="V5" s="5" t="n"/>
      <c r="W5" s="5" t="n"/>
      <c r="X5" s="19" t="inlineStr">
        <is>
          <t>Karan falls in love with Laila, a cabaret dancer raised in a brothel, and helps her search for the birth mother she has just learned about. He traces three women from an old college friendship and stages invitations to bring them together, then fights Digvijay Singh's thugs to rescue Laila and two of the women after they are kidnapped.</t>
        </is>
      </c>
      <c r="Y5" s="19" t="inlineStr">
        <is>
          <t>Love for Laila and helping her find her mother</t>
        </is>
      </c>
      <c r="Z5" s="19" t="inlineStr">
        <is>
          <t>Kidnapping by the thugs of Digvijay Singh and Govardhan Das</t>
        </is>
      </c>
      <c r="AA5" s="19" t="inlineStr">
        <is>
          <t>Devoted helper and rescuer; little personal development documented</t>
        </is>
      </c>
      <c r="AB5" s="19" t="inlineStr">
        <is>
          <t>Heroic</t>
        </is>
      </c>
      <c r="AC5" s="5" t="inlineStr">
        <is>
          <t>Rescues Laila, whose parentage is resolved</t>
        </is>
      </c>
      <c r="AD5" s="5" t="inlineStr">
        <is>
          <t>Divya Bharti</t>
        </is>
      </c>
      <c r="AE5" s="5" t="inlineStr">
        <is>
          <t>Secondary</t>
        </is>
      </c>
      <c r="AF5" s="18" t="n">
        <v>4</v>
      </c>
      <c r="AG5" s="19" t="inlineStr">
        <is>
          <t>Romance subordinate to another genre</t>
        </is>
      </c>
      <c r="AH5" s="5" t="n"/>
      <c r="AI5" s="5" t="n"/>
      <c r="AJ5" s="5" t="n"/>
      <c r="AK5" s="5" t="n"/>
      <c r="AL5" s="5" t="n"/>
      <c r="AM5" s="5" t="n"/>
      <c r="AN5" s="5" t="n"/>
      <c r="AO5" s="20" t="n"/>
      <c r="AP5" s="19" t="inlineStr">
        <is>
          <t>Appealed to a niche audience because of its progressive theme; Divya Bharti's performance is considered one of her best, and Khan's chemistry with her was appreciated.</t>
        </is>
      </c>
      <c r="AQ5" s="19" t="inlineStr">
        <is>
          <t>The first film Khan signed, in 1991; production delays meant Deewana released first.</t>
        </is>
      </c>
      <c r="AR5" s="5" t="inlineStr">
        <is>
          <t>SOURCE-001; SOURCE-007</t>
        </is>
      </c>
      <c r="AS5" s="5" t="inlineStr">
        <is>
          <t>Medium</t>
        </is>
      </c>
      <c r="AT5" s="5" t="inlineStr">
        <is>
          <t>No box-office figures found. Karan's occupation and background are not described.</t>
        </is>
      </c>
    </row>
    <row r="6" ht="79" customHeight="1">
      <c r="A6" s="15" t="inlineStr">
        <is>
          <t>FILM-005</t>
        </is>
      </c>
      <c r="B6" s="5" t="inlineStr">
        <is>
          <t>King Uncle</t>
        </is>
      </c>
      <c r="C6" s="16" t="n">
        <v>34005</v>
      </c>
      <c r="D6" s="17" t="n">
        <v>1993</v>
      </c>
      <c r="E6" s="5" t="inlineStr">
        <is>
          <t>1990s</t>
        </is>
      </c>
      <c r="F6" s="5" t="inlineStr">
        <is>
          <t>Hindi</t>
        </is>
      </c>
      <c r="G6" s="5" t="inlineStr">
        <is>
          <t>Action comedy</t>
        </is>
      </c>
      <c r="H6" s="5" t="inlineStr">
        <is>
          <t>Family drama</t>
        </is>
      </c>
      <c r="I6" s="17" t="n">
        <v>171</v>
      </c>
      <c r="J6" s="5" t="inlineStr">
        <is>
          <t>Rakesh Roshan</t>
        </is>
      </c>
      <c r="K6" s="5" t="inlineStr">
        <is>
          <t>Rakesh Roshan</t>
        </is>
      </c>
      <c r="L6" s="5" t="inlineStr">
        <is>
          <t>Filmkraft Productions</t>
        </is>
      </c>
      <c r="M6" s="5" t="inlineStr">
        <is>
          <t>Ravi Kapoor; Mohan Kaul; Anees Bazmee (dialogues)</t>
        </is>
      </c>
      <c r="N6" s="5" t="inlineStr">
        <is>
          <t>Inspired by Annie (1982), itself based on the comic strip Little Orphan Annie</t>
        </is>
      </c>
      <c r="O6" s="5" t="inlineStr">
        <is>
          <t>Rajesh Roshan</t>
        </is>
      </c>
      <c r="P6" s="5" t="n"/>
      <c r="Q6" s="5" t="n"/>
      <c r="R6" s="5" t="inlineStr">
        <is>
          <t>Anil Bansal</t>
        </is>
      </c>
      <c r="S6" s="5" t="n"/>
      <c r="T6" s="5" t="inlineStr">
        <is>
          <t>Supporting</t>
        </is>
      </c>
      <c r="U6" s="18" t="n">
        <v>2</v>
      </c>
      <c r="V6" s="5" t="n"/>
      <c r="W6" s="5" t="inlineStr">
        <is>
          <t>Younger brother in a wealthy industrialist's family</t>
        </is>
      </c>
      <c r="X6" s="19" t="inlineStr">
        <is>
          <t>Anil is the younger brother of Ashok Bansal, a wealthy, tyrannical industrialist who neglects his siblings. Rejecting his brother's high-handed control, Anil marries a poor girl, Kavita, and leaves the family home. He is reconciled with Ashok after the orphan Munna softens him and Ashok rescues their sister from her abusive marriage.</t>
        </is>
      </c>
      <c r="Y6" s="19" t="inlineStr">
        <is>
          <t>Independence from his brother and marriage to Kavita</t>
        </is>
      </c>
      <c r="Z6" s="19" t="inlineStr">
        <is>
          <t>Ashok's contempt for the poor and control over the family</t>
        </is>
      </c>
      <c r="AA6" s="19" t="inlineStr">
        <is>
          <t>Rebels and leaves home, then reconciles with a reformed brother</t>
        </is>
      </c>
      <c r="AB6" s="19" t="inlineStr">
        <is>
          <t>Heroic</t>
        </is>
      </c>
      <c r="AC6" s="5" t="inlineStr">
        <is>
          <t>Reconciled with Ashok</t>
        </is>
      </c>
      <c r="AD6" s="5" t="inlineStr">
        <is>
          <t>Nagma; Anu Aggarwal</t>
        </is>
      </c>
      <c r="AE6" s="5" t="inlineStr">
        <is>
          <t>Minor</t>
        </is>
      </c>
      <c r="AF6" s="18" t="n">
        <v>2</v>
      </c>
      <c r="AG6" s="19" t="inlineStr">
        <is>
          <t>Romance subordinate to another genre</t>
        </is>
      </c>
      <c r="AH6" s="5" t="n"/>
      <c r="AI6" s="5" t="n"/>
      <c r="AJ6" s="5" t="n"/>
      <c r="AK6" s="5" t="n"/>
      <c r="AL6" s="5" t="n"/>
      <c r="AM6" s="5" t="n"/>
      <c r="AN6" s="5" t="inlineStr">
        <is>
          <t>Moderate box-office success</t>
        </is>
      </c>
      <c r="AO6" s="20" t="n"/>
      <c r="AP6" s="19" t="inlineStr">
        <is>
          <t>Jackie Shroff's and Pooja Ruparel's performances received critical acclaim.</t>
        </is>
      </c>
      <c r="AQ6" s="19" t="inlineStr">
        <is>
          <t>Has gained cult status and is well received by families and children.</t>
        </is>
      </c>
      <c r="AR6" s="5" t="inlineStr">
        <is>
          <t>SOURCE-001; SOURCE-008</t>
        </is>
      </c>
      <c r="AS6" s="5" t="inlineStr">
        <is>
          <t>Medium</t>
        </is>
      </c>
      <c r="AT6" s="5" t="inlineStr">
        <is>
          <t>The synopsis covers Anil only briefly. No box-office figures found.</t>
        </is>
      </c>
    </row>
    <row r="7" ht="94" customHeight="1">
      <c r="A7" s="15" t="inlineStr">
        <is>
          <t>FILM-006</t>
        </is>
      </c>
      <c r="B7" s="5" t="inlineStr">
        <is>
          <t>Maya Memsaab</t>
        </is>
      </c>
      <c r="C7" s="16" t="n">
        <v>34152</v>
      </c>
      <c r="D7" s="17" t="n">
        <v>1993</v>
      </c>
      <c r="E7" s="5" t="inlineStr">
        <is>
          <t>1990s</t>
        </is>
      </c>
      <c r="F7" s="5" t="inlineStr">
        <is>
          <t>Hindi</t>
        </is>
      </c>
      <c r="G7" s="5" t="inlineStr">
        <is>
          <t>Mystery drama</t>
        </is>
      </c>
      <c r="H7" s="5" t="inlineStr">
        <is>
          <t>Art-house</t>
        </is>
      </c>
      <c r="I7" s="17" t="n">
        <v>130</v>
      </c>
      <c r="J7" s="5" t="inlineStr">
        <is>
          <t>Ketan Mehta</t>
        </is>
      </c>
      <c r="K7" s="5" t="inlineStr">
        <is>
          <t>Ketan Mehta</t>
        </is>
      </c>
      <c r="L7" s="5" t="n"/>
      <c r="M7" s="5" t="inlineStr">
        <is>
          <t>Ketan Mehta; Sitanshu Yashaschandra (screenplay); Hriday Lani (dialogue); Gulan Kriplani (Maya's monologues)</t>
        </is>
      </c>
      <c r="N7" s="5" t="inlineStr">
        <is>
          <t>Based on Gustave Flaubert's novel Madame Bovary (1857)</t>
        </is>
      </c>
      <c r="O7" s="5" t="inlineStr">
        <is>
          <t>Hridaynath Mangeshkar</t>
        </is>
      </c>
      <c r="P7" s="5" t="n"/>
      <c r="Q7" s="5" t="inlineStr">
        <is>
          <t>Gulzar</t>
        </is>
      </c>
      <c r="R7" s="5" t="inlineStr">
        <is>
          <t>Lalit Kumar</t>
        </is>
      </c>
      <c r="S7" s="5" t="n"/>
      <c r="T7" s="5" t="inlineStr">
        <is>
          <t>Supporting</t>
        </is>
      </c>
      <c r="U7" s="18" t="n">
        <v>4</v>
      </c>
      <c r="V7" s="5" t="n"/>
      <c r="W7" s="5" t="n"/>
      <c r="X7" s="19" t="inlineStr">
        <is>
          <t>Lalit is a much younger man who enters the life of Maya, a restless doctor's wife in Shimla, after her affair with Rudra. They begin a passionate affair, but it does not satisfy her longing for more than physical desire. When her reckless spending leads the moneylender Lalaji to seize her house, Lalit deserts her, as Rudra does, before her mysterious disappearance.</t>
        </is>
      </c>
      <c r="Y7" s="19" t="inlineStr">
        <is>
          <t>Passion for Maya</t>
        </is>
      </c>
      <c r="Z7" s="19" t="inlineStr">
        <is>
          <t>Maya's mounting debts and ruin</t>
        </is>
      </c>
      <c r="AA7" s="19" t="inlineStr">
        <is>
          <t>Passionate lover who abandons Maya when she is ruined</t>
        </is>
      </c>
      <c r="AB7" s="19" t="inlineStr">
        <is>
          <t>Morally compromised</t>
        </is>
      </c>
      <c r="AC7" s="5" t="inlineStr">
        <is>
          <t>Deserts Maya, whose disappearance is then investigated</t>
        </is>
      </c>
      <c r="AD7" s="5" t="inlineStr">
        <is>
          <t>Deepa Sahi</t>
        </is>
      </c>
      <c r="AE7" s="5" t="inlineStr">
        <is>
          <t>Major</t>
        </is>
      </c>
      <c r="AF7" s="18" t="n">
        <v>6</v>
      </c>
      <c r="AG7" s="19" t="inlineStr">
        <is>
          <t>Forbidden love</t>
        </is>
      </c>
      <c r="AH7" s="5" t="n"/>
      <c r="AI7" s="5" t="n"/>
      <c r="AJ7" s="5" t="n"/>
      <c r="AK7" s="5" t="n"/>
      <c r="AL7" s="5" t="n"/>
      <c r="AM7" s="5" t="inlineStr">
        <is>
          <t>INR crore</t>
        </is>
      </c>
      <c r="AN7" s="5" t="n"/>
      <c r="AO7" s="20" t="n"/>
      <c r="AP7" s="19" t="n"/>
      <c r="AQ7" s="19" t="inlineStr">
        <is>
          <t>Won the National Film Award – Special Mention (Feature Film). Rights are now owned by Khan's Red Chillies Entertainment.</t>
        </is>
      </c>
      <c r="AR7" s="5" t="inlineStr">
        <is>
          <t>SOURCE-001; SOURCE-009</t>
        </is>
      </c>
      <c r="AS7" s="5" t="inlineStr">
        <is>
          <t>Medium</t>
        </is>
      </c>
      <c r="AT7" s="5" t="inlineStr">
        <is>
          <t>Infobox gross of ₹1.85 crore is marked as an estimate without a nett/gross label and is not entered. No reception section on the page.</t>
        </is>
      </c>
    </row>
    <row r="8" ht="94" customHeight="1">
      <c r="A8" s="15" t="inlineStr">
        <is>
          <t>FILM-007</t>
        </is>
      </c>
      <c r="B8" s="5" t="inlineStr">
        <is>
          <t>Pehla Nasha</t>
        </is>
      </c>
      <c r="C8" s="16" t="n">
        <v>34194</v>
      </c>
      <c r="D8" s="17" t="n">
        <v>1993</v>
      </c>
      <c r="E8" s="5" t="inlineStr">
        <is>
          <t>1990s</t>
        </is>
      </c>
      <c r="F8" s="5" t="inlineStr">
        <is>
          <t>Hindi</t>
        </is>
      </c>
      <c r="G8" s="5" t="inlineStr">
        <is>
          <t>Thriller</t>
        </is>
      </c>
      <c r="H8" s="5" t="n"/>
      <c r="I8" s="17" t="n">
        <v>131</v>
      </c>
      <c r="J8" s="5" t="inlineStr">
        <is>
          <t>Ashutosh Gowariker</t>
        </is>
      </c>
      <c r="K8" s="5" t="inlineStr">
        <is>
          <t>Mohammed A. Rahim; Viral Shah</t>
        </is>
      </c>
      <c r="L8" s="5" t="n"/>
      <c r="M8" s="5" t="inlineStr">
        <is>
          <t>Neeraj Vora; Ashutosh Gowariker (screenplay); Sanjay Chhel (dialogues)</t>
        </is>
      </c>
      <c r="N8" s="5" t="inlineStr">
        <is>
          <t>Remake of Brian De Palma's Body Double (1984)</t>
        </is>
      </c>
      <c r="O8" s="5" t="inlineStr">
        <is>
          <t>Uttankk V. Vora; Neeraj Vora</t>
        </is>
      </c>
      <c r="P8" s="5" t="n"/>
      <c r="Q8" s="5" t="n"/>
      <c r="R8" s="5" t="inlineStr">
        <is>
          <t>Himself</t>
        </is>
      </c>
      <c r="S8" s="5" t="n"/>
      <c r="T8" s="5" t="inlineStr">
        <is>
          <t>Self appearance</t>
        </is>
      </c>
      <c r="U8" s="20" t="n"/>
      <c r="V8" s="5" t="n"/>
      <c r="W8" s="5" t="n"/>
      <c r="X8" s="19" t="inlineStr">
        <is>
          <t>Shah Rukh Khan appears as himself in Ashutosh Gowariker's directorial debut, a thriller about a struggling, claustrophobic actor who becomes a murder suspect after spying on a neighbour. He is one of several stars with cameos; the film is the only one to show Aamir Khan, Shah Rukh Khan and Saif Ali Khan in one scene. The sources consulted do not describe his scene further.</t>
        </is>
      </c>
      <c r="Y8" s="19" t="n"/>
      <c r="Z8" s="19" t="n"/>
      <c r="AA8" s="19" t="n"/>
      <c r="AB8" s="19" t="n"/>
      <c r="AC8" s="5" t="n"/>
      <c r="AD8" s="5" t="n"/>
      <c r="AE8" s="5" t="inlineStr">
        <is>
          <t>None</t>
        </is>
      </c>
      <c r="AF8" s="18" t="n">
        <v>0</v>
      </c>
      <c r="AG8" s="19" t="inlineStr">
        <is>
          <t>No meaningful romance</t>
        </is>
      </c>
      <c r="AH8" s="5" t="n"/>
      <c r="AI8" s="5" t="n"/>
      <c r="AJ8" s="5" t="n"/>
      <c r="AK8" s="5" t="n"/>
      <c r="AL8" s="5" t="n"/>
      <c r="AM8" s="5" t="n"/>
      <c r="AN8" s="5" t="inlineStr">
        <is>
          <t>Failure</t>
        </is>
      </c>
      <c r="AO8" s="20" t="n"/>
      <c r="AP8" s="19" t="inlineStr">
        <is>
          <t>Negative reviews.</t>
        </is>
      </c>
      <c r="AQ8" s="19" t="inlineStr">
        <is>
          <t>The only film with Aamir Khan, Shah Rukh Khan and Saif Ali Khan in a scene together, alongside Rahul Roy and Sudesh Berry.</t>
        </is>
      </c>
      <c r="AR8" s="5" t="inlineStr">
        <is>
          <t>SOURCE-001; SOURCE-010</t>
        </is>
      </c>
      <c r="AS8" s="5" t="inlineStr">
        <is>
          <t>Medium</t>
        </is>
      </c>
      <c r="AT8" s="5" t="n"/>
    </row>
    <row r="9" ht="94" customHeight="1">
      <c r="A9" s="15" t="inlineStr">
        <is>
          <t>FILM-008</t>
        </is>
      </c>
      <c r="B9" s="5" t="inlineStr">
        <is>
          <t>Baazigar</t>
        </is>
      </c>
      <c r="C9" s="16" t="n">
        <v>34285</v>
      </c>
      <c r="D9" s="17" t="n">
        <v>1993</v>
      </c>
      <c r="E9" s="5" t="inlineStr">
        <is>
          <t>1990s</t>
        </is>
      </c>
      <c r="F9" s="5" t="inlineStr">
        <is>
          <t>Hindi</t>
        </is>
      </c>
      <c r="G9" s="5" t="inlineStr">
        <is>
          <t>Psychological thriller</t>
        </is>
      </c>
      <c r="H9" s="5" t="inlineStr">
        <is>
          <t>Comedy</t>
        </is>
      </c>
      <c r="I9" s="17" t="n">
        <v>182</v>
      </c>
      <c r="J9" s="5" t="inlineStr">
        <is>
          <t>Abbas–Mustan</t>
        </is>
      </c>
      <c r="K9" s="5" t="inlineStr">
        <is>
          <t>Ganesh Jain; Champak Jain</t>
        </is>
      </c>
      <c r="L9" s="5" t="inlineStr">
        <is>
          <t>Venus Movies</t>
        </is>
      </c>
      <c r="M9" s="5" t="inlineStr">
        <is>
          <t>Robin Bhatt; Akash Khurana; Javed Siddiqui</t>
        </is>
      </c>
      <c r="N9" s="5" t="inlineStr">
        <is>
          <t>Loosely based on A Kiss Before Dying (1956) and A Kiss Before Dying (1991), both from Ira Levin's 1953 novel</t>
        </is>
      </c>
      <c r="O9" s="5" t="inlineStr">
        <is>
          <t>Anu Malik</t>
        </is>
      </c>
      <c r="P9" s="5" t="inlineStr">
        <is>
          <t>Shyam–Surender</t>
        </is>
      </c>
      <c r="Q9" s="5" t="inlineStr">
        <is>
          <t>Dev Kohli; Gauhar Kanpuri; Nawab Arzoo; Rani Malik</t>
        </is>
      </c>
      <c r="R9" s="5" t="inlineStr">
        <is>
          <t>Ajay Sharma</t>
        </is>
      </c>
      <c r="S9" s="5" t="inlineStr">
        <is>
          <t>Poses as Vicky Malhotra</t>
        </is>
      </c>
      <c r="T9" s="5" t="inlineStr">
        <is>
          <t>Lead</t>
        </is>
      </c>
      <c r="U9" s="18" t="n">
        <v>1</v>
      </c>
      <c r="V9" s="5" t="n"/>
      <c r="W9" s="5" t="inlineStr">
        <is>
          <t>Son of a businessman ruined by his employee Madan Chopra; family left destitute</t>
        </is>
      </c>
      <c r="X9" s="19" t="inlineStr">
        <is>
          <t>As a boy, Ajay watched Madan Chopra swindle his father, leaving his father and baby sister dead and his mother insane. As an adult he poses as Vicky Malhotra to win Chopra's trust, murders Chopra's elder daughter Seema, his secret lover, and kills witnesses while getting engaged to the younger daughter Priya. After seizing Chopra's company he kills Chopra and dies of his wounds in his mother's arms.</t>
        </is>
      </c>
      <c r="Y9" s="19" t="inlineStr">
        <is>
          <t>Revenge on Madan Chopra for destroying his family</t>
        </is>
      </c>
      <c r="Z9" s="19" t="inlineStr">
        <is>
          <t>Priya's investigation and Chopra's discovery of his identity</t>
        </is>
      </c>
      <c r="AA9" s="19" t="inlineStr">
        <is>
          <t>Wronged child becomes a serial killer and dies after completing his revenge</t>
        </is>
      </c>
      <c r="AB9" s="19" t="inlineStr">
        <is>
          <t>Anti-hero; murderer</t>
        </is>
      </c>
      <c r="AC9" s="5" t="inlineStr">
        <is>
          <t>Dies in his mother's arms after killing Chopra</t>
        </is>
      </c>
      <c r="AD9" s="5" t="inlineStr">
        <is>
          <t>Kajol; Shilpa Shetty</t>
        </is>
      </c>
      <c r="AE9" s="5" t="inlineStr">
        <is>
          <t>Major</t>
        </is>
      </c>
      <c r="AF9" s="18" t="n">
        <v>5</v>
      </c>
      <c r="AG9" s="19" t="inlineStr">
        <is>
          <t>Multiple romantic relationships</t>
        </is>
      </c>
      <c r="AH9" s="21" t="n">
        <v>3</v>
      </c>
      <c r="AI9" s="21" t="n">
        <v>15</v>
      </c>
      <c r="AJ9" s="21" t="n">
        <v>32</v>
      </c>
      <c r="AK9" s="5" t="n"/>
      <c r="AL9" s="5" t="n"/>
      <c r="AM9" s="5" t="inlineStr">
        <is>
          <t>INR crore</t>
        </is>
      </c>
      <c r="AN9" s="5" t="inlineStr">
        <is>
          <t>Major commercial success</t>
        </is>
      </c>
      <c r="AO9" s="20" t="inlineStr">
        <is>
          <t>4 (Hindi films, 1993)</t>
        </is>
      </c>
      <c r="AP9" s="19" t="n"/>
      <c r="AQ9" s="19" t="inlineStr">
        <is>
          <t>Has earned cult status. Won four Filmfare Awards, including Best Actor for Shah Rukh Khan, Best Music Director and Best Screenplay. Shilpa Shetty's acting debut.</t>
        </is>
      </c>
      <c r="AR9" s="5" t="inlineStr">
        <is>
          <t>SOURCE-001; SOURCE-011</t>
        </is>
      </c>
      <c r="AS9" s="5" t="inlineStr">
        <is>
          <t>Medium</t>
        </is>
      </c>
      <c r="AT9" s="5" t="inlineStr">
        <is>
          <t>The box-office section gives India nett ₹15 crore and gross ₹32 crore; the lead instead says it grossed ₹150 million worldwide, and the infobox marks ₹15 crore as an estimated gross. The box-office section's labelled figures are entered; treat them as Low confidence. No reception section on the page.</t>
        </is>
      </c>
    </row>
    <row r="10" ht="94" customHeight="1">
      <c r="A10" s="15" t="inlineStr">
        <is>
          <t>FILM-009</t>
        </is>
      </c>
      <c r="B10" s="5" t="inlineStr">
        <is>
          <t>Darr</t>
        </is>
      </c>
      <c r="C10" s="16" t="n">
        <v>34327</v>
      </c>
      <c r="D10" s="17" t="n">
        <v>1993</v>
      </c>
      <c r="E10" s="5" t="inlineStr">
        <is>
          <t>1990s</t>
        </is>
      </c>
      <c r="F10" s="5" t="inlineStr">
        <is>
          <t>Hindi</t>
        </is>
      </c>
      <c r="G10" s="5" t="inlineStr">
        <is>
          <t>Psychological thriller</t>
        </is>
      </c>
      <c r="H10" s="5" t="inlineStr">
        <is>
          <t>Romance</t>
        </is>
      </c>
      <c r="I10" s="17" t="n">
        <v>177</v>
      </c>
      <c r="J10" s="5" t="inlineStr">
        <is>
          <t>Yash Chopra</t>
        </is>
      </c>
      <c r="K10" s="5" t="inlineStr">
        <is>
          <t>Yash Chopra</t>
        </is>
      </c>
      <c r="L10" s="5" t="inlineStr">
        <is>
          <t>Yash Raj Films</t>
        </is>
      </c>
      <c r="M10" s="5" t="inlineStr">
        <is>
          <t>Honey Irani (story, screenplay); Javed Siddiqui (dialogues)</t>
        </is>
      </c>
      <c r="N10" s="5" t="n"/>
      <c r="O10" s="5" t="inlineStr">
        <is>
          <t>Shiv–Hari</t>
        </is>
      </c>
      <c r="P10" s="5" t="n"/>
      <c r="Q10" s="5" t="n"/>
      <c r="R10" s="5" t="inlineStr">
        <is>
          <t>Rahul Mehra</t>
        </is>
      </c>
      <c r="S10" s="5" t="n"/>
      <c r="T10" s="5" t="inlineStr">
        <is>
          <t>Antagonist</t>
        </is>
      </c>
      <c r="U10" s="18" t="n">
        <v>3</v>
      </c>
      <c r="V10" s="5" t="n"/>
      <c r="W10" s="5" t="inlineStr">
        <is>
          <t>Son of Captain Avinash Mehra, Sunil's commanding officer in the Indian Navy</t>
        </is>
      </c>
      <c r="X10" s="19" t="inlineStr">
        <is>
          <t>Rahul, a naval captain's son, is Kiran's former classmate and obsessively in love with her. He stalks her with calls and visits, befriends her fiancé Sunil to stay close, tries to kill him, and murders the police guarding the newly married couple. He follows them to Switzerland, stabs Sunil and tries to force Kiran into marriage before Sunil shoots him; dying, he begs Kiran not to hate him.</t>
        </is>
      </c>
      <c r="Y10" s="19" t="inlineStr">
        <is>
          <t>Possessing Kiran</t>
        </is>
      </c>
      <c r="Z10" s="19" t="inlineStr">
        <is>
          <t>Kiran's rejection and her love for Sunil</t>
        </is>
      </c>
      <c r="AA10" s="19" t="inlineStr">
        <is>
          <t>Obsessive admirer escalates to murder and dies expressing shame</t>
        </is>
      </c>
      <c r="AB10" s="19" t="inlineStr">
        <is>
          <t>Villain</t>
        </is>
      </c>
      <c r="AC10" s="5" t="inlineStr">
        <is>
          <t>Shot dead by Sunil</t>
        </is>
      </c>
      <c r="AD10" s="5" t="inlineStr">
        <is>
          <t>Juhi Chawla</t>
        </is>
      </c>
      <c r="AE10" s="5" t="inlineStr">
        <is>
          <t>Central</t>
        </is>
      </c>
      <c r="AF10" s="18" t="n">
        <v>9</v>
      </c>
      <c r="AG10" s="19" t="inlineStr">
        <is>
          <t>Obsessive pursuit</t>
        </is>
      </c>
      <c r="AH10" s="21" t="n">
        <v>3.25</v>
      </c>
      <c r="AI10" s="21" t="n">
        <v>10.74</v>
      </c>
      <c r="AJ10" s="21" t="n">
        <v>15.73</v>
      </c>
      <c r="AK10" s="21" t="n">
        <v>5.58</v>
      </c>
      <c r="AL10" s="21" t="n">
        <v>21.31</v>
      </c>
      <c r="AM10" s="5" t="inlineStr">
        <is>
          <t>INR crore</t>
        </is>
      </c>
      <c r="AN10" s="5" t="inlineStr">
        <is>
          <t>Blockbuster</t>
        </is>
      </c>
      <c r="AO10" s="20" t="inlineStr">
        <is>
          <t>3 (India, 1993)</t>
        </is>
      </c>
      <c r="AP10" s="19" t="inlineStr">
        <is>
          <t>Widespread critical acclaim for the direction, story, screenplay, soundtrack, cinematography and performances; Khan's portrayal of an obsessive lover was widely appreciated by critics and audiences.</t>
        </is>
      </c>
      <c r="AQ10" s="19" t="inlineStr">
        <is>
          <t>Won the National Film Award for Best Popular Film Providing Wholesome Entertainment; Khan was nominated for Filmfare Best Villain. His stammered 'I love you, K-k-k-Kiran' remains iconic, and the film was a career milestone for Deol, Chawla and Khan.</t>
        </is>
      </c>
      <c r="AR10" s="5" t="inlineStr">
        <is>
          <t>SOURCE-001; SOURCE-012</t>
        </is>
      </c>
      <c r="AS10" s="5" t="inlineStr">
        <is>
          <t>Medium</t>
        </is>
      </c>
      <c r="AT10" s="5" t="inlineStr">
        <is>
          <t>The lead calls Darr the highest-grossing Indian film of 1993; the box-office section ranks it third domestically (after Aankhen and Khalnayak) and first overseas. Overseas gross reported as US$500,000 (₹5.58 crore). Budget not confirmed in the fetched text.</t>
        </is>
      </c>
    </row>
    <row r="11" ht="94" customHeight="1">
      <c r="A11" s="15" t="inlineStr">
        <is>
          <t>FILM-010</t>
        </is>
      </c>
      <c r="B11" s="5" t="inlineStr">
        <is>
          <t>Kabhi Haan Kabhi Naa</t>
        </is>
      </c>
      <c r="C11" s="16" t="n">
        <v>34390</v>
      </c>
      <c r="D11" s="17" t="n">
        <v>1994</v>
      </c>
      <c r="E11" s="5" t="inlineStr">
        <is>
          <t>1990s</t>
        </is>
      </c>
      <c r="F11" s="5" t="inlineStr">
        <is>
          <t>Hindi</t>
        </is>
      </c>
      <c r="G11" s="5" t="inlineStr">
        <is>
          <t>Coming-of-age comedy-drama</t>
        </is>
      </c>
      <c r="H11" s="5" t="inlineStr">
        <is>
          <t>Romance</t>
        </is>
      </c>
      <c r="I11" s="17" t="n">
        <v>158</v>
      </c>
      <c r="J11" s="5" t="inlineStr">
        <is>
          <t>Kundan Shah</t>
        </is>
      </c>
      <c r="K11" s="5" t="inlineStr">
        <is>
          <t>Vikram Mehrotra</t>
        </is>
      </c>
      <c r="L11" s="5" t="n"/>
      <c r="M11" s="5" t="inlineStr">
        <is>
          <t>Pankaj Advani; Kundan Shah; Ranjit Kapoor (dialogues)</t>
        </is>
      </c>
      <c r="N11" s="5" t="n"/>
      <c r="O11" s="5" t="inlineStr">
        <is>
          <t>Jatin–Lalit</t>
        </is>
      </c>
      <c r="P11" s="5" t="n"/>
      <c r="Q11" s="5" t="n"/>
      <c r="R11" s="5" t="inlineStr">
        <is>
          <t>Sunil</t>
        </is>
      </c>
      <c r="S11" s="5" t="n"/>
      <c r="T11" s="5" t="inlineStr">
        <is>
          <t>Lead</t>
        </is>
      </c>
      <c r="U11" s="18" t="n">
        <v>1</v>
      </c>
      <c r="V11" s="5" t="inlineStr">
        <is>
          <t>Student and band musician</t>
        </is>
      </c>
      <c r="W11" s="5" t="inlineStr">
        <is>
          <t>Son of Vinayak, who despairs of his repeated exam failures</t>
        </is>
      </c>
      <c r="X11" s="19" t="inlineStr">
        <is>
          <t>Sunil, a happy-go-lucky musician who keeps failing his exams, loves his bandmate Anna, who loves Chris. His lies to split them get him slapped and thrown out of the band, but he wins back his friends and his father's respect. When Chris's marriage is fixed elsewhere Sunil becomes Anna's fiancé, then realises she still loves Chris and reunites them, ending heartbroken but hopeful.</t>
        </is>
      </c>
      <c r="Y11" s="19" t="inlineStr">
        <is>
          <t>Winning Anna's love</t>
        </is>
      </c>
      <c r="Z11" s="19" t="inlineStr">
        <is>
          <t>Anna's love for Chris and his father's disappointment</t>
        </is>
      </c>
      <c r="AA11" s="19" t="inlineStr">
        <is>
          <t>Jealous schemer learns to put Anna's happiness above his own</t>
        </is>
      </c>
      <c r="AB11" s="19" t="inlineStr">
        <is>
          <t>Flawed but good-hearted</t>
        </is>
      </c>
      <c r="AC11" s="5" t="inlineStr">
        <is>
          <t>Loses Anna to Chris; meets a new girl</t>
        </is>
      </c>
      <c r="AD11" s="5" t="inlineStr">
        <is>
          <t>Suchitra Krishnamoorthi</t>
        </is>
      </c>
      <c r="AE11" s="5" t="inlineStr">
        <is>
          <t>Central</t>
        </is>
      </c>
      <c r="AF11" s="18" t="n">
        <v>8</v>
      </c>
      <c r="AG11" s="19" t="inlineStr">
        <is>
          <t>Love triangle</t>
        </is>
      </c>
      <c r="AH11" s="21" t="n">
        <v>1.4</v>
      </c>
      <c r="AI11" s="5" t="n"/>
      <c r="AJ11" s="5" t="n"/>
      <c r="AK11" s="5" t="n"/>
      <c r="AL11" s="5" t="n"/>
      <c r="AM11" s="5" t="inlineStr">
        <is>
          <t>INR crore</t>
        </is>
      </c>
      <c r="AN11" s="5" t="n"/>
      <c r="AO11" s="20" t="n"/>
      <c r="AP11" s="19" t="inlineStr">
        <is>
          <t>Positive reviews; widely considered one of Khan's best performances, and he has called it his favourite film. Sampada Sharma (The Indian Express, retrospective) praised its subtle, circumstantial humour.</t>
        </is>
      </c>
      <c r="AQ11" s="19" t="inlineStr">
        <is>
          <t>Won the Filmfare Awards for Best Film (Critics) and Best Actor (Critics) for Khan. Premiered in the Indian Panorama of the 24th International Film Festival of India; remade in Telugu as Swapnalokam (1999).</t>
        </is>
      </c>
      <c r="AR11" s="5" t="inlineStr">
        <is>
          <t>SOURCE-001; SOURCE-013</t>
        </is>
      </c>
      <c r="AS11" s="5" t="inlineStr">
        <is>
          <t>Medium</t>
        </is>
      </c>
      <c r="AT11" s="5" t="inlineStr">
        <is>
          <t>Screened at IFFI in January 1993 (Wikipedia calls it a 1993 film); theatrical release 25 February 1994. Budget ₹14 million; the gross of ₹55 million has no nett/gross label and is not entered.</t>
        </is>
      </c>
    </row>
    <row r="12" ht="94" customHeight="1">
      <c r="A12" s="15" t="inlineStr">
        <is>
          <t>FILM-011</t>
        </is>
      </c>
      <c r="B12" s="5" t="inlineStr">
        <is>
          <t>Anjaam</t>
        </is>
      </c>
      <c r="C12" s="16" t="n">
        <v>34446</v>
      </c>
      <c r="D12" s="17" t="n">
        <v>1994</v>
      </c>
      <c r="E12" s="5" t="inlineStr">
        <is>
          <t>1990s</t>
        </is>
      </c>
      <c r="F12" s="5" t="inlineStr">
        <is>
          <t>Hindi</t>
        </is>
      </c>
      <c r="G12" s="5" t="inlineStr">
        <is>
          <t>Psychological crime thriller</t>
        </is>
      </c>
      <c r="H12" s="5" t="inlineStr">
        <is>
          <t>Revenge drama</t>
        </is>
      </c>
      <c r="I12" s="17" t="n">
        <v>171</v>
      </c>
      <c r="J12" s="5" t="inlineStr">
        <is>
          <t>Rahul Rawail</t>
        </is>
      </c>
      <c r="K12" s="5" t="inlineStr">
        <is>
          <t>Maharukh Johki; Rita Rawail</t>
        </is>
      </c>
      <c r="L12" s="5" t="inlineStr">
        <is>
          <t>Shiv-Bharat Films</t>
        </is>
      </c>
      <c r="M12" s="5" t="inlineStr">
        <is>
          <t>Rumi Jaffery; Sutanu Gupta and Gautam Rajadhyaksha (story)</t>
        </is>
      </c>
      <c r="N12" s="5" t="n"/>
      <c r="O12" s="5" t="inlineStr">
        <is>
          <t>Anand–Milind</t>
        </is>
      </c>
      <c r="P12" s="5" t="n"/>
      <c r="Q12" s="5" t="inlineStr">
        <is>
          <t>Sameer</t>
        </is>
      </c>
      <c r="R12" s="5" t="inlineStr">
        <is>
          <t>Vijay Agnihotri</t>
        </is>
      </c>
      <c r="S12" s="5" t="n"/>
      <c r="T12" s="5" t="inlineStr">
        <is>
          <t>Antagonist</t>
        </is>
      </c>
      <c r="U12" s="18" t="n">
        <v>2</v>
      </c>
      <c r="V12" s="5" t="inlineStr">
        <is>
          <t>Industrialist who owns his family's companies and founds an airline</t>
        </is>
      </c>
      <c r="W12" s="5" t="inlineStr">
        <is>
          <t>Wealthy industrial family</t>
        </is>
      </c>
      <c r="X12" s="19" t="inlineStr">
        <is>
          <t>Vijay, a wealthy industrialist, becomes obsessed with the air hostess Shivani, who rejects him and marries a pilot. Years later he hires her husband, kills him, frames Shivani for attempted murder and, while she is in prison, accidentally runs over her sister and daughter. Paralysed, he is nursed back to health by Shivani, who then stabs him and falls with him from a cliff.</t>
        </is>
      </c>
      <c r="Y12" s="19" t="inlineStr">
        <is>
          <t>Possessing Shivani</t>
        </is>
      </c>
      <c r="Z12" s="19" t="inlineStr">
        <is>
          <t>Shivani's rejection and her marriage</t>
        </is>
      </c>
      <c r="AA12" s="19" t="inlineStr">
        <is>
          <t>Entitled admirer becomes a murderer and dies at his victim's hands</t>
        </is>
      </c>
      <c r="AB12" s="19" t="inlineStr">
        <is>
          <t>Villain</t>
        </is>
      </c>
      <c r="AC12" s="5" t="inlineStr">
        <is>
          <t>Killed with Shivani in a fall from a cliff</t>
        </is>
      </c>
      <c r="AD12" s="5" t="inlineStr">
        <is>
          <t>Madhuri Dixit</t>
        </is>
      </c>
      <c r="AE12" s="5" t="inlineStr">
        <is>
          <t>Central</t>
        </is>
      </c>
      <c r="AF12" s="18" t="n">
        <v>9</v>
      </c>
      <c r="AG12" s="19" t="inlineStr">
        <is>
          <t>Obsessive pursuit</t>
        </is>
      </c>
      <c r="AH12" s="21" t="n">
        <v>2.65</v>
      </c>
      <c r="AI12" s="5" t="n"/>
      <c r="AJ12" s="5" t="n"/>
      <c r="AK12" s="5" t="n"/>
      <c r="AL12" s="5" t="n"/>
      <c r="AM12" s="5" t="inlineStr">
        <is>
          <t>INR crore</t>
        </is>
      </c>
      <c r="AN12" s="5" t="n"/>
      <c r="AO12" s="20" t="n"/>
      <c r="AP12" s="19" t="n"/>
      <c r="AQ12" s="19" t="inlineStr">
        <is>
          <t>Won Khan the Filmfare Best Villain award; Madhuri Dixit was nominated for Best Actress. First pairing of Dixit and Khan; rights now owned by Red Chillies Entertainment.</t>
        </is>
      </c>
      <c r="AR12" s="5" t="inlineStr">
        <is>
          <t>SOURCE-001; SOURCE-014</t>
        </is>
      </c>
      <c r="AS12" s="5" t="inlineStr">
        <is>
          <t>Medium</t>
        </is>
      </c>
      <c r="AT12" s="5" t="inlineStr">
        <is>
          <t>Budget from the infobox. Estimated gross of ₹9.66 crore has no nett/gross label and is not entered. The page has no box-office or reception section.</t>
        </is>
      </c>
    </row>
    <row r="13" ht="94" customHeight="1">
      <c r="A13" s="15" t="inlineStr">
        <is>
          <t>FILM-012</t>
        </is>
      </c>
      <c r="B13" s="5" t="inlineStr">
        <is>
          <t>Karan Arjun</t>
        </is>
      </c>
      <c r="C13" s="16" t="n">
        <v>34712</v>
      </c>
      <c r="D13" s="17" t="n">
        <v>1995</v>
      </c>
      <c r="E13" s="5" t="inlineStr">
        <is>
          <t>1990s</t>
        </is>
      </c>
      <c r="F13" s="5" t="inlineStr">
        <is>
          <t>Hindi</t>
        </is>
      </c>
      <c r="G13" s="5" t="inlineStr">
        <is>
          <t>Fantasy action drama</t>
        </is>
      </c>
      <c r="H13" s="5" t="inlineStr">
        <is>
          <t>Revenge drama</t>
        </is>
      </c>
      <c r="I13" s="17" t="n">
        <v>175</v>
      </c>
      <c r="J13" s="5" t="inlineStr">
        <is>
          <t>Rakesh Roshan</t>
        </is>
      </c>
      <c r="K13" s="5" t="inlineStr">
        <is>
          <t>Rakesh Roshan</t>
        </is>
      </c>
      <c r="L13" s="5" t="inlineStr">
        <is>
          <t>Filmkraft Productions</t>
        </is>
      </c>
      <c r="M13" s="5" t="inlineStr">
        <is>
          <t>Sachin Bhowmick; Ravi Kapoor; Anwar Khan</t>
        </is>
      </c>
      <c r="N13" s="5" t="n"/>
      <c r="O13" s="5" t="inlineStr">
        <is>
          <t>Rajesh Roshan</t>
        </is>
      </c>
      <c r="P13" s="5" t="n"/>
      <c r="Q13" s="5" t="n"/>
      <c r="R13" s="5" t="inlineStr">
        <is>
          <t>Arjun Singh</t>
        </is>
      </c>
      <c r="S13" s="5" t="inlineStr">
        <is>
          <t>Reincarnated as Vijay Sharma</t>
        </is>
      </c>
      <c r="T13" s="5" t="inlineStr">
        <is>
          <t>Co-lead</t>
        </is>
      </c>
      <c r="U13" s="18" t="n">
        <v>2</v>
      </c>
      <c r="V13" s="5" t="n"/>
      <c r="W13" s="5" t="inlineStr">
        <is>
          <t>Son of a poor widow in a Rajasthan village; grandson of Thakur Sangram Singh</t>
        </is>
      </c>
      <c r="X13" s="19" t="inlineStr">
        <is>
          <t>Arjun and his brother Karan, sons of the poor widow Durga, are murdered by their greedy relative Durjan Singh to stop them inheriting the Thakur's estate. Reborn as Vijay, Arjun falls in love with the wealthy Sonia, whose wedding is fixed to Durjan's son. Rescuing her restores his memory; he reunites with his mother and reborn brother, avenges their deaths and marries Sonia.</t>
        </is>
      </c>
      <c r="Y13" s="19" t="inlineStr">
        <is>
          <t>Love for Sonia, then avenging his past-life murder</t>
        </is>
      </c>
      <c r="Z13" s="19" t="inlineStr">
        <is>
          <t>Durjan Singh's family and Sonia's forced marriage</t>
        </is>
      </c>
      <c r="AA13" s="19" t="inlineStr">
        <is>
          <t>Reincarnated lover recovers his past and completes his mother's revenge</t>
        </is>
      </c>
      <c r="AB13" s="19" t="inlineStr">
        <is>
          <t>Heroic</t>
        </is>
      </c>
      <c r="AC13" s="5" t="inlineStr">
        <is>
          <t>Kills Durjan with Karan and marries Sonia</t>
        </is>
      </c>
      <c r="AD13" s="5" t="inlineStr">
        <is>
          <t>Kajol; Mamta Kulkarni</t>
        </is>
      </c>
      <c r="AE13" s="5" t="inlineStr">
        <is>
          <t>Secondary</t>
        </is>
      </c>
      <c r="AF13" s="18" t="n">
        <v>4</v>
      </c>
      <c r="AG13" s="19" t="inlineStr">
        <is>
          <t>Romance subordinate to another genre</t>
        </is>
      </c>
      <c r="AH13" s="21" t="n">
        <v>6</v>
      </c>
      <c r="AI13" s="5" t="n"/>
      <c r="AJ13" s="5" t="n"/>
      <c r="AK13" s="21" t="n">
        <v>1.58</v>
      </c>
      <c r="AL13" s="21" t="n">
        <v>45</v>
      </c>
      <c r="AM13" s="5" t="inlineStr">
        <is>
          <t>INR crore</t>
        </is>
      </c>
      <c r="AN13" s="5" t="inlineStr">
        <is>
          <t>All-time blockbuster</t>
        </is>
      </c>
      <c r="AO13" s="20" t="inlineStr">
        <is>
          <t>2 (Bollywood, 1995)</t>
        </is>
      </c>
      <c r="AP13" s="19" t="inlineStr">
        <is>
          <t>Positive reviews from critics.</t>
        </is>
      </c>
      <c r="AQ13" s="19" t="inlineStr">
        <is>
          <t>Sixth highest-grossing film of the 1990s. Ten Filmfare nominations and two wins (Best Editing, Best Action). Re-released worldwide on 22 November 2024.</t>
        </is>
      </c>
      <c r="AR13" s="5" t="inlineStr">
        <is>
          <t>SOURCE-001; SOURCE-015</t>
        </is>
      </c>
      <c r="AS13" s="5" t="inlineStr">
        <is>
          <t>Medium</t>
        </is>
      </c>
      <c r="AT13" s="5" t="inlineStr">
        <is>
          <t>Worldwide gross ₹450 million; overseas US$500,000 (₹15.8 million). Budget from the infobox.</t>
        </is>
      </c>
    </row>
    <row r="14" ht="94" customHeight="1">
      <c r="A14" s="15" t="inlineStr">
        <is>
          <t>FILM-013</t>
        </is>
      </c>
      <c r="B14" s="5" t="inlineStr">
        <is>
          <t>Zamaana Deewana</t>
        </is>
      </c>
      <c r="C14" s="16" t="n">
        <v>34908</v>
      </c>
      <c r="D14" s="17" t="n">
        <v>1995</v>
      </c>
      <c r="E14" s="5" t="inlineStr">
        <is>
          <t>1990s</t>
        </is>
      </c>
      <c r="F14" s="5" t="inlineStr">
        <is>
          <t>Hindi</t>
        </is>
      </c>
      <c r="G14" s="5" t="inlineStr">
        <is>
          <t>Masala</t>
        </is>
      </c>
      <c r="H14" s="5" t="inlineStr">
        <is>
          <t>Romance</t>
        </is>
      </c>
      <c r="I14" s="17" t="n">
        <v>180</v>
      </c>
      <c r="J14" s="5" t="inlineStr">
        <is>
          <t>Ramesh Sippy</t>
        </is>
      </c>
      <c r="K14" s="5" t="inlineStr">
        <is>
          <t>G. P. Sippy</t>
        </is>
      </c>
      <c r="L14" s="5" t="inlineStr">
        <is>
          <t>Sippy Films</t>
        </is>
      </c>
      <c r="M14" s="5" t="inlineStr">
        <is>
          <t>Robin Bhatt; Javed Siddiqui</t>
        </is>
      </c>
      <c r="N14" s="5" t="n"/>
      <c r="O14" s="5" t="inlineStr">
        <is>
          <t>Nadeem–Shravan</t>
        </is>
      </c>
      <c r="P14" s="5" t="inlineStr">
        <is>
          <t>Naresh Sharma</t>
        </is>
      </c>
      <c r="Q14" s="5" t="inlineStr">
        <is>
          <t>Sameer</t>
        </is>
      </c>
      <c r="R14" s="5" t="inlineStr">
        <is>
          <t>Rahul Singh</t>
        </is>
      </c>
      <c r="S14" s="5" t="n"/>
      <c r="T14" s="5" t="inlineStr">
        <is>
          <t>Lead</t>
        </is>
      </c>
      <c r="U14" s="18" t="n">
        <v>1</v>
      </c>
      <c r="V14" s="5" t="n"/>
      <c r="W14" s="5" t="inlineStr">
        <is>
          <t>Son of the gang leader Suraj Pratap Singh</t>
        </is>
      </c>
      <c r="X14" s="19" t="inlineStr">
        <is>
          <t>Rahul is the lively, spirited son of Suraj Pratap Singh, whose friendship with Lala has turned, through Sundar's tricks, into a gang war that terrorises the city. Two criminal psychologists hired by the police steer Rahul towards Lala's daughter Priya, hoping a romance will reconcile the families. The fetched plot summary ends at this premise.</t>
        </is>
      </c>
      <c r="Y14" s="19" t="n"/>
      <c r="Z14" s="19" t="inlineStr">
        <is>
          <t>The feud between his father and Priya's father</t>
        </is>
      </c>
      <c r="AA14" s="19" t="n"/>
      <c r="AB14" s="19" t="n"/>
      <c r="AC14" s="5" t="n"/>
      <c r="AD14" s="5" t="inlineStr">
        <is>
          <t>Raveena Tandon</t>
        </is>
      </c>
      <c r="AE14" s="5" t="inlineStr">
        <is>
          <t>Major</t>
        </is>
      </c>
      <c r="AF14" s="20" t="n"/>
      <c r="AG14" s="19" t="inlineStr">
        <is>
          <t>Relationship manipulated by outsiders</t>
        </is>
      </c>
      <c r="AH14" s="21" t="n">
        <v>4</v>
      </c>
      <c r="AI14" s="5" t="n"/>
      <c r="AJ14" s="5" t="n"/>
      <c r="AK14" s="5" t="n"/>
      <c r="AL14" s="5" t="n"/>
      <c r="AM14" s="5" t="inlineStr">
        <is>
          <t>INR crore</t>
        </is>
      </c>
      <c r="AN14" s="5" t="inlineStr">
        <is>
          <t>Under-performed</t>
        </is>
      </c>
      <c r="AO14" s="20" t="n"/>
      <c r="AP14" s="19" t="n"/>
      <c r="AQ14" s="19" t="n"/>
      <c r="AR14" s="5" t="inlineStr">
        <is>
          <t>SOURCE-001; SOURCE-016</t>
        </is>
      </c>
      <c r="AS14" s="5" t="inlineStr">
        <is>
          <t>Low</t>
        </is>
      </c>
      <c r="AT14" s="5" t="inlineStr">
        <is>
          <t>No Romances row: the plot summary is two sentences and stops at the premise, too thin to score the pairing. The filmography gives the character as Rahul Malhotra; the cast list's Rahul Singh matches his father's surname. Infobox gross of ₹9.99 crore has no nett/gross label and is not entered.</t>
        </is>
      </c>
    </row>
    <row r="15" ht="79" customHeight="1">
      <c r="A15" s="15" t="inlineStr">
        <is>
          <t>FILM-014</t>
        </is>
      </c>
      <c r="B15" s="5" t="inlineStr">
        <is>
          <t>Guddu</t>
        </is>
      </c>
      <c r="C15" s="16" t="n">
        <v>34922</v>
      </c>
      <c r="D15" s="17" t="n">
        <v>1995</v>
      </c>
      <c r="E15" s="5" t="inlineStr">
        <is>
          <t>1990s</t>
        </is>
      </c>
      <c r="F15" s="5" t="inlineStr">
        <is>
          <t>Hindi</t>
        </is>
      </c>
      <c r="G15" s="5" t="inlineStr">
        <is>
          <t>Romantic drama</t>
        </is>
      </c>
      <c r="H15" s="5" t="inlineStr">
        <is>
          <t>Melodrama</t>
        </is>
      </c>
      <c r="I15" s="17" t="n">
        <v>153</v>
      </c>
      <c r="J15" s="5" t="inlineStr">
        <is>
          <t>Prem Lalwani</t>
        </is>
      </c>
      <c r="K15" s="5" t="inlineStr">
        <is>
          <t>Prem Lalwani; Vivek Lalwani</t>
        </is>
      </c>
      <c r="L15" s="5" t="n"/>
      <c r="M15" s="5" t="inlineStr">
        <is>
          <t>Abrar Alvi</t>
        </is>
      </c>
      <c r="N15" s="5" t="n"/>
      <c r="O15" s="5" t="inlineStr">
        <is>
          <t>Naushad</t>
        </is>
      </c>
      <c r="P15" s="5" t="n"/>
      <c r="Q15" s="5" t="n"/>
      <c r="R15" s="5" t="inlineStr">
        <is>
          <t>Guddu Bahadur</t>
        </is>
      </c>
      <c r="S15" s="5" t="n"/>
      <c r="T15" s="5" t="inlineStr">
        <is>
          <t>Lead</t>
        </is>
      </c>
      <c r="U15" s="18" t="n">
        <v>1</v>
      </c>
      <c r="V15" s="5" t="n"/>
      <c r="W15" s="5" t="inlineStr">
        <is>
          <t>Son of Vikram, a rich and successful advocate, and his devout wife Kavita</t>
        </is>
      </c>
      <c r="X15" s="19" t="inlineStr">
        <is>
          <t>Guddu, son of a rich atheist lawyer and a devout mother, loves Salina, who is blinded in a car accident while he is driving. Kept away by her guardians and learning he has a brain tumour, he fights his father in court for the right to donate his eyes to her. His mother's fatal fast saves him, her eyes restore Salina's sight, and the couple marry.</t>
        </is>
      </c>
      <c r="Y15" s="19" t="inlineStr">
        <is>
          <t>Restoring Salina's sight</t>
        </is>
      </c>
      <c r="Z15" s="19" t="inlineStr">
        <is>
          <t>His guilt, his tumour and his father's refusal</t>
        </is>
      </c>
      <c r="AA15" s="19" t="inlineStr">
        <is>
          <t>Guilt-ridden lover ready to give up his eyes is saved by his mother's faith</t>
        </is>
      </c>
      <c r="AB15" s="19" t="inlineStr">
        <is>
          <t>Heroic</t>
        </is>
      </c>
      <c r="AC15" s="5" t="inlineStr">
        <is>
          <t>Survives surgery and marries Salina</t>
        </is>
      </c>
      <c r="AD15" s="5" t="inlineStr">
        <is>
          <t>Manisha Koirala</t>
        </is>
      </c>
      <c r="AE15" s="5" t="inlineStr">
        <is>
          <t>Central</t>
        </is>
      </c>
      <c r="AF15" s="18" t="n">
        <v>8</v>
      </c>
      <c r="AG15" s="19" t="inlineStr">
        <is>
          <t>United couple versus external world</t>
        </is>
      </c>
      <c r="AH15" s="21" t="n">
        <v>2</v>
      </c>
      <c r="AI15" s="5" t="n"/>
      <c r="AJ15" s="5" t="n"/>
      <c r="AK15" s="5" t="n"/>
      <c r="AL15" s="5" t="n"/>
      <c r="AM15" s="5" t="inlineStr">
        <is>
          <t>INR crore</t>
        </is>
      </c>
      <c r="AN15" s="5" t="n"/>
      <c r="AO15" s="20" t="n"/>
      <c r="AP15" s="19" t="n"/>
      <c r="AQ15" s="19" t="n"/>
      <c r="AR15" s="5" t="inlineStr">
        <is>
          <t>SOURCE-001; SOURCE-017</t>
        </is>
      </c>
      <c r="AS15" s="5" t="inlineStr">
        <is>
          <t>Medium</t>
        </is>
      </c>
      <c r="AT15" s="5" t="inlineStr">
        <is>
          <t>Budget from the infobox. Gross of ₹4.48 crore has no nett/gross label and is not entered. No verdict or reception section.</t>
        </is>
      </c>
    </row>
    <row r="16" ht="94" customHeight="1">
      <c r="A16" s="15" t="inlineStr">
        <is>
          <t>FILM-015</t>
        </is>
      </c>
      <c r="B16" s="5" t="inlineStr">
        <is>
          <t>Oh Darling! Yeh Hai India!</t>
        </is>
      </c>
      <c r="C16" s="16" t="n">
        <v>34922</v>
      </c>
      <c r="D16" s="17" t="n">
        <v>1995</v>
      </c>
      <c r="E16" s="5" t="inlineStr">
        <is>
          <t>1990s</t>
        </is>
      </c>
      <c r="F16" s="5" t="inlineStr">
        <is>
          <t>Hindi</t>
        </is>
      </c>
      <c r="G16" s="5" t="inlineStr">
        <is>
          <t>Musical parody</t>
        </is>
      </c>
      <c r="H16" s="5" t="n"/>
      <c r="I16" s="17" t="n">
        <v>157</v>
      </c>
      <c r="J16" s="5" t="inlineStr">
        <is>
          <t>Ketan Mehta</t>
        </is>
      </c>
      <c r="K16" s="5" t="inlineStr">
        <is>
          <t>Ketan Mehta</t>
        </is>
      </c>
      <c r="L16" s="5" t="n"/>
      <c r="M16" s="5" t="inlineStr">
        <is>
          <t>Ketan Mehta (story); Parvati Balagopalan; Deepa Sahi (screenplay)</t>
        </is>
      </c>
      <c r="N16" s="5" t="n"/>
      <c r="O16" s="5" t="inlineStr">
        <is>
          <t>Ranjit Barot</t>
        </is>
      </c>
      <c r="P16" s="5" t="n"/>
      <c r="Q16" s="5" t="n"/>
      <c r="R16" s="5" t="inlineStr">
        <is>
          <t>Hero</t>
        </is>
      </c>
      <c r="S16" s="5" t="n"/>
      <c r="T16" s="5" t="inlineStr">
        <is>
          <t>Lead</t>
        </is>
      </c>
      <c r="U16" s="18" t="n">
        <v>1</v>
      </c>
      <c r="V16" s="5" t="n"/>
      <c r="W16" s="5" t="inlineStr">
        <is>
          <t>Broke newcomer to Bombay</t>
        </is>
      </c>
      <c r="X16" s="19" t="inlineStr">
        <is>
          <t>Hero, broke and new to Bombay, spends an adventurous night with Miss India. They learn that the don Don Quixote plans to kidnap the president, replace him with a lookalike and auction India. Disguised, they infiltrate the auction, defeat the don's son Prince and parachute to safety on an Indian flag; Hero then reveals that the X-ray showing his brain tumour is a year and a half old.</t>
        </is>
      </c>
      <c r="Y16" s="19" t="inlineStr">
        <is>
          <t>Surviving in Bombay, then saving the president</t>
        </is>
      </c>
      <c r="Z16" s="19" t="inlineStr">
        <is>
          <t>Don Quixote's plot to sell India</t>
        </is>
      </c>
      <c r="AA16" s="19" t="inlineStr">
        <is>
          <t>Drifter becomes an accidental saviour of the nation</t>
        </is>
      </c>
      <c r="AB16" s="19" t="inlineStr">
        <is>
          <t>Heroic</t>
        </is>
      </c>
      <c r="AC16" s="5" t="inlineStr">
        <is>
          <t>Survives and lands safely with Miss India</t>
        </is>
      </c>
      <c r="AD16" s="5" t="inlineStr">
        <is>
          <t>Deepa Sahi</t>
        </is>
      </c>
      <c r="AE16" s="5" t="inlineStr">
        <is>
          <t>Implied</t>
        </is>
      </c>
      <c r="AF16" s="18" t="n">
        <v>2</v>
      </c>
      <c r="AG16" s="19" t="inlineStr">
        <is>
          <t>Romance subordinate to another genre</t>
        </is>
      </c>
      <c r="AH16" s="21" t="n">
        <v>2.25</v>
      </c>
      <c r="AI16" s="5" t="n"/>
      <c r="AJ16" s="5" t="n"/>
      <c r="AK16" s="5" t="n"/>
      <c r="AL16" s="5" t="n"/>
      <c r="AM16" s="5" t="inlineStr">
        <is>
          <t>INR crore</t>
        </is>
      </c>
      <c r="AN16" s="5" t="n"/>
      <c r="AO16" s="20" t="n"/>
      <c r="AP16" s="19" t="n"/>
      <c r="AQ16" s="19" t="n"/>
      <c r="AR16" s="5" t="inlineStr">
        <is>
          <t>SOURCE-001; SOURCE-018</t>
        </is>
      </c>
      <c r="AS16" s="5" t="inlineStr">
        <is>
          <t>Medium</t>
        </is>
      </c>
      <c r="AT16" s="5" t="inlineStr">
        <is>
          <t>No Romances row: the summary describes a night of companionship and adventure but no stated romance. No box-office or reception data.</t>
        </is>
      </c>
    </row>
    <row r="17" ht="139" customHeight="1">
      <c r="A17" s="15" t="inlineStr">
        <is>
          <t>FILM-016</t>
        </is>
      </c>
      <c r="B17" s="5" t="inlineStr">
        <is>
          <t>Dilwale Dulhania Le Jayenge</t>
        </is>
      </c>
      <c r="C17" s="16" t="n">
        <v>34992</v>
      </c>
      <c r="D17" s="17" t="n">
        <v>1995</v>
      </c>
      <c r="E17" s="5" t="inlineStr">
        <is>
          <t>1990s</t>
        </is>
      </c>
      <c r="F17" s="5" t="inlineStr">
        <is>
          <t>Hindi</t>
        </is>
      </c>
      <c r="G17" s="5" t="inlineStr">
        <is>
          <t>Romantic musical</t>
        </is>
      </c>
      <c r="H17" s="5" t="inlineStr">
        <is>
          <t>Family drama</t>
        </is>
      </c>
      <c r="I17" s="17" t="n">
        <v>189</v>
      </c>
      <c r="J17" s="5" t="inlineStr">
        <is>
          <t>Aditya Chopra</t>
        </is>
      </c>
      <c r="K17" s="5" t="inlineStr">
        <is>
          <t>Yash Chopra</t>
        </is>
      </c>
      <c r="L17" s="5" t="inlineStr">
        <is>
          <t>Yash Raj Films</t>
        </is>
      </c>
      <c r="M17" s="5" t="inlineStr">
        <is>
          <t>Aditya Chopra</t>
        </is>
      </c>
      <c r="N17" s="5" t="n"/>
      <c r="O17" s="5" t="inlineStr">
        <is>
          <t>Jatin–Lalit</t>
        </is>
      </c>
      <c r="P17" s="5" t="n"/>
      <c r="Q17" s="5" t="n"/>
      <c r="R17" s="5" t="inlineStr">
        <is>
          <t>Raj Malhotra</t>
        </is>
      </c>
      <c r="S17" s="5" t="n"/>
      <c r="T17" s="5" t="inlineStr">
        <is>
          <t>Lead</t>
        </is>
      </c>
      <c r="U17" s="18" t="n">
        <v>1</v>
      </c>
      <c r="V17" s="5" t="n"/>
      <c r="W17" s="5" t="inlineStr">
        <is>
          <t>British Indian in London; son of a wealthy, carefree businessman</t>
        </is>
      </c>
      <c r="X17" s="19" t="inlineStr">
        <is>
          <t>Raj, the brash London-raised son of a carefree businessman, meets the sheltered Simran on a European backpacking trip and falls in love, though she is betrothed to Kuljeet in Punjab. He follows her to India, poses as Kuljeet's friend and wins over her family while refusing to elope without her father's blessing. Thrown out and ambushed, he leaves on a train that Simran boards when her father relents.</t>
        </is>
      </c>
      <c r="Y17" s="19" t="inlineStr">
        <is>
          <t>Marrying Simran with her father's blessing</t>
        </is>
      </c>
      <c r="Z17" s="19" t="inlineStr">
        <is>
          <t>Baldev's promise of Simran to Kuljeet</t>
        </is>
      </c>
      <c r="AA17" s="19" t="inlineStr">
        <is>
          <t>Carefree flirt becomes a patient suitor who wins the patriarch's consent</t>
        </is>
      </c>
      <c r="AB17" s="19" t="inlineStr">
        <is>
          <t>Heroic</t>
        </is>
      </c>
      <c r="AC17" s="5" t="inlineStr">
        <is>
          <t>Leaves with Simran for London after Baldev relents</t>
        </is>
      </c>
      <c r="AD17" s="5" t="inlineStr">
        <is>
          <t>Kajol</t>
        </is>
      </c>
      <c r="AE17" s="5" t="inlineStr">
        <is>
          <t>Central</t>
        </is>
      </c>
      <c r="AF17" s="18" t="n">
        <v>10</v>
      </c>
      <c r="AG17" s="19" t="inlineStr">
        <is>
          <t>United couple versus external world</t>
        </is>
      </c>
      <c r="AH17" s="21" t="n">
        <v>4</v>
      </c>
      <c r="AI17" s="21" t="n">
        <v>53.3</v>
      </c>
      <c r="AJ17" s="21" t="n">
        <v>89</v>
      </c>
      <c r="AK17" s="21" t="n">
        <v>13.5</v>
      </c>
      <c r="AL17" s="21" t="n">
        <v>102.5</v>
      </c>
      <c r="AM17" s="5" t="inlineStr">
        <is>
          <t>INR crore</t>
        </is>
      </c>
      <c r="AN17" s="5" t="inlineStr">
        <is>
          <t>Blockbuster</t>
        </is>
      </c>
      <c r="AO17" s="20" t="inlineStr">
        <is>
          <t>1 (India, 1995)</t>
        </is>
      </c>
      <c r="AP17" s="19" t="inlineStr">
        <is>
          <t>Favourable reviews (6 of 6 on Rotten Tomatoes). Screen hailed Aditya Chopra as 'a young master'; Allmovie called the film a classic; Anupama Chopra credited Khan and Kajol with creating 'a template for modern love'.</t>
        </is>
      </c>
      <c r="AQ17" s="19" t="inlineStr">
        <is>
          <t>Won ten Filmfare Awards, then a record, including Best Film, Best Director, Best Actor for Khan and Best Actress for Kajol, and the National Film Award for Best Popular Film Providing Wholesome Entertainment. Showing at Mumbai's Maratha Mandir since 1995, the longest run in Indian cinema. Listed in 1001 Movies You Must See Before You Die and twelfth on the BFI's list of top Indian films.</t>
        </is>
      </c>
      <c r="AR17" s="5" t="inlineStr">
        <is>
          <t>SOURCE-001; SOURCE-019</t>
        </is>
      </c>
      <c r="AS17" s="5" t="inlineStr">
        <is>
          <t>Medium</t>
        </is>
      </c>
      <c r="AT17" s="5" t="inlineStr">
        <is>
          <t>The lead gives an estimated total gross of ₹102.5 crore (₹89 crore India, ₹13.5 crore overseas), which is entered. The box-office section instead cites an initial run of ₹1.13 billion in India and about ₹200 million overseas, and ₹2 billion worldwide as of 1996. Domestic nett is that section's 'domestic net income (₹533 million at the time)'.</t>
        </is>
      </c>
    </row>
    <row r="18" ht="94" customHeight="1">
      <c r="A18" s="15" t="inlineStr">
        <is>
          <t>FILM-017</t>
        </is>
      </c>
      <c r="B18" s="5" t="inlineStr">
        <is>
          <t>Ram Jaane</t>
        </is>
      </c>
      <c r="C18" s="16" t="n">
        <v>35034</v>
      </c>
      <c r="D18" s="17" t="n">
        <v>1995</v>
      </c>
      <c r="E18" s="5" t="inlineStr">
        <is>
          <t>1990s</t>
        </is>
      </c>
      <c r="F18" s="5" t="inlineStr">
        <is>
          <t>Hindi</t>
        </is>
      </c>
      <c r="G18" s="5" t="inlineStr">
        <is>
          <t>Action thriller</t>
        </is>
      </c>
      <c r="H18" s="5" t="inlineStr">
        <is>
          <t>Crime drama</t>
        </is>
      </c>
      <c r="I18" s="17" t="n">
        <v>168</v>
      </c>
      <c r="J18" s="5" t="inlineStr">
        <is>
          <t>Rajiv Mehra</t>
        </is>
      </c>
      <c r="K18" s="5" t="inlineStr">
        <is>
          <t>Parvesh C. Mehra</t>
        </is>
      </c>
      <c r="L18" s="5" t="n"/>
      <c r="M18" s="5" t="inlineStr">
        <is>
          <t>Vinay Shukla</t>
        </is>
      </c>
      <c r="N18" s="5" t="inlineStr">
        <is>
          <t>Premise borrowed from Angels with Dirty Faces (1938) and the Bengali film Purushottam (1992)</t>
        </is>
      </c>
      <c r="O18" s="5" t="inlineStr">
        <is>
          <t>Anu Malik</t>
        </is>
      </c>
      <c r="P18" s="5" t="n"/>
      <c r="Q18" s="5" t="n"/>
      <c r="R18" s="5" t="inlineStr">
        <is>
          <t>Ram Jaane</t>
        </is>
      </c>
      <c r="S18" s="5" t="n"/>
      <c r="T18" s="5" t="inlineStr">
        <is>
          <t>Lead</t>
        </is>
      </c>
      <c r="U18" s="18" t="n">
        <v>1</v>
      </c>
      <c r="V18" s="5" t="inlineStr">
        <is>
          <t>Gangster</t>
        </is>
      </c>
      <c r="W18" s="5" t="inlineStr">
        <is>
          <t>Abandoned, nameless village boy</t>
        </is>
      </c>
      <c r="X18" s="19" t="inlineStr">
        <is>
          <t>An abandoned boy takes the name Ram Jaane from a priest's reply and grows up a gangster, brutalised by the corrupt policeman Chewte. At the Apna Ghar home run by his friend Murli he pursues his childhood love Bela, who loves Murli, and draws the children into crime. He kills his enemies and Chewte, confesses, and on the gallows feigns cowardice so the boys will not follow his path.</t>
        </is>
      </c>
      <c r="Y18" s="19" t="inlineStr">
        <is>
          <t>Survival and revenge in a world that denied him a name</t>
        </is>
      </c>
      <c r="Z18" s="19" t="inlineStr">
        <is>
          <t>Chewte's persecution and Bela's rejection</t>
        </is>
      </c>
      <c r="AA18" s="19" t="inlineStr">
        <is>
          <t>Defiant criminal who chooses a humiliating death to turn the boys away from crime</t>
        </is>
      </c>
      <c r="AB18" s="19" t="inlineStr">
        <is>
          <t>Anti-hero</t>
        </is>
      </c>
      <c r="AC18" s="5" t="inlineStr">
        <is>
          <t>Executed; his letter reveals his guilt and his wish for Bela to return to Murli</t>
        </is>
      </c>
      <c r="AD18" s="5" t="inlineStr">
        <is>
          <t>Juhi Chawla</t>
        </is>
      </c>
      <c r="AE18" s="5" t="inlineStr">
        <is>
          <t>Secondary</t>
        </is>
      </c>
      <c r="AF18" s="18" t="n">
        <v>4</v>
      </c>
      <c r="AG18" s="19" t="inlineStr">
        <is>
          <t>Unrequited love</t>
        </is>
      </c>
      <c r="AH18" s="21" t="n">
        <v>3.75</v>
      </c>
      <c r="AI18" s="21" t="n">
        <v>8.6</v>
      </c>
      <c r="AJ18" s="21" t="n">
        <v>14.5</v>
      </c>
      <c r="AK18" s="21" t="n">
        <v>0.695</v>
      </c>
      <c r="AL18" s="21" t="n">
        <v>15.19</v>
      </c>
      <c r="AM18" s="5" t="inlineStr">
        <is>
          <t>INR crore</t>
        </is>
      </c>
      <c r="AN18" s="5" t="inlineStr">
        <is>
          <t>Hit</t>
        </is>
      </c>
      <c r="AO18" s="20" t="n"/>
      <c r="AP18" s="19" t="inlineStr">
        <is>
          <t>Positive reception from audiences.</t>
        </is>
      </c>
      <c r="AQ18" s="19" t="inlineStr">
        <is>
          <t>Khan's fourth negative role after Baazigar, Darr and Anjaam; rights later bought by Red Chillies Entertainment.</t>
        </is>
      </c>
      <c r="AR18" s="5" t="inlineStr">
        <is>
          <t>SOURCE-001; SOURCE-020</t>
        </is>
      </c>
      <c r="AS18" s="5" t="inlineStr">
        <is>
          <t>Medium</t>
        </is>
      </c>
      <c r="AT18" s="5" t="inlineStr">
        <is>
          <t>Box Office India figures via Wikipedia: India nett ₹8.60 crore, distributor share ₹4.60 crore, India gross ₹14.50 crore, overseas US$200,000 (₹69.50 lakh), worldwide ₹15.19 crore.</t>
        </is>
      </c>
    </row>
    <row r="19" ht="94" customHeight="1">
      <c r="A19" s="15" t="inlineStr">
        <is>
          <t>FILM-018</t>
        </is>
      </c>
      <c r="B19" s="5" t="inlineStr">
        <is>
          <t>Trimurti</t>
        </is>
      </c>
      <c r="C19" s="16" t="n">
        <v>35055</v>
      </c>
      <c r="D19" s="17" t="n">
        <v>1995</v>
      </c>
      <c r="E19" s="5" t="inlineStr">
        <is>
          <t>1990s</t>
        </is>
      </c>
      <c r="F19" s="5" t="inlineStr">
        <is>
          <t>Hindi</t>
        </is>
      </c>
      <c r="G19" s="5" t="inlineStr">
        <is>
          <t>Action drama</t>
        </is>
      </c>
      <c r="H19" s="5" t="inlineStr">
        <is>
          <t>Revenge drama</t>
        </is>
      </c>
      <c r="I19" s="17" t="n">
        <v>181</v>
      </c>
      <c r="J19" s="5" t="inlineStr">
        <is>
          <t>Mukul S. Anand</t>
        </is>
      </c>
      <c r="K19" s="5" t="inlineStr">
        <is>
          <t>Subhash Ghai</t>
        </is>
      </c>
      <c r="L19" s="5" t="inlineStr">
        <is>
          <t>Mukta Arts</t>
        </is>
      </c>
      <c r="M19" s="5" t="inlineStr">
        <is>
          <t>Karan Razdan</t>
        </is>
      </c>
      <c r="N19" s="5" t="n"/>
      <c r="O19" s="5" t="inlineStr">
        <is>
          <t>Laxmikant–Pyarelal</t>
        </is>
      </c>
      <c r="P19" s="5" t="inlineStr">
        <is>
          <t>Koti</t>
        </is>
      </c>
      <c r="Q19" s="5" t="n"/>
      <c r="R19" s="5" t="inlineStr">
        <is>
          <t>Romi Singh</t>
        </is>
      </c>
      <c r="S19" s="5" t="inlineStr">
        <is>
          <t>Listed in the cast as Bholey / Romi Singh</t>
        </is>
      </c>
      <c r="T19" s="5" t="inlineStr">
        <is>
          <t>Ensemble lead</t>
        </is>
      </c>
      <c r="U19" s="18" t="n">
        <v>3</v>
      </c>
      <c r="V19" s="5" t="n"/>
      <c r="W19" s="5" t="inlineStr">
        <is>
          <t>Youngest son of a jailed police inspector, raised by his brother Shakti</t>
        </is>
      </c>
      <c r="X19" s="19" t="inlineStr">
        <is>
          <t>Romi, born while the criminal Khokha Singh had his mother Satyadevi jailed, grows up with his brother Shakti believing she is dead. He loves the wealthier Radha; when her family humiliates Shakti over the proposal, he runs away, prospers with help from Sikander, secretly his brother Anand, and works for Khokha. Ordered to kill his mother, he unites with his brothers to kill Khokha and save her.</t>
        </is>
      </c>
      <c r="Y19" s="19" t="inlineStr">
        <is>
          <t>Marrying Radha and escaping poverty</t>
        </is>
      </c>
      <c r="Z19" s="19" t="inlineStr">
        <is>
          <t>Class humiliation, then unknowingly serving his mother's enemy</t>
        </is>
      </c>
      <c r="AA19" s="19" t="inlineStr">
        <is>
          <t>Lovelorn youngest brother strays into crime and returns to his family</t>
        </is>
      </c>
      <c r="AB19" s="19" t="inlineStr">
        <is>
          <t>Heroic</t>
        </is>
      </c>
      <c r="AC19" s="5" t="inlineStr">
        <is>
          <t>Kills Khokha Singh with his brothers and saves their mother</t>
        </is>
      </c>
      <c r="AD19" s="5" t="inlineStr">
        <is>
          <t>Anjali Jathar; Gautami</t>
        </is>
      </c>
      <c r="AE19" s="5" t="inlineStr">
        <is>
          <t>Secondary</t>
        </is>
      </c>
      <c r="AF19" s="18" t="n">
        <v>3</v>
      </c>
      <c r="AG19" s="19" t="inlineStr">
        <is>
          <t>Romance subordinate to another genre</t>
        </is>
      </c>
      <c r="AH19" s="21" t="n">
        <v>11</v>
      </c>
      <c r="AI19" s="21" t="n">
        <v>8.57</v>
      </c>
      <c r="AJ19" s="21" t="n">
        <v>14.24</v>
      </c>
      <c r="AK19" s="21" t="n">
        <v>1.32</v>
      </c>
      <c r="AL19" s="21" t="n">
        <v>15.56</v>
      </c>
      <c r="AM19" s="5" t="inlineStr">
        <is>
          <t>INR crore</t>
        </is>
      </c>
      <c r="AN19" s="5" t="inlineStr">
        <is>
          <t>Loss-making (India Today)</t>
        </is>
      </c>
      <c r="AO19" s="20" t="n"/>
      <c r="AP19" s="19" t="n"/>
      <c r="AQ19" s="19" t="inlineStr">
        <is>
          <t>Mukta Arts' first production and Mukul S. Anand's last completed film. Record opening weekend of about ₹3.07 crore nett and the first ₹1 crore nett opening day.</t>
        </is>
      </c>
      <c r="AR19" s="5" t="inlineStr">
        <is>
          <t>SOURCE-001; SOURCE-021</t>
        </is>
      </c>
      <c r="AS19" s="5" t="inlineStr">
        <is>
          <t>Medium</t>
        </is>
      </c>
      <c r="AT19" s="5" t="inlineStr">
        <is>
          <t>India Today reported that territories sold at ₹2 crore each and that the film 'disappeared by day three, incurring losses of over Rs 6 crore'. Overseas US$375,000 (₹1.32 crore).</t>
        </is>
      </c>
    </row>
    <row r="20" ht="109" customHeight="1">
      <c r="A20" s="15" t="inlineStr">
        <is>
          <t>FILM-019</t>
        </is>
      </c>
      <c r="B20" s="5" t="inlineStr">
        <is>
          <t>English Babu Desi Mem</t>
        </is>
      </c>
      <c r="C20" s="16" t="n">
        <v>35090</v>
      </c>
      <c r="D20" s="17" t="n">
        <v>1996</v>
      </c>
      <c r="E20" s="5" t="inlineStr">
        <is>
          <t>1990s</t>
        </is>
      </c>
      <c r="F20" s="5" t="inlineStr">
        <is>
          <t>Hindi</t>
        </is>
      </c>
      <c r="G20" s="5" t="inlineStr">
        <is>
          <t>Romantic comedy</t>
        </is>
      </c>
      <c r="H20" s="5" t="inlineStr">
        <is>
          <t>Family drama</t>
        </is>
      </c>
      <c r="I20" s="17" t="n">
        <v>156</v>
      </c>
      <c r="J20" s="5" t="inlineStr">
        <is>
          <t>Praveen Nischol</t>
        </is>
      </c>
      <c r="K20" s="5" t="inlineStr">
        <is>
          <t>Praveen Nischol</t>
        </is>
      </c>
      <c r="L20" s="5" t="inlineStr">
        <is>
          <t>Daasa Movies</t>
        </is>
      </c>
      <c r="M20" s="5" t="inlineStr">
        <is>
          <t>G. M. Ayaz; Ali Raza</t>
        </is>
      </c>
      <c r="N20" s="5" t="inlineStr">
        <is>
          <t>Loosely based on It Started in Naples (1960)</t>
        </is>
      </c>
      <c r="O20" s="5" t="inlineStr">
        <is>
          <t>Nikhil–Vinay</t>
        </is>
      </c>
      <c r="P20" s="5" t="n"/>
      <c r="Q20" s="5" t="n"/>
      <c r="R20" s="5" t="inlineStr">
        <is>
          <t>Vikram Mayur</t>
        </is>
      </c>
      <c r="S20" s="5" t="inlineStr">
        <is>
          <t>Triple role: also Gopal Mayur (father) and Hari Mayur (elder son)</t>
        </is>
      </c>
      <c r="T20" s="5" t="inlineStr">
        <is>
          <t>Lead</t>
        </is>
      </c>
      <c r="U20" s="18" t="n">
        <v>1</v>
      </c>
      <c r="V20" s="5" t="inlineStr">
        <is>
          <t>Industrialist and chairman of the family business</t>
        </is>
      </c>
      <c r="W20" s="5" t="inlineStr">
        <is>
          <t>Rich NRI business family settled in London for five generations</t>
        </is>
      </c>
      <c r="X20" s="19" t="inlineStr">
        <is>
          <t>Vikram, the India-sceptic heir to a London business dynasty, learns that his presumed-dead brother Hari married in Mumbai and left a son, Nandu, raised by his sister-in-law Bijuriya. Set on taking the boy to London, he falls for Bijuriya while she poses as a queen, exposes her and takes Nandu, then rescues her from a goon and marries her. Khan also plays Hari and their father Gopal.</t>
        </is>
      </c>
      <c r="Y20" s="19" t="inlineStr">
        <is>
          <t>Taking his nephew back to London</t>
        </is>
      </c>
      <c r="Z20" s="19" t="inlineStr">
        <is>
          <t>Custody fight with Bijuriya</t>
        </is>
      </c>
      <c r="AA20" s="19" t="inlineStr">
        <is>
          <t>Heir who scorns India learns to value the woman who raised his nephew</t>
        </is>
      </c>
      <c r="AB20" s="19" t="inlineStr">
        <is>
          <t>Heroic</t>
        </is>
      </c>
      <c r="AC20" s="5" t="inlineStr">
        <is>
          <t>Marries Bijuriya and takes her and Nandu to London</t>
        </is>
      </c>
      <c r="AD20" s="5" t="inlineStr">
        <is>
          <t>Sonali Bendre</t>
        </is>
      </c>
      <c r="AE20" s="5" t="inlineStr">
        <is>
          <t>Major</t>
        </is>
      </c>
      <c r="AF20" s="18" t="n">
        <v>6</v>
      </c>
      <c r="AG20" s="19" t="inlineStr">
        <is>
          <t>Multiple romantic relationships</t>
        </is>
      </c>
      <c r="AH20" s="21" t="n">
        <v>3.5</v>
      </c>
      <c r="AI20" s="21" t="n">
        <v>3.78</v>
      </c>
      <c r="AJ20" s="21" t="n">
        <v>6.4</v>
      </c>
      <c r="AK20" s="21" t="n">
        <v>0.4961</v>
      </c>
      <c r="AL20" s="21" t="n">
        <v>6.89</v>
      </c>
      <c r="AM20" s="5" t="inlineStr">
        <is>
          <t>INR crore</t>
        </is>
      </c>
      <c r="AN20" s="5" t="inlineStr">
        <is>
          <t>Flop</t>
        </is>
      </c>
      <c r="AO20" s="20" t="n"/>
      <c r="AP20" s="19" t="n"/>
      <c r="AQ20" s="19" t="inlineStr">
        <is>
          <t>Rights now owned by Red Chillies Entertainment.</t>
        </is>
      </c>
      <c r="AR20" s="5" t="inlineStr">
        <is>
          <t>SOURCE-001; SOURCE-022</t>
        </is>
      </c>
      <c r="AS20" s="5" t="inlineStr">
        <is>
          <t>Low</t>
        </is>
      </c>
      <c r="AT20" s="5" t="inlineStr">
        <is>
          <t>Box Office India figures via Wikipedia: India nett ₹3.78 crore, gross ₹6.40 crore, overseas US$135,000 (₹49.61 lakh), worldwide ₹6.89 crore, verdict Flop. The same section also calls it the third highest-grossing film of 1996 worldwide, and its collection table gives an implausible total gross of ₹84.2 crore; both contradict the verdict and are not used.</t>
        </is>
      </c>
    </row>
    <row r="21" ht="94" customHeight="1">
      <c r="A21" s="15" t="inlineStr">
        <is>
          <t>FILM-020</t>
        </is>
      </c>
      <c r="B21" s="5" t="inlineStr">
        <is>
          <t>Chaahat</t>
        </is>
      </c>
      <c r="C21" s="16" t="n">
        <v>35222</v>
      </c>
      <c r="D21" s="17" t="n">
        <v>1996</v>
      </c>
      <c r="E21" s="5" t="inlineStr">
        <is>
          <t>1990s</t>
        </is>
      </c>
      <c r="F21" s="5" t="inlineStr">
        <is>
          <t>Hindi</t>
        </is>
      </c>
      <c r="G21" s="5" t="inlineStr">
        <is>
          <t>Romantic action thriller</t>
        </is>
      </c>
      <c r="H21" s="5" t="n"/>
      <c r="I21" s="17" t="n">
        <v>146</v>
      </c>
      <c r="J21" s="5" t="inlineStr">
        <is>
          <t>Mahesh Bhatt</t>
        </is>
      </c>
      <c r="K21" s="5" t="inlineStr">
        <is>
          <t>Robin Bhatt; Viral Lakhia</t>
        </is>
      </c>
      <c r="L21" s="5" t="n"/>
      <c r="M21" s="5" t="inlineStr">
        <is>
          <t>Robin Bhatt; Akash Khurana; Javed Siddiqui</t>
        </is>
      </c>
      <c r="N21" s="5" t="n"/>
      <c r="O21" s="5" t="inlineStr">
        <is>
          <t>Anu Malik</t>
        </is>
      </c>
      <c r="P21" s="5" t="inlineStr">
        <is>
          <t>Amar Haldipur</t>
        </is>
      </c>
      <c r="Q21" s="5" t="inlineStr">
        <is>
          <t>Dev Kohli; Maya Govind; Neeraj Pathak; Nida Fazli</t>
        </is>
      </c>
      <c r="R21" s="5" t="inlineStr">
        <is>
          <t>Roop Singh Rathore</t>
        </is>
      </c>
      <c r="S21" s="5" t="n"/>
      <c r="T21" s="5" t="inlineStr">
        <is>
          <t>Lead</t>
        </is>
      </c>
      <c r="U21" s="18" t="n">
        <v>1</v>
      </c>
      <c r="V21" s="5" t="inlineStr">
        <is>
          <t>Singer</t>
        </is>
      </c>
      <c r="W21" s="5" t="inlineStr">
        <is>
          <t>Rajasthani singer's son who moves to Bombay for his father's treatment</t>
        </is>
      </c>
      <c r="X21" s="19" t="inlineStr">
        <is>
          <t>Roop, a Rajasthani singer, moves to Bombay for his father's surgery and sings at Ajay Narang's hotel, where Ajay's spoiled sister Reshma becomes obsessed with him. Ajay's violence forces Roop to work for them and give up Pooja, the nurse he loves. They marry anyway; Ajay hangs Roop's father, who sacrifices himself, and Roop rescues Pooja from Ajay's party, where Reshma is accidentally shot.</t>
        </is>
      </c>
      <c r="Y21" s="19" t="inlineStr">
        <is>
          <t>Paying for his father's treatment and staying with Pooja</t>
        </is>
      </c>
      <c r="Z21" s="19" t="inlineStr">
        <is>
          <t>Reshma's obsession, enforced by her brother Ajay</t>
        </is>
      </c>
      <c r="AA21" s="19" t="inlineStr">
        <is>
          <t>Gentle singer is coerced into servitude and fights back to save his wife</t>
        </is>
      </c>
      <c r="AB21" s="19" t="inlineStr">
        <is>
          <t>Heroic</t>
        </is>
      </c>
      <c r="AC21" s="5" t="inlineStr">
        <is>
          <t>Escapes with Pooja after his father's death and Reshma's killing</t>
        </is>
      </c>
      <c r="AD21" s="5" t="inlineStr">
        <is>
          <t>Pooja Bhatt; Ramya Krishnan</t>
        </is>
      </c>
      <c r="AE21" s="5" t="inlineStr">
        <is>
          <t>Central</t>
        </is>
      </c>
      <c r="AF21" s="18" t="n">
        <v>8</v>
      </c>
      <c r="AG21" s="19" t="inlineStr">
        <is>
          <t>Love triangle</t>
        </is>
      </c>
      <c r="AH21" s="21" t="n">
        <v>5.25</v>
      </c>
      <c r="AI21" s="21" t="n">
        <v>6.87</v>
      </c>
      <c r="AJ21" s="21" t="n">
        <v>11.61</v>
      </c>
      <c r="AK21" s="21" t="n">
        <v>0.875</v>
      </c>
      <c r="AL21" s="21" t="n">
        <v>12.48</v>
      </c>
      <c r="AM21" s="5" t="inlineStr">
        <is>
          <t>INR crore</t>
        </is>
      </c>
      <c r="AN21" s="5" t="inlineStr">
        <is>
          <t>Below Average</t>
        </is>
      </c>
      <c r="AO21" s="20" t="inlineStr">
        <is>
          <t>15 (India, 1996)</t>
        </is>
      </c>
      <c r="AP21" s="19" t="n"/>
      <c r="AQ21" s="19" t="inlineStr">
        <is>
          <t>Rights acquired by Red Chillies Entertainment in 2013; remade in Odia as Prem Rogi (2009).</t>
        </is>
      </c>
      <c r="AR21" s="5" t="inlineStr">
        <is>
          <t>SOURCE-001; SOURCE-023</t>
        </is>
      </c>
      <c r="AS21" s="5" t="inlineStr">
        <is>
          <t>Medium</t>
        </is>
      </c>
      <c r="AT21" s="5" t="inlineStr">
        <is>
          <t>Box Office India figures via Wikipedia; overseas US$250,000 (₹87.50 lakh). The character is Rathore in the filmography and plot, Rathod in the cast list.</t>
        </is>
      </c>
    </row>
    <row r="22" ht="79" customHeight="1">
      <c r="A22" s="15" t="inlineStr">
        <is>
          <t>FILM-021</t>
        </is>
      </c>
      <c r="B22" s="5" t="inlineStr">
        <is>
          <t>Army</t>
        </is>
      </c>
      <c r="C22" s="16" t="n">
        <v>35244</v>
      </c>
      <c r="D22" s="17" t="n">
        <v>1996</v>
      </c>
      <c r="E22" s="5" t="inlineStr">
        <is>
          <t>1990s</t>
        </is>
      </c>
      <c r="F22" s="5" t="inlineStr">
        <is>
          <t>Hindi</t>
        </is>
      </c>
      <c r="G22" s="5" t="inlineStr">
        <is>
          <t>Action</t>
        </is>
      </c>
      <c r="H22" s="5" t="inlineStr">
        <is>
          <t>Revenge drama</t>
        </is>
      </c>
      <c r="I22" s="17" t="n">
        <v>175</v>
      </c>
      <c r="J22" s="5" t="inlineStr">
        <is>
          <t>Raam Shetty</t>
        </is>
      </c>
      <c r="K22" s="5" t="inlineStr">
        <is>
          <t>Mukul S. Anand; Nitin Manmohan</t>
        </is>
      </c>
      <c r="L22" s="5" t="n"/>
      <c r="M22" s="5" t="inlineStr">
        <is>
          <t>Anees Bazmee</t>
        </is>
      </c>
      <c r="N22" s="5" t="inlineStr">
        <is>
          <t>Reported to be inspired by Aandhi-Toofan (1985)</t>
        </is>
      </c>
      <c r="O22" s="5" t="inlineStr">
        <is>
          <t>Anand–Milind</t>
        </is>
      </c>
      <c r="P22" s="5" t="n"/>
      <c r="Q22" s="5" t="n"/>
      <c r="R22" s="5" t="inlineStr">
        <is>
          <t>Major Arjun Singh</t>
        </is>
      </c>
      <c r="S22" s="5" t="n"/>
      <c r="T22" s="5" t="inlineStr">
        <is>
          <t>Extended special appearance</t>
        </is>
      </c>
      <c r="U22" s="20" t="n"/>
      <c r="V22" s="5" t="inlineStr">
        <is>
          <t>Army officer</t>
        </is>
      </c>
      <c r="W22" s="5" t="n"/>
      <c r="X22" s="19" t="inlineStr">
        <is>
          <t>Major Arjun Singh, a dutiful army officer, marries Geeta, who becomes pregnant. Working undercover inside the gang of the notorious Naagraj, he is exposed and brutally killed. His murder drives the rest of the film, in which the widowed Geeta and a band of escaped convicts take revenge on Naagraj.</t>
        </is>
      </c>
      <c r="Y22" s="19" t="inlineStr">
        <is>
          <t>Bringing down Naagraj</t>
        </is>
      </c>
      <c r="Z22" s="19" t="inlineStr">
        <is>
          <t>Exposure of his undercover identity</t>
        </is>
      </c>
      <c r="AA22" s="19" t="inlineStr">
        <is>
          <t>Devoted husband and officer killed in the line of duty</t>
        </is>
      </c>
      <c r="AB22" s="19" t="inlineStr">
        <is>
          <t>Heroic</t>
        </is>
      </c>
      <c r="AC22" s="5" t="inlineStr">
        <is>
          <t>Murdered by Naagraj</t>
        </is>
      </c>
      <c r="AD22" s="5" t="inlineStr">
        <is>
          <t>Sridevi</t>
        </is>
      </c>
      <c r="AE22" s="5" t="inlineStr">
        <is>
          <t>Minor</t>
        </is>
      </c>
      <c r="AF22" s="18" t="n">
        <v>3</v>
      </c>
      <c r="AG22" s="19" t="inlineStr">
        <is>
          <t>Tragic lovers</t>
        </is>
      </c>
      <c r="AH22" s="21" t="n">
        <v>4</v>
      </c>
      <c r="AI22" s="21" t="n">
        <v>6.58</v>
      </c>
      <c r="AJ22" s="5" t="n"/>
      <c r="AK22" s="21" t="n">
        <v>0.2996</v>
      </c>
      <c r="AL22" s="5" t="n"/>
      <c r="AM22" s="5" t="inlineStr">
        <is>
          <t>INR crore</t>
        </is>
      </c>
      <c r="AN22" s="5" t="n"/>
      <c r="AO22" s="20" t="inlineStr">
        <is>
          <t>19 (India, 1996)</t>
        </is>
      </c>
      <c r="AP22" s="19" t="n"/>
      <c r="AQ22" s="19" t="n"/>
      <c r="AR22" s="5" t="inlineStr">
        <is>
          <t>SOURCE-001; SOURCE-024</t>
        </is>
      </c>
      <c r="AS22" s="5" t="inlineStr">
        <is>
          <t>Low</t>
        </is>
      </c>
      <c r="AT22" s="5" t="inlineStr">
        <is>
          <t>Infobox gross of ₹17.3 crore has no nett/gross label and does not fit the box-office section's ₹6.58 crore nett; not entered. Overseas US$85,000 (₹29.96 lakh). The plot summary's opening sentence is garbled.</t>
        </is>
      </c>
    </row>
    <row r="23" ht="79" customHeight="1">
      <c r="A23" s="15" t="inlineStr">
        <is>
          <t>FILM-022</t>
        </is>
      </c>
      <c r="B23" s="5" t="inlineStr">
        <is>
          <t>Dushman Duniya Ka</t>
        </is>
      </c>
      <c r="C23" s="16" t="n">
        <v>35328</v>
      </c>
      <c r="D23" s="17" t="n">
        <v>1996</v>
      </c>
      <c r="E23" s="5" t="inlineStr">
        <is>
          <t>1990s</t>
        </is>
      </c>
      <c r="F23" s="5" t="inlineStr">
        <is>
          <t>Hindi</t>
        </is>
      </c>
      <c r="G23" s="5" t="inlineStr">
        <is>
          <t>Drama</t>
        </is>
      </c>
      <c r="H23" s="5" t="n"/>
      <c r="I23" s="17" t="n">
        <v>162</v>
      </c>
      <c r="J23" s="5" t="inlineStr">
        <is>
          <t>Mehmood</t>
        </is>
      </c>
      <c r="K23" s="5" t="inlineStr">
        <is>
          <t>Ashok Mishra; Babubhai; Masoom Ali</t>
        </is>
      </c>
      <c r="L23" s="5" t="inlineStr">
        <is>
          <t>Canmore Cinema</t>
        </is>
      </c>
      <c r="M23" s="5" t="inlineStr">
        <is>
          <t>Aziz Quaisi</t>
        </is>
      </c>
      <c r="N23" s="5" t="n"/>
      <c r="O23" s="5" t="inlineStr">
        <is>
          <t>Anu Malik</t>
        </is>
      </c>
      <c r="P23" s="5" t="n"/>
      <c r="Q23" s="5" t="n"/>
      <c r="R23" s="5" t="inlineStr">
        <is>
          <t>Badru</t>
        </is>
      </c>
      <c r="S23" s="5" t="n"/>
      <c r="T23" s="5" t="inlineStr">
        <is>
          <t>Cameo</t>
        </is>
      </c>
      <c r="U23" s="20" t="n"/>
      <c r="V23" s="5" t="inlineStr">
        <is>
          <t>Rickshaw driver</t>
        </is>
      </c>
      <c r="W23" s="5" t="n"/>
      <c r="X23" s="19" t="inlineStr">
        <is>
          <t>Badru, a rickshaw driver, is the close friend of the orphan Mahesh. He encourages Mahesh to marry Reshma, a fellow orphan, and blesses the match. Later, chasing a vendor after a confrontation, Badru is hit by a truck and killed, leaving Mahesh's family without their loyal friend. Salman Khan also appears as himself.</t>
        </is>
      </c>
      <c r="Y23" s="19" t="n"/>
      <c r="Z23" s="19" t="n"/>
      <c r="AA23" s="19" t="n"/>
      <c r="AB23" s="19" t="inlineStr">
        <is>
          <t>Heroic</t>
        </is>
      </c>
      <c r="AC23" s="5" t="inlineStr">
        <is>
          <t>Killed by a truck</t>
        </is>
      </c>
      <c r="AD23" s="5" t="n"/>
      <c r="AE23" s="5" t="inlineStr">
        <is>
          <t>None</t>
        </is>
      </c>
      <c r="AF23" s="18" t="n">
        <v>0</v>
      </c>
      <c r="AG23" s="19" t="inlineStr">
        <is>
          <t>No meaningful romance</t>
        </is>
      </c>
      <c r="AH23" s="21" t="n">
        <v>1.25</v>
      </c>
      <c r="AI23" s="5" t="n"/>
      <c r="AJ23" s="5" t="n"/>
      <c r="AK23" s="5" t="n"/>
      <c r="AL23" s="5" t="n"/>
      <c r="AM23" s="5" t="inlineStr">
        <is>
          <t>INR crore</t>
        </is>
      </c>
      <c r="AN23" s="5" t="inlineStr">
        <is>
          <t>Box-office disaster</t>
        </is>
      </c>
      <c r="AO23" s="20" t="n"/>
      <c r="AP23" s="19" t="n"/>
      <c r="AQ23" s="19" t="inlineStr">
        <is>
          <t>Debut film of Laila and Manzoor Ali.</t>
        </is>
      </c>
      <c r="AR23" s="5" t="inlineStr">
        <is>
          <t>SOURCE-001; SOURCE-025</t>
        </is>
      </c>
      <c r="AS23" s="5" t="inlineStr">
        <is>
          <t>Medium</t>
        </is>
      </c>
      <c r="AT23" s="5" t="inlineStr">
        <is>
          <t>Listed as a cameo in the filmography and a special appearance in the cast list. Infobox gross of ₹1.13 crore has no nett/gross label and is not entered.</t>
        </is>
      </c>
    </row>
    <row r="24" ht="79" customHeight="1">
      <c r="A24" s="15" t="inlineStr">
        <is>
          <t>FILM-023</t>
        </is>
      </c>
      <c r="B24" s="5" t="inlineStr">
        <is>
          <t>Gudgudee</t>
        </is>
      </c>
      <c r="C24" s="16" t="n">
        <v>35524</v>
      </c>
      <c r="D24" s="17" t="n">
        <v>1997</v>
      </c>
      <c r="E24" s="5" t="inlineStr">
        <is>
          <t>1990s</t>
        </is>
      </c>
      <c r="F24" s="5" t="inlineStr">
        <is>
          <t>Hindi</t>
        </is>
      </c>
      <c r="G24" s="5" t="inlineStr">
        <is>
          <t>Comedy</t>
        </is>
      </c>
      <c r="H24" s="5" t="n"/>
      <c r="I24" s="17" t="n">
        <v>138</v>
      </c>
      <c r="J24" s="5" t="inlineStr">
        <is>
          <t>Basu Chatterjee</t>
        </is>
      </c>
      <c r="K24" s="5" t="inlineStr">
        <is>
          <t>Mahesh Bhatt</t>
        </is>
      </c>
      <c r="L24" s="5" t="n"/>
      <c r="M24" s="5" t="inlineStr">
        <is>
          <t>Basu Chatterjee</t>
        </is>
      </c>
      <c r="N24" s="5" t="n"/>
      <c r="O24" s="5" t="inlineStr">
        <is>
          <t>Bappi Lahiri</t>
        </is>
      </c>
      <c r="P24" s="5" t="n"/>
      <c r="Q24" s="5" t="n"/>
      <c r="R24" s="5" t="inlineStr">
        <is>
          <t>Himself</t>
        </is>
      </c>
      <c r="S24" s="5" t="n"/>
      <c r="T24" s="5" t="inlineStr">
        <is>
          <t>Self appearance</t>
        </is>
      </c>
      <c r="U24" s="20" t="n"/>
      <c r="V24" s="5" t="n"/>
      <c r="W24" s="5" t="n"/>
      <c r="X24" s="19" t="inlineStr">
        <is>
          <t>Shah Rukh Khan makes a special appearance as himself in Basu Chatterjee's comedy about Ajay Prasad, a naive, imaginative married man who travels alone to a wedding in Bombay and becomes infatuated with his glamorous neighbour Chandni. The sources consulted list Khan's appearance but do not describe his scene.</t>
        </is>
      </c>
      <c r="Y24" s="19" t="n"/>
      <c r="Z24" s="19" t="n"/>
      <c r="AA24" s="19" t="n"/>
      <c r="AB24" s="19" t="n"/>
      <c r="AC24" s="5" t="n"/>
      <c r="AD24" s="5" t="n"/>
      <c r="AE24" s="5" t="inlineStr">
        <is>
          <t>None</t>
        </is>
      </c>
      <c r="AF24" s="18" t="n">
        <v>0</v>
      </c>
      <c r="AG24" s="19" t="inlineStr">
        <is>
          <t>No meaningful romance</t>
        </is>
      </c>
      <c r="AH24" s="5" t="n"/>
      <c r="AI24" s="5" t="n"/>
      <c r="AJ24" s="5" t="n"/>
      <c r="AK24" s="5" t="n"/>
      <c r="AL24" s="5" t="n"/>
      <c r="AM24" s="5" t="n"/>
      <c r="AN24" s="5" t="n"/>
      <c r="AO24" s="20" t="n"/>
      <c r="AP24" s="19" t="n"/>
      <c r="AQ24" s="19" t="n"/>
      <c r="AR24" s="5" t="inlineStr">
        <is>
          <t>SOURCE-001; SOURCE-026</t>
        </is>
      </c>
      <c r="AS24" s="5" t="inlineStr">
        <is>
          <t>Medium</t>
        </is>
      </c>
      <c r="AT24" s="5" t="inlineStr">
        <is>
          <t>No box-office or reception data on the page.</t>
        </is>
      </c>
    </row>
    <row r="25" ht="94" customHeight="1">
      <c r="A25" s="15" t="inlineStr">
        <is>
          <t>FILM-024</t>
        </is>
      </c>
      <c r="B25" s="5" t="inlineStr">
        <is>
          <t>Koyla</t>
        </is>
      </c>
      <c r="C25" s="16" t="n">
        <v>35538</v>
      </c>
      <c r="D25" s="17" t="n">
        <v>1997</v>
      </c>
      <c r="E25" s="5" t="inlineStr">
        <is>
          <t>1990s</t>
        </is>
      </c>
      <c r="F25" s="5" t="inlineStr">
        <is>
          <t>Hindi</t>
        </is>
      </c>
      <c r="G25" s="5" t="inlineStr">
        <is>
          <t>Action drama</t>
        </is>
      </c>
      <c r="H25" s="5" t="inlineStr">
        <is>
          <t>Romance</t>
        </is>
      </c>
      <c r="I25" s="17" t="n">
        <v>167</v>
      </c>
      <c r="J25" s="5" t="inlineStr">
        <is>
          <t>Rakesh Roshan</t>
        </is>
      </c>
      <c r="K25" s="5" t="inlineStr">
        <is>
          <t>Rakesh Roshan</t>
        </is>
      </c>
      <c r="L25" s="5" t="inlineStr">
        <is>
          <t>Filmkraft Productions</t>
        </is>
      </c>
      <c r="M25" s="5" t="inlineStr">
        <is>
          <t>Rakesh Roshan (story); Ravi Kapoor; Sachin Bhowmick (screenplay)</t>
        </is>
      </c>
      <c r="N25" s="5" t="n"/>
      <c r="O25" s="5" t="inlineStr">
        <is>
          <t>Rajesh Roshan</t>
        </is>
      </c>
      <c r="P25" s="5" t="n"/>
      <c r="Q25" s="5" t="n"/>
      <c r="R25" s="5" t="inlineStr">
        <is>
          <t>Shankar Thakur</t>
        </is>
      </c>
      <c r="S25" s="5" t="n"/>
      <c r="T25" s="5" t="inlineStr">
        <is>
          <t>Lead</t>
        </is>
      </c>
      <c r="U25" s="18" t="n">
        <v>1</v>
      </c>
      <c r="V25" s="5" t="inlineStr">
        <is>
          <t>Servant of Raja Saab</t>
        </is>
      </c>
      <c r="W25" s="5" t="inlineStr">
        <is>
          <t>Orphan raised as a slave by the landlord who secretly murdered his parents</t>
        </is>
      </c>
      <c r="X25" s="19" t="inlineStr">
        <is>
          <t>Shankar, a mute orphan raised as a slave by the tyrant Raja, is unwittingly used as bait when Raja sends Gauri his photograph to trick her into marriage. He saves Gauri from suicide, promises her dying brother to rescue her, and flees with her. Left for dead with his throat slit, he regains his voice, learns Raja murdered his parents for a diamond mine, and burns Raja to death.</t>
        </is>
      </c>
      <c r="Y25" s="19" t="inlineStr">
        <is>
          <t>Rescuing Gauri and avenging his parents</t>
        </is>
      </c>
      <c r="Z25" s="19" t="inlineStr">
        <is>
          <t>Raja Saab's tyranny</t>
        </is>
      </c>
      <c r="AA25" s="19" t="inlineStr">
        <is>
          <t>Silent, loyal servant becomes a vocal avenger</t>
        </is>
      </c>
      <c r="AB25" s="19" t="inlineStr">
        <is>
          <t>Heroic</t>
        </is>
      </c>
      <c r="AC25" s="5" t="inlineStr">
        <is>
          <t>Kills Raja and is reunited with Gauri</t>
        </is>
      </c>
      <c r="AD25" s="5" t="inlineStr">
        <is>
          <t>Madhuri Dixit</t>
        </is>
      </c>
      <c r="AE25" s="5" t="inlineStr">
        <is>
          <t>Major</t>
        </is>
      </c>
      <c r="AF25" s="18" t="n">
        <v>7</v>
      </c>
      <c r="AG25" s="19" t="inlineStr">
        <is>
          <t>United couple versus external world</t>
        </is>
      </c>
      <c r="AH25" s="21" t="n">
        <v>12</v>
      </c>
      <c r="AI25" s="21" t="n">
        <v>14.88</v>
      </c>
      <c r="AJ25" s="21" t="n">
        <v>25.91</v>
      </c>
      <c r="AK25" s="21" t="n">
        <v>2.14</v>
      </c>
      <c r="AL25" s="21" t="n">
        <v>28.05</v>
      </c>
      <c r="AM25" s="5" t="inlineStr">
        <is>
          <t>INR crore</t>
        </is>
      </c>
      <c r="AN25" s="5" t="inlineStr">
        <is>
          <t>Average</t>
        </is>
      </c>
      <c r="AO25" s="20" t="inlineStr">
        <is>
          <t>8 (India, 1997)</t>
        </is>
      </c>
      <c r="AP25" s="19" t="n"/>
      <c r="AQ25" s="19" t="inlineStr">
        <is>
          <t>Record opening weekend of ₹3.10 crore nett. Amrish Puri was nominated for the Filmfare Best Villain award.</t>
        </is>
      </c>
      <c r="AR25" s="5" t="inlineStr">
        <is>
          <t>SOURCE-001; SOURCE-027</t>
        </is>
      </c>
      <c r="AS25" s="5" t="inlineStr">
        <is>
          <t>Medium</t>
        </is>
      </c>
      <c r="AT25" s="5" t="inlineStr">
        <is>
          <t>The box-office section's 'record opening of ₹15 crore nett' contradicts its own ₹1.06 crore opening-day figure and is not used. Overseas US$600,000 (₹2.14 crore).</t>
        </is>
      </c>
    </row>
    <row r="26" ht="94" customHeight="1">
      <c r="A26" s="15" t="inlineStr">
        <is>
          <t>FILM-025</t>
        </is>
      </c>
      <c r="B26" s="5" t="inlineStr">
        <is>
          <t>Yes Boss</t>
        </is>
      </c>
      <c r="C26" s="16" t="n">
        <v>35629</v>
      </c>
      <c r="D26" s="17" t="n">
        <v>1997</v>
      </c>
      <c r="E26" s="5" t="inlineStr">
        <is>
          <t>1990s</t>
        </is>
      </c>
      <c r="F26" s="5" t="inlineStr">
        <is>
          <t>Hindi</t>
        </is>
      </c>
      <c r="G26" s="5" t="inlineStr">
        <is>
          <t>Romantic comedy</t>
        </is>
      </c>
      <c r="H26" s="5" t="n"/>
      <c r="I26" s="17" t="n">
        <v>165</v>
      </c>
      <c r="J26" s="5" t="inlineStr">
        <is>
          <t>Aziz Mirza</t>
        </is>
      </c>
      <c r="K26" s="5" t="inlineStr">
        <is>
          <t>Ratan Jain; Umed Jain; Champak Jain</t>
        </is>
      </c>
      <c r="L26" s="5" t="inlineStr">
        <is>
          <t>Venus Movies</t>
        </is>
      </c>
      <c r="M26" s="5" t="inlineStr">
        <is>
          <t>Mangesh Kulkarni (screenplay); Aziz Mirza (story)</t>
        </is>
      </c>
      <c r="N26" s="5" t="inlineStr">
        <is>
          <t>Based on For Love or Money (1993)</t>
        </is>
      </c>
      <c r="O26" s="5" t="inlineStr">
        <is>
          <t>Jatin–Lalit</t>
        </is>
      </c>
      <c r="P26" s="5" t="n"/>
      <c r="Q26" s="5" t="inlineStr">
        <is>
          <t>Javed Akhtar</t>
        </is>
      </c>
      <c r="R26" s="5" t="inlineStr">
        <is>
          <t>Rahul Joshi</t>
        </is>
      </c>
      <c r="S26" s="5" t="n"/>
      <c r="T26" s="5" t="inlineStr">
        <is>
          <t>Lead</t>
        </is>
      </c>
      <c r="U26" s="18" t="n">
        <v>2</v>
      </c>
      <c r="V26" s="5" t="inlineStr">
        <is>
          <t>Employee who covers up his boss's affairs</t>
        </is>
      </c>
      <c r="W26" s="5" t="inlineStr">
        <is>
          <t>Ambitious son of Sonali, a heart patient</t>
        </is>
      </c>
      <c r="X26" s="19" t="inlineStr">
        <is>
          <t>Rahul, ambitious to be rich, earns extra money covering up the affairs of his boss Siddharth, who asks him to help seduce the aspiring model Seema. Drawn to her himself, he poses as her husband to protect his heart-patient mother after a malicious lie. When Siddharth offers him his dream office in exchange for Seema, Rahul refuses, wins her love and resolves to earn his fortune honestly.</t>
        </is>
      </c>
      <c r="Y26" s="19" t="inlineStr">
        <is>
          <t>Getting rich and owning his dream office</t>
        </is>
      </c>
      <c r="Z26" s="19" t="inlineStr">
        <is>
          <t>Service to his boss versus his love for Seema</t>
        </is>
      </c>
      <c r="AA26" s="19" t="inlineStr">
        <is>
          <t>Paid enabler becomes a self-respecting man who chooses love over advancement</t>
        </is>
      </c>
      <c r="AB26" s="19" t="inlineStr">
        <is>
          <t>Flawed but good-hearted</t>
        </is>
      </c>
      <c r="AC26" s="5" t="inlineStr">
        <is>
          <t>Wins Seema</t>
        </is>
      </c>
      <c r="AD26" s="5" t="inlineStr">
        <is>
          <t>Juhi Chawla</t>
        </is>
      </c>
      <c r="AE26" s="5" t="inlineStr">
        <is>
          <t>Central</t>
        </is>
      </c>
      <c r="AF26" s="18" t="n">
        <v>8</v>
      </c>
      <c r="AG26" s="19" t="inlineStr">
        <is>
          <t>Friendship to love</t>
        </is>
      </c>
      <c r="AH26" s="21" t="n">
        <v>5</v>
      </c>
      <c r="AI26" s="21" t="n">
        <v>11.33</v>
      </c>
      <c r="AJ26" s="21" t="n">
        <v>19.48</v>
      </c>
      <c r="AK26" s="21" t="n">
        <v>3.48</v>
      </c>
      <c r="AL26" s="21" t="n">
        <v>22.96</v>
      </c>
      <c r="AM26" s="5" t="inlineStr">
        <is>
          <t>INR crore</t>
        </is>
      </c>
      <c r="AN26" s="5" t="inlineStr">
        <is>
          <t>Hit</t>
        </is>
      </c>
      <c r="AO26" s="20" t="inlineStr">
        <is>
          <t>14 (India, 1997)</t>
        </is>
      </c>
      <c r="AP26" s="19" t="inlineStr">
        <is>
          <t>Mixed-to-positive reviews, praising the humour, soundtrack and cast but criticising the script and pacing. K. N. Vijiyan (New Straits Times) wrote that 'with bubbly Shahrukh Khan at his best, you cannot afford to give this film a miss'.</t>
        </is>
      </c>
      <c r="AQ26" s="19" t="inlineStr">
        <is>
          <t>Six Filmfare nominations, including Best Actor for Khan, and a win for Best Male Playback Singer (Abhijeet, 'Main Koi Aisa Geet Gaoon'). Remade in Tamil as Guru En Aalu (2009); rights owned by Red Chillies Entertainment.</t>
        </is>
      </c>
      <c r="AR26" s="5" t="inlineStr">
        <is>
          <t>SOURCE-001; SOURCE-028</t>
        </is>
      </c>
      <c r="AS26" s="5" t="inlineStr">
        <is>
          <t>Medium</t>
        </is>
      </c>
      <c r="AT26" s="5" t="inlineStr">
        <is>
          <t>Box Office India figures via Wikipedia; overseas US$975,000 (₹3.48 crore). The lead calls it a 'super hit'; the box-office section records a 'Hit' verdict.</t>
        </is>
      </c>
    </row>
    <row r="27" ht="94" customHeight="1">
      <c r="A27" s="15" t="inlineStr">
        <is>
          <t>FILM-026</t>
        </is>
      </c>
      <c r="B27" s="5" t="inlineStr">
        <is>
          <t>Pardes</t>
        </is>
      </c>
      <c r="C27" s="16" t="n">
        <v>35650</v>
      </c>
      <c r="D27" s="17" t="n">
        <v>1997</v>
      </c>
      <c r="E27" s="5" t="inlineStr">
        <is>
          <t>1990s</t>
        </is>
      </c>
      <c r="F27" s="5" t="inlineStr">
        <is>
          <t>Hindi</t>
        </is>
      </c>
      <c r="G27" s="5" t="inlineStr">
        <is>
          <t>Musical romantic drama</t>
        </is>
      </c>
      <c r="H27" s="5" t="inlineStr">
        <is>
          <t>Diaspora drama</t>
        </is>
      </c>
      <c r="I27" s="17" t="n">
        <v>191</v>
      </c>
      <c r="J27" s="5" t="inlineStr">
        <is>
          <t>Subhash Ghai</t>
        </is>
      </c>
      <c r="K27" s="5" t="inlineStr">
        <is>
          <t>Subhash Ghai</t>
        </is>
      </c>
      <c r="L27" s="5" t="inlineStr">
        <is>
          <t>Mukta Arts</t>
        </is>
      </c>
      <c r="M27" s="5" t="inlineStr">
        <is>
          <t>Subhash Ghai (story, screenplay); Javed Siddiqui (dialogues)</t>
        </is>
      </c>
      <c r="N27" s="5" t="n"/>
      <c r="O27" s="5" t="inlineStr">
        <is>
          <t>Nadeem–Shravan</t>
        </is>
      </c>
      <c r="P27" s="5" t="inlineStr">
        <is>
          <t>Vanraj Bhatia</t>
        </is>
      </c>
      <c r="Q27" s="5" t="n"/>
      <c r="R27" s="5" t="inlineStr">
        <is>
          <t>Arjun Sagar</t>
        </is>
      </c>
      <c r="S27" s="5" t="n"/>
      <c r="T27" s="5" t="inlineStr">
        <is>
          <t>Lead</t>
        </is>
      </c>
      <c r="U27" s="18" t="n">
        <v>1</v>
      </c>
      <c r="V27" s="5" t="n"/>
      <c r="W27" s="5" t="inlineStr">
        <is>
          <t>Foster son of the Indian-American businessman Kishorilal; first-generation immigrant</t>
        </is>
      </c>
      <c r="X27" s="19" t="inlineStr">
        <is>
          <t>Arjun, foster son of the Indian-American businessman Kishorilal, is sent with Kishorilal's son Rajiv to arrange Rajiv's marriage to Ganga in her Indian village. In America he becomes Ganga's confidant as Rajiv's drinking, womanising and contempt for India surface. After Rajiv tries to rape her in Las Vegas, Arjun takes her home, survives a fight with Rajiv's goons, confesses his love and marries her.</t>
        </is>
      </c>
      <c r="Y27" s="19" t="inlineStr">
        <is>
          <t>Loyalty to his foster father and protecting Ganga</t>
        </is>
      </c>
      <c r="Z27" s="19" t="inlineStr">
        <is>
          <t>Duty to Kishorilal's plan versus Ganga's safety</t>
        </is>
      </c>
      <c r="AA27" s="19" t="inlineStr">
        <is>
          <t>Self-effacing foster son becomes Ganga's protector and husband</t>
        </is>
      </c>
      <c r="AB27" s="19" t="inlineStr">
        <is>
          <t>Heroic</t>
        </is>
      </c>
      <c r="AC27" s="5" t="inlineStr">
        <is>
          <t>Marries Ganga</t>
        </is>
      </c>
      <c r="AD27" s="5" t="inlineStr">
        <is>
          <t>Mahima Chaudhry</t>
        </is>
      </c>
      <c r="AE27" s="5" t="inlineStr">
        <is>
          <t>Central</t>
        </is>
      </c>
      <c r="AF27" s="18" t="n">
        <v>8</v>
      </c>
      <c r="AG27" s="19" t="inlineStr">
        <is>
          <t>Love triangle</t>
        </is>
      </c>
      <c r="AH27" s="21" t="n">
        <v>10</v>
      </c>
      <c r="AI27" s="21" t="n">
        <v>22.83</v>
      </c>
      <c r="AJ27" s="21" t="n">
        <v>34.83</v>
      </c>
      <c r="AK27" s="21" t="n">
        <v>6.12</v>
      </c>
      <c r="AL27" s="21" t="n">
        <v>40.95</v>
      </c>
      <c r="AM27" s="5" t="inlineStr">
        <is>
          <t>INR crore</t>
        </is>
      </c>
      <c r="AN27" s="5" t="inlineStr">
        <is>
          <t>Super hit</t>
        </is>
      </c>
      <c r="AO27" s="20" t="inlineStr">
        <is>
          <t>4 (India, 1997)</t>
        </is>
      </c>
      <c r="AP27" s="19" t="inlineStr">
        <is>
          <t>Mixed-to-positive reviews, praising the soundtrack and the performances of Khan, Chaudhry and Agnihotri but criticising the story and screenplay. India Today cited it as one of the first major Bollywood films to succeed in the United States.</t>
        </is>
      </c>
      <c r="AQ27" s="19" t="inlineStr">
        <is>
          <t>Twelve Filmfare nominations and three wins: Best Female Debut (Chaudhry), Best Female Playback Singer (Alka Yagnik, 'Meri Mehbooba') and Best Screenplay (Ghai). Released on the eve of the 50th anniversary of Indian independence; remade in Telugu as Pelli Kanuka (1998).</t>
        </is>
      </c>
      <c r="AR27" s="5" t="inlineStr">
        <is>
          <t>SOURCE-001; SOURCE-029</t>
        </is>
      </c>
      <c r="AS27" s="5" t="inlineStr">
        <is>
          <t>Medium</t>
        </is>
      </c>
      <c r="AT27" s="5" t="inlineStr">
        <is>
          <t>The box-office text gives India nett ₹22.83 crore and worldwide ₹40.95 crore, which are entered; its collection table gives nett ₹31.83 crore and worldwide ₹49.95 crore. Overseas US$1.7 million (₹6.12 crore).</t>
        </is>
      </c>
    </row>
    <row r="28" ht="109" customHeight="1">
      <c r="A28" s="15" t="inlineStr">
        <is>
          <t>FILM-027</t>
        </is>
      </c>
      <c r="B28" s="5" t="inlineStr">
        <is>
          <t>Dil To Pagal Hai</t>
        </is>
      </c>
      <c r="C28" s="16" t="n">
        <v>35734</v>
      </c>
      <c r="D28" s="17" t="n">
        <v>1997</v>
      </c>
      <c r="E28" s="5" t="inlineStr">
        <is>
          <t>1990s</t>
        </is>
      </c>
      <c r="F28" s="5" t="inlineStr">
        <is>
          <t>Hindi</t>
        </is>
      </c>
      <c r="G28" s="5" t="inlineStr">
        <is>
          <t>Romantic musical</t>
        </is>
      </c>
      <c r="H28" s="5" t="n"/>
      <c r="I28" s="17" t="n">
        <v>180</v>
      </c>
      <c r="J28" s="5" t="inlineStr">
        <is>
          <t>Yash Chopra</t>
        </is>
      </c>
      <c r="K28" s="5" t="inlineStr">
        <is>
          <t>Yash Chopra</t>
        </is>
      </c>
      <c r="L28" s="5" t="inlineStr">
        <is>
          <t>Yash Raj Films</t>
        </is>
      </c>
      <c r="M28" s="5" t="inlineStr">
        <is>
          <t>Yash Chopra; Tanuja Chandra; Pamela Chopra</t>
        </is>
      </c>
      <c r="N28" s="5" t="n"/>
      <c r="O28" s="5" t="inlineStr">
        <is>
          <t>Uttam Singh</t>
        </is>
      </c>
      <c r="P28" s="5" t="n"/>
      <c r="Q28" s="5" t="inlineStr">
        <is>
          <t>Anand Bakshi</t>
        </is>
      </c>
      <c r="R28" s="5" t="inlineStr">
        <is>
          <t>Rahul</t>
        </is>
      </c>
      <c r="S28" s="5" t="n"/>
      <c r="T28" s="5" t="inlineStr">
        <is>
          <t>Lead</t>
        </is>
      </c>
      <c r="U28" s="18" t="n">
        <v>1</v>
      </c>
      <c r="V28" s="5" t="inlineStr">
        <is>
          <t>Director of a musical dance troupe</t>
        </is>
      </c>
      <c r="W28" s="5" t="n"/>
      <c r="X28" s="19" t="inlineStr">
        <is>
          <t>Rahul directs a Mumbai dance troupe and plans a musical, Maya, about a girl waiting for true love. When his friend Nisha is injured he casts Pooja, a gifted dancer linked to him by a recurring tune, and they fall silently in love, though she is engaged to Ajay. Heartbroken, he rewrites the play's ending, until Ajay plays Pooja's taped confession and the lovers declare themselves on stage.</t>
        </is>
      </c>
      <c r="Y28" s="19" t="inlineStr">
        <is>
          <t>Finding true love and staging Maya</t>
        </is>
      </c>
      <c r="Z28" s="19" t="inlineStr">
        <is>
          <t>Pooja's engagement to Ajay</t>
        </is>
      </c>
      <c r="AA28" s="19" t="inlineStr">
        <is>
          <t>Romantic idealist faces heartbreak and is rewarded with love</t>
        </is>
      </c>
      <c r="AB28" s="19" t="inlineStr">
        <is>
          <t>Heroic</t>
        </is>
      </c>
      <c r="AC28" s="5" t="inlineStr">
        <is>
          <t>United with Pooja</t>
        </is>
      </c>
      <c r="AD28" s="5" t="inlineStr">
        <is>
          <t>Madhuri Dixit; Karisma Kapoor</t>
        </is>
      </c>
      <c r="AE28" s="5" t="inlineStr">
        <is>
          <t>Central</t>
        </is>
      </c>
      <c r="AF28" s="18" t="n">
        <v>10</v>
      </c>
      <c r="AG28" s="19" t="inlineStr">
        <is>
          <t>Love triangle</t>
        </is>
      </c>
      <c r="AH28" s="21" t="n">
        <v>9</v>
      </c>
      <c r="AI28" s="21" t="n">
        <v>34.97</v>
      </c>
      <c r="AJ28" s="21" t="n">
        <v>59.82</v>
      </c>
      <c r="AK28" s="21" t="n">
        <v>12.04</v>
      </c>
      <c r="AL28" s="21" t="n">
        <v>71.86</v>
      </c>
      <c r="AM28" s="5" t="inlineStr">
        <is>
          <t>INR crore</t>
        </is>
      </c>
      <c r="AN28" s="5" t="n"/>
      <c r="AO28" s="20" t="inlineStr">
        <is>
          <t>2 (India, 1997); 1 worldwide</t>
        </is>
      </c>
      <c r="AP28" s="19" t="inlineStr">
        <is>
          <t>Widespread critical acclaim for its direction, story, screenplay, soundtrack, cinematography and performances. Omar Ahmed (Empire) gave it 4/5; Screen praised a sophisticated film that 'prizes good taste'.</t>
        </is>
      </c>
      <c r="AQ28" s="19" t="inlineStr">
        <is>
          <t>Three National Film Awards, including Best Popular Film and Best Supporting Actress for Karisma Kapoor. Eight Filmfare Awards, including Best Film, Best Actor for Khan, Best Actress for Dixit and Best Supporting Actress for Kapoor. Listed among the top 10 Yash Chopra films by several outlets.</t>
        </is>
      </c>
      <c r="AR28" s="5" t="inlineStr">
        <is>
          <t>SOURCE-001; SOURCE-030</t>
        </is>
      </c>
      <c r="AS28" s="5" t="inlineStr">
        <is>
          <t>Medium</t>
        </is>
      </c>
      <c r="AT28" s="5" t="inlineStr">
        <is>
          <t>Budget of ₹9 crore includes print and advertising. The infobox gives 30 October 1997; the box-office section says it opened on Friday 31 October 1997, used here. Overseas US$3.3 million (₹12.04 crore). No verdict label found.</t>
        </is>
      </c>
    </row>
    <row r="29" ht="94" customHeight="1">
      <c r="A29" s="15" t="inlineStr">
        <is>
          <t>FILM-028</t>
        </is>
      </c>
      <c r="B29" s="5" t="inlineStr">
        <is>
          <t>Duplicate</t>
        </is>
      </c>
      <c r="C29" s="16" t="n">
        <v>35923</v>
      </c>
      <c r="D29" s="17" t="n">
        <v>1998</v>
      </c>
      <c r="E29" s="5" t="inlineStr">
        <is>
          <t>1990s</t>
        </is>
      </c>
      <c r="F29" s="5" t="inlineStr">
        <is>
          <t>Hindi</t>
        </is>
      </c>
      <c r="G29" s="5" t="inlineStr">
        <is>
          <t>Action comedy</t>
        </is>
      </c>
      <c r="H29" s="5" t="n"/>
      <c r="I29" s="17" t="n">
        <v>166</v>
      </c>
      <c r="J29" s="5" t="inlineStr">
        <is>
          <t>Mahesh Bhatt</t>
        </is>
      </c>
      <c r="K29" s="5" t="inlineStr">
        <is>
          <t>Yash Johar</t>
        </is>
      </c>
      <c r="L29" s="5" t="inlineStr">
        <is>
          <t>Dharma Productions</t>
        </is>
      </c>
      <c r="M29" s="5" t="inlineStr">
        <is>
          <t>Robin Bhatt; Akash Khurana; Javed Siddiqui</t>
        </is>
      </c>
      <c r="N29" s="5" t="inlineStr">
        <is>
          <t>Described as a remake of The Whole Town's Talking (1935)</t>
        </is>
      </c>
      <c r="O29" s="5" t="inlineStr">
        <is>
          <t>Anu Malik</t>
        </is>
      </c>
      <c r="P29" s="5" t="inlineStr">
        <is>
          <t>Louis Banks</t>
        </is>
      </c>
      <c r="Q29" s="5" t="inlineStr">
        <is>
          <t>Javed Akhtar</t>
        </is>
      </c>
      <c r="R29" s="5" t="inlineStr">
        <is>
          <t>Bablu Chaudhry</t>
        </is>
      </c>
      <c r="S29" s="5" t="inlineStr">
        <is>
          <t>Double role: the gangster Manu Dada</t>
        </is>
      </c>
      <c r="T29" s="5" t="inlineStr">
        <is>
          <t>Lead</t>
        </is>
      </c>
      <c r="U29" s="18" t="n">
        <v>1</v>
      </c>
      <c r="V29" s="5" t="inlineStr">
        <is>
          <t>Hotel head chef</t>
        </is>
      </c>
      <c r="W29" s="5" t="inlineStr">
        <is>
          <t>Devout, mother-loving young man</t>
        </is>
      </c>
      <c r="X29" s="19" t="inlineStr">
        <is>
          <t>Bablu, a devout, childlike aspiring chef, becomes head chef at a hotel and falls for its catering manager Sonia. His exact double, the gangster Manu, forces him to swap identities: Manu flirts clumsily with Sonia while Bablu teaches Manu's gang morals and wins over Manu's girlfriend Lily. In the showdown Bablu's mother identifies her real son, Lily shoots Manu, and Bablu marries Sonia.</t>
        </is>
      </c>
      <c r="Y29" s="19" t="inlineStr">
        <is>
          <t>Success as a chef and marrying Sonia</t>
        </is>
      </c>
      <c r="Z29" s="19" t="inlineStr">
        <is>
          <t>Manu's scheme to take his place and kill him</t>
        </is>
      </c>
      <c r="AA29" s="19" t="inlineStr">
        <is>
          <t>Innocent everyman survives his criminal double through goodness</t>
        </is>
      </c>
      <c r="AB29" s="19" t="inlineStr">
        <is>
          <t>Heroic</t>
        </is>
      </c>
      <c r="AC29" s="5" t="inlineStr">
        <is>
          <t>Marries Sonia after Manu is killed</t>
        </is>
      </c>
      <c r="AD29" s="5" t="inlineStr">
        <is>
          <t>Juhi Chawla; Sonali Bendre</t>
        </is>
      </c>
      <c r="AE29" s="5" t="inlineStr">
        <is>
          <t>Major</t>
        </is>
      </c>
      <c r="AF29" s="18" t="n">
        <v>6</v>
      </c>
      <c r="AG29" s="19" t="inlineStr">
        <is>
          <t>Multiple romantic relationships</t>
        </is>
      </c>
      <c r="AH29" s="21" t="n">
        <v>9.5</v>
      </c>
      <c r="AI29" s="5" t="n"/>
      <c r="AJ29" s="5" t="n"/>
      <c r="AK29" s="5" t="n"/>
      <c r="AL29" s="5" t="n"/>
      <c r="AM29" s="5" t="inlineStr">
        <is>
          <t>INR crore</t>
        </is>
      </c>
      <c r="AN29" s="5" t="inlineStr">
        <is>
          <t>Commercial failure</t>
        </is>
      </c>
      <c r="AO29" s="20" t="n"/>
      <c r="AP29" s="19" t="inlineStr">
        <is>
          <t>Opened to a decent response but did not sustain because of negative audience reception.</t>
        </is>
      </c>
      <c r="AQ29" s="19" t="inlineStr">
        <is>
          <t>Khan's first collaboration with Dharma Productions. Filmfare nominations for Best Villain (Khan, as Manu) and Best Lyricist (Javed Akhtar). Kajol makes an uncredited cameo as Simran.</t>
        </is>
      </c>
      <c r="AR29" s="5" t="inlineStr">
        <is>
          <t>SOURCE-001; SOURCE-031</t>
        </is>
      </c>
      <c r="AS29" s="5" t="inlineStr">
        <is>
          <t>Medium</t>
        </is>
      </c>
      <c r="AT29" s="5" t="inlineStr">
        <is>
          <t>Wikipedia reports losses of ₹1.5 crore. Infobox gross of ₹21.49 crore has no nett/gross label and is not entered. The lead places the nominations at the 43rd Filmfare Awards and the accolades table at the 1999 ceremony.</t>
        </is>
      </c>
    </row>
    <row r="30" ht="79" customHeight="1">
      <c r="A30" s="15" t="inlineStr">
        <is>
          <t>FILM-029</t>
        </is>
      </c>
      <c r="B30" s="5" t="inlineStr">
        <is>
          <t>Achanak</t>
        </is>
      </c>
      <c r="C30" s="16" t="n">
        <v>35958</v>
      </c>
      <c r="D30" s="17" t="n">
        <v>1998</v>
      </c>
      <c r="E30" s="5" t="inlineStr">
        <is>
          <t>1990s</t>
        </is>
      </c>
      <c r="F30" s="5" t="inlineStr">
        <is>
          <t>Hindi</t>
        </is>
      </c>
      <c r="G30" s="5" t="inlineStr">
        <is>
          <t>Action thriller</t>
        </is>
      </c>
      <c r="H30" s="5" t="n"/>
      <c r="I30" s="17" t="n">
        <v>159</v>
      </c>
      <c r="J30" s="5" t="inlineStr">
        <is>
          <t>Naresh Malhotra</t>
        </is>
      </c>
      <c r="K30" s="5" t="inlineStr">
        <is>
          <t>Vijay Galani</t>
        </is>
      </c>
      <c r="L30" s="5" t="inlineStr">
        <is>
          <t>Film Folks</t>
        </is>
      </c>
      <c r="M30" s="5" t="inlineStr">
        <is>
          <t>Sachin Bhowmick; Anwar Khan (dialogues)</t>
        </is>
      </c>
      <c r="N30" s="5" t="n"/>
      <c r="O30" s="5" t="inlineStr">
        <is>
          <t>Dilip Sen–Sameer Sen</t>
        </is>
      </c>
      <c r="P30" s="5" t="n"/>
      <c r="Q30" s="5" t="n"/>
      <c r="R30" s="5" t="inlineStr">
        <is>
          <t>Himself</t>
        </is>
      </c>
      <c r="S30" s="5" t="n"/>
      <c r="T30" s="5" t="inlineStr">
        <is>
          <t>Self appearance</t>
        </is>
      </c>
      <c r="U30" s="20" t="n"/>
      <c r="V30" s="5" t="n"/>
      <c r="W30" s="5" t="n"/>
      <c r="X30" s="19" t="inlineStr">
        <is>
          <t>Shah Rukh Khan appears as himself in a cameo in this thriller about Arjun Nanda, an industrialist's son whose charmed life and new love Pooja are upended when members of his family start dying. Sanjay Dutt and Raj Babbar also appear as themselves. The sources consulted do not describe Khan's scene.</t>
        </is>
      </c>
      <c r="Y30" s="19" t="n"/>
      <c r="Z30" s="19" t="n"/>
      <c r="AA30" s="19" t="n"/>
      <c r="AB30" s="19" t="n"/>
      <c r="AC30" s="5" t="n"/>
      <c r="AD30" s="5" t="n"/>
      <c r="AE30" s="5" t="inlineStr">
        <is>
          <t>None</t>
        </is>
      </c>
      <c r="AF30" s="18" t="n">
        <v>0</v>
      </c>
      <c r="AG30" s="19" t="inlineStr">
        <is>
          <t>No meaningful romance</t>
        </is>
      </c>
      <c r="AH30" s="21" t="n">
        <v>4.25</v>
      </c>
      <c r="AI30" s="5" t="n"/>
      <c r="AJ30" s="5" t="n"/>
      <c r="AK30" s="5" t="n"/>
      <c r="AL30" s="5" t="n"/>
      <c r="AM30" s="5" t="inlineStr">
        <is>
          <t>INR crore</t>
        </is>
      </c>
      <c r="AN30" s="5" t="inlineStr">
        <is>
          <t>Box-office failure</t>
        </is>
      </c>
      <c r="AO30" s="20" t="n"/>
      <c r="AP30" s="19" t="n"/>
      <c r="AQ30" s="19" t="n"/>
      <c r="AR30" s="5" t="inlineStr">
        <is>
          <t>SOURCE-001; SOURCE-032</t>
        </is>
      </c>
      <c r="AS30" s="5" t="inlineStr">
        <is>
          <t>Medium</t>
        </is>
      </c>
      <c r="AT30" s="5" t="inlineStr">
        <is>
          <t>Budget from the infobox; gross of ₹7.26 crore has no nett/gross label and is not entered.</t>
        </is>
      </c>
    </row>
    <row r="31" ht="139" customHeight="1">
      <c r="A31" s="15" t="inlineStr">
        <is>
          <t>FILM-030</t>
        </is>
      </c>
      <c r="B31" s="5" t="inlineStr">
        <is>
          <t>Dil Se..</t>
        </is>
      </c>
      <c r="C31" s="16" t="n">
        <v>36028</v>
      </c>
      <c r="D31" s="17" t="n">
        <v>1998</v>
      </c>
      <c r="E31" s="5" t="inlineStr">
        <is>
          <t>1990s</t>
        </is>
      </c>
      <c r="F31" s="5" t="inlineStr">
        <is>
          <t>Hindi</t>
        </is>
      </c>
      <c r="G31" s="5" t="inlineStr">
        <is>
          <t>Romantic thriller</t>
        </is>
      </c>
      <c r="H31" s="5" t="inlineStr">
        <is>
          <t>Political drama</t>
        </is>
      </c>
      <c r="I31" s="17" t="n">
        <v>167</v>
      </c>
      <c r="J31" s="5" t="inlineStr">
        <is>
          <t>Mani Ratnam</t>
        </is>
      </c>
      <c r="K31" s="5" t="inlineStr">
        <is>
          <t>Mani Ratnam; Ram Gopal Varma; Shekhar Kapur; Bharat Shah</t>
        </is>
      </c>
      <c r="L31" s="5" t="inlineStr">
        <is>
          <t>Madras Talkies; Varma Corporation</t>
        </is>
      </c>
      <c r="M31" s="5" t="inlineStr">
        <is>
          <t>Mani Ratnam</t>
        </is>
      </c>
      <c r="N31" s="5" t="n"/>
      <c r="O31" s="5" t="inlineStr">
        <is>
          <t>A. R. Rahman</t>
        </is>
      </c>
      <c r="P31" s="5" t="n"/>
      <c r="Q31" s="5" t="inlineStr">
        <is>
          <t>Gulzar</t>
        </is>
      </c>
      <c r="R31" s="5" t="inlineStr">
        <is>
          <t>Amarkant Verma</t>
        </is>
      </c>
      <c r="S31" s="5" t="n"/>
      <c r="T31" s="5" t="inlineStr">
        <is>
          <t>Lead</t>
        </is>
      </c>
      <c r="U31" s="18" t="n">
        <v>1</v>
      </c>
      <c r="V31" s="5" t="inlineStr">
        <is>
          <t>Programme executive, All India Radio</t>
        </is>
      </c>
      <c r="W31" s="5" t="inlineStr">
        <is>
          <t>Delhi-based radio journalist whose family arranges his marriage</t>
        </is>
      </c>
      <c r="X31" s="19" t="inlineStr">
        <is>
          <t>Amar, an All India Radio executive reporting from Assam, becomes infatuated with a mysterious woman he meets at a rain-soaked station. He pursues her to Ladakh and back to Delhi, unaware that Meghna is a suicide bomber planning a Republic Day attack, and falls under CBI suspicion after sheltering her. Escaping custody, he reaches her on parade morning and pleads with her to choose life; as they embrace, her handler detonates the vest.</t>
        </is>
      </c>
      <c r="Y31" s="19" t="inlineStr">
        <is>
          <t>Winning the woman he loves</t>
        </is>
      </c>
      <c r="Z31" s="19" t="inlineStr">
        <is>
          <t>Meghna's insurgent mission and trauma, and CBI suspicion</t>
        </is>
      </c>
      <c r="AA31" s="19" t="inlineStr">
        <is>
          <t>Curious journalist consumed by love dies with the woman he could not save</t>
        </is>
      </c>
      <c r="AB31" s="19" t="inlineStr">
        <is>
          <t>Heroic</t>
        </is>
      </c>
      <c r="AC31" s="5" t="inlineStr">
        <is>
          <t>Killed with Meghna when her explosive vest is detonated</t>
        </is>
      </c>
      <c r="AD31" s="5" t="inlineStr">
        <is>
          <t>Manisha Koirala; Preity Zinta</t>
        </is>
      </c>
      <c r="AE31" s="5" t="inlineStr">
        <is>
          <t>Central</t>
        </is>
      </c>
      <c r="AF31" s="18" t="n">
        <v>10</v>
      </c>
      <c r="AG31" s="19" t="inlineStr">
        <is>
          <t>Tragic lovers</t>
        </is>
      </c>
      <c r="AH31" s="21" t="n">
        <v>11.5</v>
      </c>
      <c r="AI31" s="5" t="n"/>
      <c r="AJ31" s="5" t="n"/>
      <c r="AK31" s="5" t="n"/>
      <c r="AL31" s="5" t="n"/>
      <c r="AM31" s="5" t="inlineStr">
        <is>
          <t>INR crore</t>
        </is>
      </c>
      <c r="AN31" s="5" t="inlineStr">
        <is>
          <t>Average in India; major success overseas</t>
        </is>
      </c>
      <c r="AO31" s="20" t="n"/>
      <c r="AP31" s="19" t="inlineStr">
        <is>
          <t>Mixed. Deepa Deosthalee called it 'a picture-perfect ode to love'; Khalid Mohamed praised the performances, technique and music but found no story; Anupama Chopra (India Today) called it 'a noble attempt' that was not good enough from Mani Ratnam.</t>
        </is>
      </c>
      <c r="AQ31" s="19" t="inlineStr">
        <is>
          <t>Netpac Award at the 49th Berlinale; National Film Awards for Best Cinematography and Best Audiography; six Filmfare Awards, including Best Music Director (A. R. Rahman) and Best Female Debut (Preity Zinta). First Indian film in the UK box-office top 10; soundtrack sold six million units in India; in Time's 'Best of Bollywood' list (2010). Final film of Ratnam's trilogy with Roja and Bombay.</t>
        </is>
      </c>
      <c r="AR31" s="5" t="inlineStr">
        <is>
          <t>SOURCE-001; SOURCE-033</t>
        </is>
      </c>
      <c r="AS31" s="5" t="inlineStr">
        <is>
          <t>Medium</t>
        </is>
      </c>
      <c r="AT31" s="5" t="inlineStr">
        <is>
          <t>Overseas: US$975,000 in the United States and £537,930 in the United Kingdom. Infobox gross of ₹28.40 crore has no nett/gross label and is not entered. The filmography marks it as Khan's 25th film. No Romances row for Preeti Nair: the summary records only an arranged engagement and one outing.</t>
        </is>
      </c>
    </row>
    <row r="32" ht="109" customHeight="1">
      <c r="A32" s="15" t="inlineStr">
        <is>
          <t>FILM-031</t>
        </is>
      </c>
      <c r="B32" s="5" t="inlineStr">
        <is>
          <t>Kuch Kuch Hota Hai</t>
        </is>
      </c>
      <c r="C32" s="16" t="n">
        <v>36084</v>
      </c>
      <c r="D32" s="17" t="n">
        <v>1998</v>
      </c>
      <c r="E32" s="5" t="inlineStr">
        <is>
          <t>1990s</t>
        </is>
      </c>
      <c r="F32" s="5" t="inlineStr">
        <is>
          <t>Hindi</t>
        </is>
      </c>
      <c r="G32" s="5" t="inlineStr">
        <is>
          <t>Romantic comedy-drama</t>
        </is>
      </c>
      <c r="H32" s="5" t="inlineStr">
        <is>
          <t>Musical</t>
        </is>
      </c>
      <c r="I32" s="17" t="n">
        <v>185</v>
      </c>
      <c r="J32" s="5" t="inlineStr">
        <is>
          <t>Karan Johar</t>
        </is>
      </c>
      <c r="K32" s="5" t="inlineStr">
        <is>
          <t>Yash Johar</t>
        </is>
      </c>
      <c r="L32" s="5" t="inlineStr">
        <is>
          <t>Dharma Productions</t>
        </is>
      </c>
      <c r="M32" s="5" t="inlineStr">
        <is>
          <t>Karan Johar</t>
        </is>
      </c>
      <c r="N32" s="5" t="n"/>
      <c r="O32" s="5" t="inlineStr">
        <is>
          <t>Jatin–Lalit</t>
        </is>
      </c>
      <c r="P32" s="5" t="n"/>
      <c r="Q32" s="5" t="inlineStr">
        <is>
          <t>Sameer</t>
        </is>
      </c>
      <c r="R32" s="5" t="inlineStr">
        <is>
          <t>Rahul Khanna</t>
        </is>
      </c>
      <c r="S32" s="5" t="n"/>
      <c r="T32" s="5" t="inlineStr">
        <is>
          <t>Lead</t>
        </is>
      </c>
      <c r="U32" s="18" t="n">
        <v>1</v>
      </c>
      <c r="V32" s="5" t="inlineStr">
        <is>
          <t>College student; later a widowed father</t>
        </is>
      </c>
      <c r="W32" s="5" t="inlineStr">
        <is>
          <t>Widower raising his daughter with his mother's help</t>
        </is>
      </c>
      <c r="X32" s="19" t="inlineStr">
        <is>
          <t>In college, Rahul is best friends with the tomboyish Anjali but falls for the principal's daughter Tina, leaving Anjali heartbroken. Tina dies in childbirth, leaving letters asking their daughter to reunite Rahul with Anjali. Years later young Anjali engineers a meeting at a summer camp, and Rahul rediscovers his love for Anjali, now engaged to Aman, who steps aside at the wedding so she can marry Rahul.</t>
        </is>
      </c>
      <c r="Y32" s="19" t="inlineStr">
        <is>
          <t>Love, first for Tina and later for Anjali</t>
        </is>
      </c>
      <c r="Z32" s="19" t="inlineStr">
        <is>
          <t>His blindness to Anjali's love, then her engagement to Aman</t>
        </is>
      </c>
      <c r="AA32" s="19" t="inlineStr">
        <is>
          <t>College flirt becomes a widowed father who recognises love in friendship</t>
        </is>
      </c>
      <c r="AB32" s="19" t="inlineStr">
        <is>
          <t>Heroic</t>
        </is>
      </c>
      <c r="AC32" s="5" t="inlineStr">
        <is>
          <t>Marries Anjali</t>
        </is>
      </c>
      <c r="AD32" s="5" t="inlineStr">
        <is>
          <t>Kajol; Rani Mukerji</t>
        </is>
      </c>
      <c r="AE32" s="5" t="inlineStr">
        <is>
          <t>Central</t>
        </is>
      </c>
      <c r="AF32" s="18" t="n">
        <v>10</v>
      </c>
      <c r="AG32" s="19" t="inlineStr">
        <is>
          <t>Love triangle</t>
        </is>
      </c>
      <c r="AH32" s="21" t="n">
        <v>10</v>
      </c>
      <c r="AI32" s="21" t="n">
        <v>46.86</v>
      </c>
      <c r="AJ32" s="21" t="n">
        <v>80.12</v>
      </c>
      <c r="AK32" s="21" t="n">
        <v>26.61</v>
      </c>
      <c r="AL32" s="21" t="n">
        <v>106.7</v>
      </c>
      <c r="AM32" s="5" t="inlineStr">
        <is>
          <t>INR crore</t>
        </is>
      </c>
      <c r="AN32" s="5" t="inlineStr">
        <is>
          <t>Major commercial success</t>
        </is>
      </c>
      <c r="AO32" s="20" t="inlineStr">
        <is>
          <t>1 (India, 1998)</t>
        </is>
      </c>
      <c r="AP32" s="19" t="inlineStr">
        <is>
          <t>Generally positive reviews. Nikhat Kazmi (The Times of India, 3.5/5) praised Kajol but found the second half 'drowned in a sea of emotions'; Nandita Chowdhury (India Today) called it 'slick, urbane and predictable' but credited Johar with nearly recreating the Khan–Kajol chemistry of DDLJ.</t>
        </is>
      </c>
      <c r="AQ32" s="19" t="inlineStr">
        <is>
          <t>National Film Award for Best Popular Film Providing Wholesome Entertainment. Eight Filmfare Awards, including Best Film, Best Director and all four acting awards (Best Actor for Khan). Highest-grossing Hindi film ever overseas until Kabhi Khushi Kabhie Gham; its soundtrack was the year's best-selling Bollywood album.</t>
        </is>
      </c>
      <c r="AR32" s="5" t="inlineStr">
        <is>
          <t>SOURCE-001; SOURCE-034</t>
        </is>
      </c>
      <c r="AS32" s="5" t="inlineStr">
        <is>
          <t>Medium</t>
        </is>
      </c>
      <c r="AT32" s="5" t="inlineStr">
        <is>
          <t>Box Office India figures via Wikipedia: India gross ₹80.12 crore, nett ₹46.86 crore, distributor share ₹29.88 crore; overseas US$6.3 million (₹26.61 crore); worldwide approximately ₹106.7 crore.</t>
        </is>
      </c>
    </row>
    <row r="33" ht="94" customHeight="1">
      <c r="A33" s="15" t="inlineStr">
        <is>
          <t>FILM-032</t>
        </is>
      </c>
      <c r="B33" s="5" t="inlineStr">
        <is>
          <t>Baadshah</t>
        </is>
      </c>
      <c r="C33" s="16" t="n">
        <v>36399</v>
      </c>
      <c r="D33" s="17" t="n">
        <v>1999</v>
      </c>
      <c r="E33" s="5" t="inlineStr">
        <is>
          <t>1990s</t>
        </is>
      </c>
      <c r="F33" s="5" t="inlineStr">
        <is>
          <t>Hindi</t>
        </is>
      </c>
      <c r="G33" s="5" t="inlineStr">
        <is>
          <t>Crime comedy</t>
        </is>
      </c>
      <c r="H33" s="5" t="inlineStr">
        <is>
          <t>Spy comedy</t>
        </is>
      </c>
      <c r="I33" s="17" t="n">
        <v>176</v>
      </c>
      <c r="J33" s="5" t="inlineStr">
        <is>
          <t>Abbas–Mustan</t>
        </is>
      </c>
      <c r="K33" s="5" t="inlineStr">
        <is>
          <t>Ganesh Jain; Bhawar Jain; Girish Jain</t>
        </is>
      </c>
      <c r="L33" s="5" t="inlineStr">
        <is>
          <t>Venus Movies</t>
        </is>
      </c>
      <c r="M33" s="5" t="inlineStr">
        <is>
          <t>Neeraj Vora; Shyam Goel</t>
        </is>
      </c>
      <c r="N33" s="5" t="inlineStr">
        <is>
          <t>Loosely based on Nick of Time (1995)</t>
        </is>
      </c>
      <c r="O33" s="5" t="inlineStr">
        <is>
          <t>Anu Malik</t>
        </is>
      </c>
      <c r="P33" s="5" t="inlineStr">
        <is>
          <t>Surinder Sodhi</t>
        </is>
      </c>
      <c r="Q33" s="5" t="n"/>
      <c r="R33" s="5" t="inlineStr">
        <is>
          <t>Raj (Baadshah)</t>
        </is>
      </c>
      <c r="S33" s="5" t="inlineStr">
        <is>
          <t>Mistaken for a CBI agent with the codename Baadshah</t>
        </is>
      </c>
      <c r="T33" s="5" t="inlineStr">
        <is>
          <t>Lead</t>
        </is>
      </c>
      <c r="U33" s="18" t="n">
        <v>1</v>
      </c>
      <c r="V33" s="5" t="inlineStr">
        <is>
          <t>Private detective</t>
        </is>
      </c>
      <c r="W33" s="5" t="inlineStr">
        <is>
          <t>Runs a struggling Bombay detective agency</t>
        </is>
      </c>
      <c r="X33" s="19" t="inlineStr">
        <is>
          <t>Raj, a bumbling Bombay detective called Baadshah, is paid to woo Seema away from an unwanted suitor and genuinely falls for her before dumping her. Mistaken for a CBI agent with the same codename, he is drawn into a plot to assassinate Goa's Chief Minister and blackmailed into carrying it out. With Seema's help he rescues his friends and a kidnapped child and foils the assassination.</t>
        </is>
      </c>
      <c r="Y33" s="19" t="inlineStr">
        <is>
          <t>A big break for his agency, then saving the Chief Minister</t>
        </is>
      </c>
      <c r="Z33" s="19" t="inlineStr">
        <is>
          <t>Thapar's assassination plot and a case of mistaken identity</t>
        </is>
      </c>
      <c r="AA33" s="19" t="inlineStr">
        <is>
          <t>Comic small-timer becomes an accidental hero</t>
        </is>
      </c>
      <c r="AB33" s="19" t="inlineStr">
        <is>
          <t>Heroic</t>
        </is>
      </c>
      <c r="AC33" s="5" t="inlineStr">
        <is>
          <t>Foils the plot; his agency thrives and he declares himself 'on wife duty'</t>
        </is>
      </c>
      <c r="AD33" s="5" t="inlineStr">
        <is>
          <t>Twinkle Khanna</t>
        </is>
      </c>
      <c r="AE33" s="5" t="inlineStr">
        <is>
          <t>Major</t>
        </is>
      </c>
      <c r="AF33" s="18" t="n">
        <v>5</v>
      </c>
      <c r="AG33" s="19" t="inlineStr">
        <is>
          <t>Relationship damaged by mistrust</t>
        </is>
      </c>
      <c r="AH33" s="21" t="n">
        <v>11</v>
      </c>
      <c r="AI33" s="21" t="n">
        <v>14.87</v>
      </c>
      <c r="AJ33" s="21" t="n">
        <v>25.08</v>
      </c>
      <c r="AK33" s="21" t="n">
        <v>6.52</v>
      </c>
      <c r="AL33" s="21" t="n">
        <v>31.6</v>
      </c>
      <c r="AM33" s="5" t="inlineStr">
        <is>
          <t>INR crore</t>
        </is>
      </c>
      <c r="AN33" s="5" t="inlineStr">
        <is>
          <t>Average</t>
        </is>
      </c>
      <c r="AO33" s="20" t="inlineStr">
        <is>
          <t>10 (India, 1999)</t>
        </is>
      </c>
      <c r="AP33" s="19" t="inlineStr">
        <is>
          <t>Syed Firdaus Ashraf (Rediff.com) wrote that Khan had 'performed well'.</t>
        </is>
      </c>
      <c r="AQ33" s="19" t="inlineStr">
        <is>
          <t>Khan was nominated for the Filmfare Best Comedian award and Amrish Puri for Best Villain.</t>
        </is>
      </c>
      <c r="AR33" s="5" t="inlineStr">
        <is>
          <t>SOURCE-001; SOURCE-035</t>
        </is>
      </c>
      <c r="AS33" s="5" t="inlineStr">
        <is>
          <t>Medium</t>
        </is>
      </c>
      <c r="AT33" s="5" t="inlineStr">
        <is>
          <t>Box Office India figures via Wikipedia; overseas US$1.5 million (₹6.52 crore). The filmography lists the film under 1998 and 1999; release was 27 August 1999.</t>
        </is>
      </c>
    </row>
    <row r="34" ht="94" customHeight="1">
      <c r="A34" s="15" t="inlineStr">
        <is>
          <t>FILM-033</t>
        </is>
      </c>
      <c r="B34" s="5" t="inlineStr">
        <is>
          <t>Phir Bhi Dil Hai Hindustani</t>
        </is>
      </c>
      <c r="C34" s="16" t="n">
        <v>36546</v>
      </c>
      <c r="D34" s="17" t="n">
        <v>2000</v>
      </c>
      <c r="E34" s="5" t="inlineStr">
        <is>
          <t>2000s</t>
        </is>
      </c>
      <c r="F34" s="5" t="inlineStr">
        <is>
          <t>Hindi</t>
        </is>
      </c>
      <c r="G34" s="5" t="inlineStr">
        <is>
          <t>Satire</t>
        </is>
      </c>
      <c r="H34" s="5" t="inlineStr">
        <is>
          <t>Romantic comedy</t>
        </is>
      </c>
      <c r="I34" s="17" t="n">
        <v>166</v>
      </c>
      <c r="J34" s="5" t="inlineStr">
        <is>
          <t>Aziz Mirza</t>
        </is>
      </c>
      <c r="K34" s="5" t="inlineStr">
        <is>
          <t>Shah Rukh Khan; Juhi Chawla; Aziz Mirza</t>
        </is>
      </c>
      <c r="L34" s="5" t="inlineStr">
        <is>
          <t>Dreamz Unlimited</t>
        </is>
      </c>
      <c r="M34" s="5" t="inlineStr">
        <is>
          <t>Raaj Kumar Dahima; Manoj Lalwani; Sanjay Chhel</t>
        </is>
      </c>
      <c r="N34" s="5" t="inlineStr">
        <is>
          <t>Title taken from the song 'Mera Joota Hai Japani' in Shree 420 (1955)</t>
        </is>
      </c>
      <c r="O34" s="5" t="inlineStr">
        <is>
          <t>Jatin–Lalit</t>
        </is>
      </c>
      <c r="P34" s="5" t="n"/>
      <c r="Q34" s="5" t="n"/>
      <c r="R34" s="5" t="inlineStr">
        <is>
          <t>Ajay Bakshi</t>
        </is>
      </c>
      <c r="S34" s="5" t="n"/>
      <c r="T34" s="5" t="inlineStr">
        <is>
          <t>Lead</t>
        </is>
      </c>
      <c r="U34" s="18" t="n">
        <v>1</v>
      </c>
      <c r="V34" s="5" t="inlineStr">
        <is>
          <t>Television reporter, KTV</t>
        </is>
      </c>
      <c r="W34" s="5" t="n"/>
      <c r="X34" s="19" t="inlineStr">
        <is>
          <t>Ajay, a ratings-hungry KTV reporter, stages a fake attack on a politician's brother-in-law with a small-time gangster, but the man is really murdered by Mohan Joshi, whose daughter he had raped and killed. Ajay's bickering with rival reporter Ria turns to love as they take up Mohan's cause. Betrayed by their bosses and politicians, they steal back Mohan's confession, broadcast it before his execution and save him.</t>
        </is>
      </c>
      <c r="Y34" s="19" t="inlineStr">
        <is>
          <t>Ratings and scoops, then justice for Mohan</t>
        </is>
      </c>
      <c r="Z34" s="19" t="inlineStr">
        <is>
          <t>Media bosses and corrupt politicians</t>
        </is>
      </c>
      <c r="AA34" s="19" t="inlineStr">
        <is>
          <t>Sensationalist reporter becomes a crusading journalist</t>
        </is>
      </c>
      <c r="AB34" s="19" t="inlineStr">
        <is>
          <t>Flawed but good-hearted</t>
        </is>
      </c>
      <c r="AC34" s="5" t="inlineStr">
        <is>
          <t>Saves Mohan; accepts Ria's proposal</t>
        </is>
      </c>
      <c r="AD34" s="5" t="inlineStr">
        <is>
          <t>Juhi Chawla</t>
        </is>
      </c>
      <c r="AE34" s="5" t="inlineStr">
        <is>
          <t>Major</t>
        </is>
      </c>
      <c r="AF34" s="18" t="n">
        <v>5</v>
      </c>
      <c r="AG34" s="19" t="inlineStr">
        <is>
          <t>Rivals to lovers</t>
        </is>
      </c>
      <c r="AH34" s="21" t="n">
        <v>13</v>
      </c>
      <c r="AI34" s="21" t="n">
        <v>10.74</v>
      </c>
      <c r="AJ34" s="21" t="n">
        <v>18.2</v>
      </c>
      <c r="AK34" s="21" t="n">
        <v>7.26</v>
      </c>
      <c r="AL34" s="21" t="n">
        <v>25.46</v>
      </c>
      <c r="AM34" s="5" t="inlineStr">
        <is>
          <t>INR crore</t>
        </is>
      </c>
      <c r="AN34" s="5" t="inlineStr">
        <is>
          <t>Flop</t>
        </is>
      </c>
      <c r="AO34" s="20" t="n"/>
      <c r="AP34" s="19" t="n"/>
      <c r="AQ34" s="19" t="inlineStr">
        <is>
          <t>First production of Dreamz Unlimited, the company of Khan, Chawla and Mirza; Khan later called it 'the biggest failure' for the three of them. IIFA Award for Best Special Effects.</t>
        </is>
      </c>
      <c r="AR34" s="5" t="inlineStr">
        <is>
          <t>SOURCE-001; SOURCE-036</t>
        </is>
      </c>
      <c r="AS34" s="5" t="inlineStr">
        <is>
          <t>Medium</t>
        </is>
      </c>
      <c r="AT34" s="5" t="inlineStr">
        <is>
          <t>Box Office India figures via Wikipedia; overseas US$1.67 million (₹7.26 crore). Khan is also a producer.</t>
        </is>
      </c>
    </row>
    <row r="35" ht="109" customHeight="1">
      <c r="A35" s="15" t="inlineStr">
        <is>
          <t>FILM-034</t>
        </is>
      </c>
      <c r="B35" s="5" t="inlineStr">
        <is>
          <t>Hey Ram</t>
        </is>
      </c>
      <c r="C35" s="16" t="n">
        <v>36574</v>
      </c>
      <c r="D35" s="17" t="n">
        <v>2000</v>
      </c>
      <c r="E35" s="5" t="inlineStr">
        <is>
          <t>2000s</t>
        </is>
      </c>
      <c r="F35" s="5" t="inlineStr">
        <is>
          <t>Tamil; Hindi</t>
        </is>
      </c>
      <c r="G35" s="5" t="inlineStr">
        <is>
          <t>Historical crime drama</t>
        </is>
      </c>
      <c r="H35" s="5" t="inlineStr">
        <is>
          <t>Political drama</t>
        </is>
      </c>
      <c r="I35" s="17" t="n">
        <v>207</v>
      </c>
      <c r="J35" s="5" t="inlineStr">
        <is>
          <t>Kamal Haasan</t>
        </is>
      </c>
      <c r="K35" s="5" t="inlineStr">
        <is>
          <t>Kamal Haasan; Chandrahasan</t>
        </is>
      </c>
      <c r="L35" s="5" t="inlineStr">
        <is>
          <t>Raaj Kamal Films International</t>
        </is>
      </c>
      <c r="M35" s="5" t="inlineStr">
        <is>
          <t>Kamal Haasan; Manohar Shyam Joshi (Hindi dialogues)</t>
        </is>
      </c>
      <c r="N35" s="5" t="n"/>
      <c r="O35" s="5" t="inlineStr">
        <is>
          <t>Ilaiyaraaja</t>
        </is>
      </c>
      <c r="P35" s="5" t="inlineStr">
        <is>
          <t>Ilaiyaraaja</t>
        </is>
      </c>
      <c r="Q35" s="5" t="n"/>
      <c r="R35" s="5" t="inlineStr">
        <is>
          <t>Amjad Ali Khan</t>
        </is>
      </c>
      <c r="S35" s="5" t="n"/>
      <c r="T35" s="5" t="inlineStr">
        <is>
          <t>Supporting</t>
        </is>
      </c>
      <c r="U35" s="18" t="n">
        <v>2</v>
      </c>
      <c r="V35" s="5" t="inlineStr">
        <is>
          <t>Archaeologist</t>
        </is>
      </c>
      <c r="W35" s="5" t="inlineStr">
        <is>
          <t>Pathan Muslim who chooses to stay in India after Partition</t>
        </is>
      </c>
      <c r="X35" s="19" t="inlineStr">
        <is>
          <t>Amjad, a Pathan Muslim archaeologist, works at Mohenjo-daro with his closest friend Saket Ram and resolves to stay in India despite Partition. Years later, sheltering Muslim families in Delhi, he discovers Ram's plot to kill Gandhi and begs him to renounce hatred, revealing that Hindus killed his own father. Struck down by a Hindu mob as Ram tries to shield him, he dies telling police Ram is his brother, turning Ram towards Gandhi.</t>
        </is>
      </c>
      <c r="Y35" s="19" t="inlineStr">
        <is>
          <t>Staying in the land he considers home and protecting refugee families</t>
        </is>
      </c>
      <c r="Z35" s="19" t="inlineStr">
        <is>
          <t>Communal violence and his friend's radicalisation</t>
        </is>
      </c>
      <c r="AA35" s="19" t="inlineStr">
        <is>
          <t>Steadfast secular friend whose sacrifice redeems Ram</t>
        </is>
      </c>
      <c r="AB35" s="19" t="inlineStr">
        <is>
          <t>Heroic</t>
        </is>
      </c>
      <c r="AC35" s="5" t="inlineStr">
        <is>
          <t>Killed by a Hindu mob</t>
        </is>
      </c>
      <c r="AD35" s="5" t="n"/>
      <c r="AE35" s="5" t="inlineStr">
        <is>
          <t>None</t>
        </is>
      </c>
      <c r="AF35" s="18" t="n">
        <v>0</v>
      </c>
      <c r="AG35" s="19" t="inlineStr">
        <is>
          <t>No meaningful romance</t>
        </is>
      </c>
      <c r="AH35" s="21" t="n">
        <v>11</v>
      </c>
      <c r="AI35" s="21" t="n">
        <v>5.32</v>
      </c>
      <c r="AJ35" s="21" t="n">
        <v>8.91</v>
      </c>
      <c r="AK35" s="5" t="n"/>
      <c r="AL35" s="5" t="n"/>
      <c r="AM35" s="5" t="inlineStr">
        <is>
          <t>INR crore</t>
        </is>
      </c>
      <c r="AN35" s="5" t="inlineStr">
        <is>
          <t>Commercial failure</t>
        </is>
      </c>
      <c r="AO35" s="20" t="inlineStr">
        <is>
          <t>35 (India, 2000, Hindi version)</t>
        </is>
      </c>
      <c r="AP35" s="19" t="inlineStr">
        <is>
          <t>Widespread critical acclaim. T. Krithika Reddy (The Hindu) praised its sound, make-up, cinematography, art and costumes; a review noted that Khan 'as usual comes up with an impeccable performance'.</t>
        </is>
      </c>
      <c r="AQ35" s="19" t="inlineStr">
        <is>
          <t>India's submission for the Academy Award for Best Foreign Language Film (not nominated). Three National Film Awards, including Best Supporting Actor for Atul Kulkarni. Screened at Toronto and Locarno. Khan's Tamil-language debut; his Dreamz Unlimited distributed the Hindi version.</t>
        </is>
      </c>
      <c r="AR35" s="5" t="inlineStr">
        <is>
          <t>SOURCE-001; SOURCE-037</t>
        </is>
      </c>
      <c r="AS35" s="5" t="inlineStr">
        <is>
          <t>Medium</t>
        </is>
      </c>
      <c r="AT35" s="5" t="inlineStr">
        <is>
          <t>Commercial figures are for the Hindi version: India gross ₹8.91 crore, nett ₹5.32 crore, overseas US$550,000. Infobox budget ₹11 crore; infobox gross of ₹11.3 crore is unlabelled and not entered. Runtime 207 minutes in Hindi, 210 in Tamil. Amjad's wife Nafisa appears only briefly, so no Romances row.</t>
        </is>
      </c>
    </row>
    <row r="36" ht="94" customHeight="1">
      <c r="A36" s="15" t="inlineStr">
        <is>
          <t>FILM-035</t>
        </is>
      </c>
      <c r="B36" s="5" t="inlineStr">
        <is>
          <t>Josh</t>
        </is>
      </c>
      <c r="C36" s="16" t="n">
        <v>36686</v>
      </c>
      <c r="D36" s="17" t="n">
        <v>2000</v>
      </c>
      <c r="E36" s="5" t="inlineStr">
        <is>
          <t>2000s</t>
        </is>
      </c>
      <c r="F36" s="5" t="inlineStr">
        <is>
          <t>Hindi; Konkani</t>
        </is>
      </c>
      <c r="G36" s="5" t="inlineStr">
        <is>
          <t>Romantic musical</t>
        </is>
      </c>
      <c r="H36" s="5" t="inlineStr">
        <is>
          <t>Crime drama</t>
        </is>
      </c>
      <c r="I36" s="20" t="n"/>
      <c r="J36" s="5" t="inlineStr">
        <is>
          <t>Mansoor Khan</t>
        </is>
      </c>
      <c r="K36" s="5" t="inlineStr">
        <is>
          <t>Ganesh Jain; Ratan Jain; Champak Jain</t>
        </is>
      </c>
      <c r="L36" s="5" t="inlineStr">
        <is>
          <t>Venus Movies</t>
        </is>
      </c>
      <c r="M36" s="5" t="inlineStr">
        <is>
          <t>Mansoor Khan; Neeraj Vora</t>
        </is>
      </c>
      <c r="N36" s="5" t="inlineStr">
        <is>
          <t>Some plot points inspired by West Side Story (1961)</t>
        </is>
      </c>
      <c r="O36" s="5" t="inlineStr">
        <is>
          <t>Anu Malik</t>
        </is>
      </c>
      <c r="P36" s="5" t="inlineStr">
        <is>
          <t>Anjan Biswas</t>
        </is>
      </c>
      <c r="Q36" s="5" t="n"/>
      <c r="R36" s="5" t="inlineStr">
        <is>
          <t>Max Dias</t>
        </is>
      </c>
      <c r="S36" s="5" t="n"/>
      <c r="T36" s="5" t="inlineStr">
        <is>
          <t>Lead</t>
        </is>
      </c>
      <c r="U36" s="18" t="n">
        <v>1</v>
      </c>
      <c r="V36" s="5" t="inlineStr">
        <is>
          <t>Leader of the Eagles street gang</t>
        </is>
      </c>
      <c r="W36" s="5" t="inlineStr">
        <is>
          <t>Orphan in Vasco, Goa; unknowingly the illegitimate son of the landlord Alberto Vasco</t>
        </is>
      </c>
      <c r="X36" s="19" t="inlineStr">
        <is>
          <t>In 1980 Vasco, Goa, Max leads the Eagles, a gang of local youths, against Prakash's immigrant Bichhoos, and fiercely guards his twin sister Shirley. When Prakash's brother Rahul falls for Shirley, Max's gang wrecks Rahul's pastry shop. Prakash, learning the twins are heirs to valuable land, tries to kill Max, who shoots him in self-defence; after Rahul proves his innocence in court, Max blesses Rahul and Shirley's marriage.</t>
        </is>
      </c>
      <c r="Y36" s="19" t="inlineStr">
        <is>
          <t>Protecting his gang's turf and his sister</t>
        </is>
      </c>
      <c r="Z36" s="19" t="inlineStr">
        <is>
          <t>Gang rivalry with the Bichhoos and Rahul's romance with Shirley</t>
        </is>
      </c>
      <c r="AA36" s="19" t="inlineStr">
        <is>
          <t>Hot-headed gang leader accepts his rival's brother as family</t>
        </is>
      </c>
      <c r="AB36" s="19" t="inlineStr">
        <is>
          <t>Flawed but good-hearted</t>
        </is>
      </c>
      <c r="AC36" s="5" t="inlineStr">
        <is>
          <t>Acquitted; blesses Shirley's marriage to Rahul</t>
        </is>
      </c>
      <c r="AD36" s="5" t="inlineStr">
        <is>
          <t>Aishwarya Rai; Priya Gill</t>
        </is>
      </c>
      <c r="AE36" s="5" t="inlineStr">
        <is>
          <t>Minor</t>
        </is>
      </c>
      <c r="AF36" s="18" t="n">
        <v>2</v>
      </c>
      <c r="AG36" s="19" t="inlineStr">
        <is>
          <t>Romance subordinate to another genre</t>
        </is>
      </c>
      <c r="AH36" s="21" t="n">
        <v>16</v>
      </c>
      <c r="AI36" s="21" t="n">
        <v>17.83</v>
      </c>
      <c r="AJ36" s="21" t="n">
        <v>30.05</v>
      </c>
      <c r="AK36" s="21" t="n">
        <v>5.01</v>
      </c>
      <c r="AL36" s="21" t="n">
        <v>35.06</v>
      </c>
      <c r="AM36" s="5" t="inlineStr">
        <is>
          <t>INR crore</t>
        </is>
      </c>
      <c r="AN36" s="5" t="inlineStr">
        <is>
          <t>Average</t>
        </is>
      </c>
      <c r="AO36" s="20" t="inlineStr">
        <is>
          <t>5 (India, 2000)</t>
        </is>
      </c>
      <c r="AP36" s="19" t="inlineStr">
        <is>
          <t>Mixed reviews praising the music, cinematography, action and cast but criticising the script. Taran Adarsh (Bollywood Hungama) called it well made with great performances, but found the second half average and the climax weak.</t>
        </is>
      </c>
      <c r="AQ36" s="19" t="inlineStr">
        <is>
          <t>Five Filmfare nominations, including Best Film and Best Director; IIFA Award for Best Art Direction.</t>
        </is>
      </c>
      <c r="AR36" s="5" t="inlineStr">
        <is>
          <t>SOURCE-001; SOURCE-038</t>
        </is>
      </c>
      <c r="AS36" s="5" t="inlineStr">
        <is>
          <t>Medium</t>
        </is>
      </c>
      <c r="AT36" s="5" t="inlineStr">
        <is>
          <t>No Romances row: Max's love interest Rosanne (Priya Gill, special appearance) does not appear in the plot summary. Overseas US$1.127 million (₹5.01 crore). No runtime in the infobox.</t>
        </is>
      </c>
    </row>
    <row r="37" ht="79" customHeight="1">
      <c r="A37" s="15" t="inlineStr">
        <is>
          <t>FILM-036</t>
        </is>
      </c>
      <c r="B37" s="5" t="inlineStr">
        <is>
          <t>Har Dil Jo Pyar Karega</t>
        </is>
      </c>
      <c r="C37" s="16" t="n">
        <v>36742</v>
      </c>
      <c r="D37" s="17" t="n">
        <v>2000</v>
      </c>
      <c r="E37" s="5" t="inlineStr">
        <is>
          <t>2000s</t>
        </is>
      </c>
      <c r="F37" s="5" t="inlineStr">
        <is>
          <t>Hindi</t>
        </is>
      </c>
      <c r="G37" s="5" t="inlineStr">
        <is>
          <t>Romantic comedy</t>
        </is>
      </c>
      <c r="H37" s="5" t="n"/>
      <c r="I37" s="17" t="n">
        <v>150</v>
      </c>
      <c r="J37" s="5" t="inlineStr">
        <is>
          <t>Raj Kanwar</t>
        </is>
      </c>
      <c r="K37" s="5" t="inlineStr">
        <is>
          <t>Sajid Nadiadwala</t>
        </is>
      </c>
      <c r="L37" s="5" t="n"/>
      <c r="M37" s="5" t="inlineStr">
        <is>
          <t>Rumi Jaffery; Priyadarshan (story)</t>
        </is>
      </c>
      <c r="N37" s="5" t="inlineStr">
        <is>
          <t>Remake of the Malayalam film Chandralekha (1997), itself inspired by While You Were Sleeping (1995)</t>
        </is>
      </c>
      <c r="O37" s="5" t="inlineStr">
        <is>
          <t>Anu Malik</t>
        </is>
      </c>
      <c r="P37" s="5" t="inlineStr">
        <is>
          <t>Surinder Sodhi</t>
        </is>
      </c>
      <c r="Q37" s="5" t="n"/>
      <c r="R37" s="5" t="inlineStr">
        <is>
          <t>Rahul Khanna</t>
        </is>
      </c>
      <c r="S37" s="5" t="n"/>
      <c r="T37" s="5" t="inlineStr">
        <is>
          <t>Cameo</t>
        </is>
      </c>
      <c r="U37" s="20" t="n"/>
      <c r="V37" s="5" t="n"/>
      <c r="W37" s="5" t="n"/>
      <c r="X37" s="19" t="inlineStr">
        <is>
          <t>Khan makes a special appearance as Rahul Khanna, the name of his Kuch Kuch Hota Hai character, with Sana Saeed again playing his daughter Anjali. At the end of this comedy of mistaken identity, the heiress Pooja, who has lost Raj to her friend Jahnvi, chooses Rahul as her husband. The sources consulted give no further detail of his scenes.</t>
        </is>
      </c>
      <c r="Y37" s="19" t="n"/>
      <c r="Z37" s="19" t="n"/>
      <c r="AA37" s="19" t="n"/>
      <c r="AB37" s="19" t="n"/>
      <c r="AC37" s="5" t="n"/>
      <c r="AD37" s="5" t="n"/>
      <c r="AE37" s="5" t="inlineStr">
        <is>
          <t>Implied</t>
        </is>
      </c>
      <c r="AF37" s="18" t="n">
        <v>1</v>
      </c>
      <c r="AG37" s="19" t="inlineStr">
        <is>
          <t>Romance subordinate to another genre</t>
        </is>
      </c>
      <c r="AH37" s="5" t="n"/>
      <c r="AI37" s="5" t="n"/>
      <c r="AJ37" s="5" t="n"/>
      <c r="AK37" s="5" t="n"/>
      <c r="AL37" s="5" t="n"/>
      <c r="AM37" s="5" t="n"/>
      <c r="AN37" s="5" t="inlineStr">
        <is>
          <t>Hit</t>
        </is>
      </c>
      <c r="AO37" s="20" t="n"/>
      <c r="AP37" s="19" t="inlineStr">
        <is>
          <t>Generally well received, with particular praise for the three leads.</t>
        </is>
      </c>
      <c r="AQ37" s="19" t="inlineStr">
        <is>
          <t>Entered the UK top 10. Filmfare nominations for Rani Mukerji (Best Supporting Actress) and for 'Piya Piya' (Best Female Playback Singer).</t>
        </is>
      </c>
      <c r="AR37" s="5" t="inlineStr">
        <is>
          <t>SOURCE-001; SOURCE-039</t>
        </is>
      </c>
      <c r="AS37" s="5" t="inlineStr">
        <is>
          <t>Medium</t>
        </is>
      </c>
      <c r="AT37" s="5" t="inlineStr">
        <is>
          <t>Credited as a special appearance; entered as Cameo because the role appears only at the end. No Romances row: Rahul is chosen by Pooja in the final scene only. The lead's worldwide gross of ₹965.5 million conflicts with the infobox's ₹32.45 crore; neither is entered.</t>
        </is>
      </c>
    </row>
    <row r="38" ht="109" customHeight="1">
      <c r="A38" s="15" t="inlineStr">
        <is>
          <t>FILM-037</t>
        </is>
      </c>
      <c r="B38" s="5" t="inlineStr">
        <is>
          <t>Mohabbatein</t>
        </is>
      </c>
      <c r="C38" s="16" t="n">
        <v>36826</v>
      </c>
      <c r="D38" s="17" t="n">
        <v>2000</v>
      </c>
      <c r="E38" s="5" t="inlineStr">
        <is>
          <t>2000s</t>
        </is>
      </c>
      <c r="F38" s="5" t="inlineStr">
        <is>
          <t>Hindi</t>
        </is>
      </c>
      <c r="G38" s="5" t="inlineStr">
        <is>
          <t>Musical romantic drama</t>
        </is>
      </c>
      <c r="H38" s="5" t="inlineStr">
        <is>
          <t>Coming-of-age</t>
        </is>
      </c>
      <c r="I38" s="17" t="n">
        <v>215</v>
      </c>
      <c r="J38" s="5" t="inlineStr">
        <is>
          <t>Aditya Chopra</t>
        </is>
      </c>
      <c r="K38" s="5" t="inlineStr">
        <is>
          <t>Yash Chopra</t>
        </is>
      </c>
      <c r="L38" s="5" t="inlineStr">
        <is>
          <t>Yash Raj Films</t>
        </is>
      </c>
      <c r="M38" s="5" t="inlineStr">
        <is>
          <t>Aditya Chopra</t>
        </is>
      </c>
      <c r="N38" s="5" t="n"/>
      <c r="O38" s="5" t="inlineStr">
        <is>
          <t>Jatin–Lalit</t>
        </is>
      </c>
      <c r="P38" s="5" t="n"/>
      <c r="Q38" s="5" t="inlineStr">
        <is>
          <t>Anand Bakshi</t>
        </is>
      </c>
      <c r="R38" s="5" t="inlineStr">
        <is>
          <t>Raj Aryan Malhotra</t>
        </is>
      </c>
      <c r="S38" s="5" t="n"/>
      <c r="T38" s="5" t="inlineStr">
        <is>
          <t>Lead</t>
        </is>
      </c>
      <c r="U38" s="18" t="n">
        <v>2</v>
      </c>
      <c r="V38" s="5" t="inlineStr">
        <is>
          <t>Music teacher at Gurukul</t>
        </is>
      </c>
      <c r="W38" s="5" t="inlineStr">
        <is>
          <t>Former Gurukul student expelled for loving the principal's daughter</t>
        </is>
      </c>
      <c r="X38" s="19" t="inlineStr">
        <is>
          <t>Raj Aryan joins Gurukul, an elite boys' school, as music teacher and encourages three students to pursue love despite principal Narayan Shankar's ban. He reveals he was once expelled for loving Narayan's daughter Megha, who then killed herself, and vows to spread love in her memory. When the boys face expulsion Raj takes the blame and agrees to leave, until Narayan admits his rules killed his daughter and hands the school to Raj.</t>
        </is>
      </c>
      <c r="Y38" s="19" t="inlineStr">
        <is>
          <t>Honouring Megha by bringing love to Gurukul</t>
        </is>
      </c>
      <c r="Z38" s="19" t="inlineStr">
        <is>
          <t>Narayan Shankar's regime of tradition, honour and discipline</t>
        </is>
      </c>
      <c r="AA38" s="19" t="inlineStr">
        <is>
          <t>Grieving lover turns mentor and wins his ideological battle</t>
        </is>
      </c>
      <c r="AB38" s="19" t="inlineStr">
        <is>
          <t>Heroic</t>
        </is>
      </c>
      <c r="AC38" s="5" t="inlineStr">
        <is>
          <t>Becomes principal after Narayan steps down</t>
        </is>
      </c>
      <c r="AD38" s="5" t="inlineStr">
        <is>
          <t>Aishwarya Rai</t>
        </is>
      </c>
      <c r="AE38" s="5" t="inlineStr">
        <is>
          <t>Central</t>
        </is>
      </c>
      <c r="AF38" s="18" t="n">
        <v>7</v>
      </c>
      <c r="AG38" s="19" t="inlineStr">
        <is>
          <t>Tragic lovers</t>
        </is>
      </c>
      <c r="AH38" s="5" t="inlineStr">
        <is>
          <t>₹13–19 crore</t>
        </is>
      </c>
      <c r="AI38" s="5" t="n"/>
      <c r="AJ38" s="5" t="n"/>
      <c r="AK38" s="5" t="n"/>
      <c r="AL38" s="21" t="n">
        <v>90.01000000000001</v>
      </c>
      <c r="AM38" s="5" t="inlineStr">
        <is>
          <t>INR crore</t>
        </is>
      </c>
      <c r="AN38" s="5" t="inlineStr">
        <is>
          <t>Commercial success</t>
        </is>
      </c>
      <c r="AO38" s="20" t="inlineStr">
        <is>
          <t>1 (India, 2000)</t>
        </is>
      </c>
      <c r="AP38" s="19" t="inlineStr">
        <is>
          <t>Mixed-to-positive. Savera R. Someshwar (Rediff.com) called it 'a successful, feel-good film' whose Bachchan–Khan confrontations created 'an expectant hush'; Savitha Padmanabhan (The Hindu) disliked its length and structure; a Filmfare reviewer said both leads 'excelled'.</t>
        </is>
      </c>
      <c r="AQ38" s="19" t="inlineStr">
        <is>
          <t>Four Filmfare Awards, including Best Supporting Actor for Amitabh Bachchan and Best Actor (Critics) for Khan.</t>
        </is>
      </c>
      <c r="AR38" s="5" t="inlineStr">
        <is>
          <t>SOURCE-001; SOURCE-040</t>
        </is>
      </c>
      <c r="AS38" s="5" t="inlineStr">
        <is>
          <t>Medium</t>
        </is>
      </c>
      <c r="AT38" s="5" t="inlineStr">
        <is>
          <t>Box Office India estimated a total gross of ₹900.1 million; the film collected ₹706.2 million in India and US$4.2 million overseas (India figure not labelled nett or gross, so not entered). Budget given as a range in the infobox.</t>
        </is>
      </c>
    </row>
    <row r="39" ht="94" customHeight="1">
      <c r="A39" s="15" t="inlineStr">
        <is>
          <t>FILM-038</t>
        </is>
      </c>
      <c r="B39" s="5" t="inlineStr">
        <is>
          <t>Gaja Gamini</t>
        </is>
      </c>
      <c r="C39" s="16" t="n">
        <v>36861</v>
      </c>
      <c r="D39" s="17" t="n">
        <v>2000</v>
      </c>
      <c r="E39" s="5" t="inlineStr">
        <is>
          <t>2000s</t>
        </is>
      </c>
      <c r="F39" s="5" t="inlineStr">
        <is>
          <t>Hindi</t>
        </is>
      </c>
      <c r="G39" s="5" t="n"/>
      <c r="H39" s="5" t="n"/>
      <c r="I39" s="17" t="n">
        <v>122</v>
      </c>
      <c r="J39" s="5" t="inlineStr">
        <is>
          <t>M. F. Husain</t>
        </is>
      </c>
      <c r="K39" s="5" t="inlineStr">
        <is>
          <t>Rakesh Nath</t>
        </is>
      </c>
      <c r="L39" s="5" t="n"/>
      <c r="M39" s="5" t="inlineStr">
        <is>
          <t>Kamna Chandra; M. F. Husain</t>
        </is>
      </c>
      <c r="N39" s="5" t="n"/>
      <c r="O39" s="5" t="inlineStr">
        <is>
          <t>Bhupen Hazarika</t>
        </is>
      </c>
      <c r="P39" s="5" t="n"/>
      <c r="Q39" s="5" t="n"/>
      <c r="R39" s="5" t="inlineStr">
        <is>
          <t>Himself</t>
        </is>
      </c>
      <c r="S39" s="5" t="n"/>
      <c r="T39" s="5" t="inlineStr">
        <is>
          <t>Self appearance</t>
        </is>
      </c>
      <c r="U39" s="20" t="n"/>
      <c r="V39" s="5" t="n"/>
      <c r="W39" s="5" t="n"/>
      <c r="X39" s="19" t="inlineStr">
        <is>
          <t>Khan appears as himself in M. F. Husain's film about Gaja Gamini, the eternal feminine muse played by Madhuri Dixit in several incarnations. The summary presents her as the inspiration behind Leonardo da Vinci's Mona Lisa, Kalidasa's Shakuntala and the photographs of a photojournalist named Shahrukh. The sources consulted do not describe Khan's scenes further.</t>
        </is>
      </c>
      <c r="Y39" s="19" t="n"/>
      <c r="Z39" s="19" t="n"/>
      <c r="AA39" s="19" t="n"/>
      <c r="AB39" s="19" t="n"/>
      <c r="AC39" s="5" t="n"/>
      <c r="AD39" s="5" t="n"/>
      <c r="AE39" s="5" t="inlineStr">
        <is>
          <t>None</t>
        </is>
      </c>
      <c r="AF39" s="18" t="n">
        <v>0</v>
      </c>
      <c r="AG39" s="19" t="inlineStr">
        <is>
          <t>No meaningful romance</t>
        </is>
      </c>
      <c r="AH39" s="5" t="n"/>
      <c r="AI39" s="5" t="n"/>
      <c r="AJ39" s="5" t="n"/>
      <c r="AK39" s="5" t="n"/>
      <c r="AL39" s="5" t="n"/>
      <c r="AM39" s="5" t="n"/>
      <c r="AN39" s="5" t="inlineStr">
        <is>
          <t>Box-office failure</t>
        </is>
      </c>
      <c r="AO39" s="20" t="n"/>
      <c r="AP39" s="19" t="inlineStr">
        <is>
          <t>Suman Tarafdar (Filmfare) called it 'not something that comes along every day'; Taran Adarsh found that Husain failed to convey his thoughts on celluloid.</t>
        </is>
      </c>
      <c r="AQ39" s="19" t="n"/>
      <c r="AR39" s="5" t="inlineStr">
        <is>
          <t>SOURCE-001; SOURCE-041</t>
        </is>
      </c>
      <c r="AS39" s="5" t="inlineStr">
        <is>
          <t>Low</t>
        </is>
      </c>
      <c r="AT39" s="5" t="inlineStr">
        <is>
          <t>The cast list gives 'himself (cameo appearance)', while the one-line plot refers to a photojournalist named Shahrukh; the role may be that character. Genre not stated in the sources.</t>
        </is>
      </c>
    </row>
    <row r="40" ht="94" customHeight="1">
      <c r="A40" s="15" t="inlineStr">
        <is>
          <t>FILM-039</t>
        </is>
      </c>
      <c r="B40" s="5" t="inlineStr">
        <is>
          <t>One 2 Ka 4</t>
        </is>
      </c>
      <c r="C40" s="16" t="n">
        <v>36980</v>
      </c>
      <c r="D40" s="17" t="n">
        <v>2001</v>
      </c>
      <c r="E40" s="5" t="inlineStr">
        <is>
          <t>2000s</t>
        </is>
      </c>
      <c r="F40" s="5" t="inlineStr">
        <is>
          <t>Hindi</t>
        </is>
      </c>
      <c r="G40" s="5" t="inlineStr">
        <is>
          <t>Action drama</t>
        </is>
      </c>
      <c r="H40" s="5" t="inlineStr">
        <is>
          <t>Comedy</t>
        </is>
      </c>
      <c r="I40" s="17" t="n">
        <v>173</v>
      </c>
      <c r="J40" s="5" t="inlineStr">
        <is>
          <t>Shashilal K. Nair</t>
        </is>
      </c>
      <c r="K40" s="5" t="inlineStr">
        <is>
          <t>Nazir Ahmed</t>
        </is>
      </c>
      <c r="L40" s="5" t="inlineStr">
        <is>
          <t>Glamour Films</t>
        </is>
      </c>
      <c r="M40" s="5" t="inlineStr">
        <is>
          <t>Manoj Lalwani; Raaj Kumar Dahima</t>
        </is>
      </c>
      <c r="N40" s="5" t="n"/>
      <c r="O40" s="5" t="inlineStr">
        <is>
          <t>A. R. Rahman</t>
        </is>
      </c>
      <c r="P40" s="5" t="n"/>
      <c r="Q40" s="5" t="n"/>
      <c r="R40" s="5" t="inlineStr">
        <is>
          <t>ACP Arun Verma</t>
        </is>
      </c>
      <c r="S40" s="5" t="n"/>
      <c r="T40" s="5" t="inlineStr">
        <is>
          <t>Lead</t>
        </is>
      </c>
      <c r="U40" s="18" t="n">
        <v>1</v>
      </c>
      <c r="V40" s="5" t="inlineStr">
        <is>
          <t>Assistant Commissioner of Police, Special Task Force</t>
        </is>
      </c>
      <c r="W40" s="5" t="n"/>
      <c r="X40" s="19" t="inlineStr">
        <is>
          <t>ACP Arun Verma promises his partner Javed Abbas, a widower, to care for his four children, and must keep that promise when Javed is killed in a drug raid. Struggling to raise them with help from Geeta, an undercover officer at a drug lord's nightclub, he steals the gangster's money, is framed and suspended. Tracing the conspiracy to the CBI chief and Javed's killer Sawant, he is reinstated and marries Geeta.</t>
        </is>
      </c>
      <c r="Y40" s="19" t="inlineStr">
        <is>
          <t>Keeping his promise to Javed and clearing his name</t>
        </is>
      </c>
      <c r="Z40" s="19" t="inlineStr">
        <is>
          <t>Police corruption protecting the drug lord KKV</t>
        </is>
      </c>
      <c r="AA40" s="19" t="inlineStr">
        <is>
          <t>Reluctant guardian becomes a father figure and a vindicated officer</t>
        </is>
      </c>
      <c r="AB40" s="19" t="inlineStr">
        <is>
          <t>Flawed but good-hearted</t>
        </is>
      </c>
      <c r="AC40" s="5" t="inlineStr">
        <is>
          <t>Reinstated; marries Geeta and raises Javed's children</t>
        </is>
      </c>
      <c r="AD40" s="5" t="inlineStr">
        <is>
          <t>Juhi Chawla</t>
        </is>
      </c>
      <c r="AE40" s="5" t="inlineStr">
        <is>
          <t>Secondary</t>
        </is>
      </c>
      <c r="AF40" s="18" t="n">
        <v>3</v>
      </c>
      <c r="AG40" s="19" t="inlineStr">
        <is>
          <t>Romance subordinate to another genre</t>
        </is>
      </c>
      <c r="AH40" s="21" t="n">
        <v>12</v>
      </c>
      <c r="AI40" s="21" t="n">
        <v>6.63</v>
      </c>
      <c r="AJ40" s="21" t="n">
        <v>11.2</v>
      </c>
      <c r="AK40" s="21" t="n">
        <v>2.62</v>
      </c>
      <c r="AL40" s="21" t="n">
        <v>13.82</v>
      </c>
      <c r="AM40" s="5" t="inlineStr">
        <is>
          <t>INR crore</t>
        </is>
      </c>
      <c r="AN40" s="5" t="inlineStr">
        <is>
          <t>Disaster</t>
        </is>
      </c>
      <c r="AO40" s="20" t="inlineStr">
        <is>
          <t>20 (India, 2001)</t>
        </is>
      </c>
      <c r="AP40" s="19" t="inlineStr">
        <is>
          <t>Taran Adarsh (IndiaFM, 1/5) found it 'handicapped by a weak script' despite Khan's presence, A. R. Rahman's music and vibrant action.</t>
        </is>
      </c>
      <c r="AQ40" s="19" t="inlineStr">
        <is>
          <t>Rights now owned by Red Chillies Entertainment.</t>
        </is>
      </c>
      <c r="AR40" s="5" t="inlineStr">
        <is>
          <t>SOURCE-001; SOURCE-042</t>
        </is>
      </c>
      <c r="AS40" s="5" t="inlineStr">
        <is>
          <t>Medium</t>
        </is>
      </c>
      <c r="AT40" s="5" t="inlineStr">
        <is>
          <t>Box Office India figures via Wikipedia; overseas US$565,000 (₹2.62 crore).</t>
        </is>
      </c>
    </row>
    <row r="41" ht="94" customHeight="1">
      <c r="A41" s="15" t="inlineStr">
        <is>
          <t>FILM-040</t>
        </is>
      </c>
      <c r="B41" s="5" t="inlineStr">
        <is>
          <t>Aśoka</t>
        </is>
      </c>
      <c r="C41" s="16" t="n">
        <v>37190</v>
      </c>
      <c r="D41" s="17" t="n">
        <v>2001</v>
      </c>
      <c r="E41" s="5" t="inlineStr">
        <is>
          <t>2000s</t>
        </is>
      </c>
      <c r="F41" s="5" t="inlineStr">
        <is>
          <t>Hindi</t>
        </is>
      </c>
      <c r="G41" s="5" t="inlineStr">
        <is>
          <t>Epic historical drama</t>
        </is>
      </c>
      <c r="H41" s="5" t="inlineStr">
        <is>
          <t>War</t>
        </is>
      </c>
      <c r="I41" s="17" t="n">
        <v>171</v>
      </c>
      <c r="J41" s="5" t="inlineStr">
        <is>
          <t>Santosh Sivan</t>
        </is>
      </c>
      <c r="K41" s="5" t="inlineStr">
        <is>
          <t>Shah Rukh Khan; Juhi Chawla</t>
        </is>
      </c>
      <c r="L41" s="5" t="inlineStr">
        <is>
          <t>Dreamz Unlimited; Archlightz Films</t>
        </is>
      </c>
      <c r="M41" s="5" t="inlineStr">
        <is>
          <t>Santosh Sivan; Saket Chaudhary (screenplay); Abbas Tyrewala (dialogues)</t>
        </is>
      </c>
      <c r="N41" s="5" t="inlineStr">
        <is>
          <t>Based on the early life of the Mauryan emperor Ashoka</t>
        </is>
      </c>
      <c r="O41" s="5" t="inlineStr">
        <is>
          <t>Anu Malik</t>
        </is>
      </c>
      <c r="P41" s="5" t="inlineStr">
        <is>
          <t>Sandeep Chowta</t>
        </is>
      </c>
      <c r="Q41" s="5" t="n"/>
      <c r="R41" s="5" t="inlineStr">
        <is>
          <t>Ashoka Maurya</t>
        </is>
      </c>
      <c r="S41" s="5" t="inlineStr">
        <is>
          <t>Travels in disguise as Pawan</t>
        </is>
      </c>
      <c r="T41" s="5" t="inlineStr">
        <is>
          <t>Lead</t>
        </is>
      </c>
      <c r="U41" s="18" t="n">
        <v>1</v>
      </c>
      <c r="V41" s="5" t="inlineStr">
        <is>
          <t>Prince and general; later emperor</t>
        </is>
      </c>
      <c r="W41" s="5" t="inlineStr">
        <is>
          <t>Mauryan royal family; grandson of Chandragupta Maurya</t>
        </is>
      </c>
      <c r="X41" s="19" t="inlineStr">
        <is>
          <t>Prince Asoka, sent away by his mother to escape his half-brother Susima's plots, travels as Pawan and secretly marries Kaurwaki, a fugitive princess of Kalinga. Told she has been killed, he turns brutal, marries the Buddhist Devi, becomes emperor after Susima's death and declares war on Kalinga. Finding Kaurwaki wounded and her brother Arya dying amid the carnage he caused, he throws away his sword and embraces Buddhism.</t>
        </is>
      </c>
      <c r="Y41" s="19" t="inlineStr">
        <is>
          <t>Power and survival, then grief-fuelled conquest</t>
        </is>
      </c>
      <c r="Z41" s="19" t="inlineStr">
        <is>
          <t>Susima's assassination attempts and the war with Kalinga</t>
        </is>
      </c>
      <c r="AA41" s="19" t="inlineStr">
        <is>
          <t>Ambitious prince turned ruthless conqueror renounces violence</t>
        </is>
      </c>
      <c r="AB41" s="19" t="inlineStr">
        <is>
          <t>Morally compromised; redeemed</t>
        </is>
      </c>
      <c r="AC41" s="5" t="inlineStr">
        <is>
          <t>Embraces Buddhism after the Kalinga war</t>
        </is>
      </c>
      <c r="AD41" s="5" t="inlineStr">
        <is>
          <t>Kareena Kapoor; Hrishitaa Bhatt</t>
        </is>
      </c>
      <c r="AE41" s="5" t="inlineStr">
        <is>
          <t>Major</t>
        </is>
      </c>
      <c r="AF41" s="18" t="n">
        <v>6</v>
      </c>
      <c r="AG41" s="19" t="inlineStr">
        <is>
          <t>Multiple romantic relationships</t>
        </is>
      </c>
      <c r="AH41" s="21" t="n">
        <v>12.5</v>
      </c>
      <c r="AI41" s="21" t="n">
        <v>11.54</v>
      </c>
      <c r="AJ41" s="5" t="n"/>
      <c r="AK41" s="21" t="n">
        <v>8.640000000000001</v>
      </c>
      <c r="AL41" s="5" t="n"/>
      <c r="AM41" s="5" t="inlineStr">
        <is>
          <t>INR crore</t>
        </is>
      </c>
      <c r="AN41" s="5" t="n"/>
      <c r="AO41" s="20" t="inlineStr">
        <is>
          <t>13 (India, 2001)</t>
        </is>
      </c>
      <c r="AP41" s="19" t="inlineStr">
        <is>
          <t>Critically acclaimed abroad (10 of 10 on Rotten Tomatoes). Peter Bradshaw (The Guardian) called it 'a big, brash and deeply enjoyable Bollywood epic'; Variety's David Rooney said Khan 'cuts a dashing figure as a soulful hunk'; the BBC's Santosh Sinha found Khan less convincing in the renunciation.</t>
        </is>
      </c>
      <c r="AQ41" s="19" t="inlineStr">
        <is>
          <t>Filmfare and IIFA awards for Best Cinematography (Santosh Sivan); Filmfare nominations for Best Film, Best Director and Best Actress (Kareena Kapoor). Released in India as Ashoka: The Great and widely screened abroad.</t>
        </is>
      </c>
      <c r="AR41" s="5" t="inlineStr">
        <is>
          <t>SOURCE-001; SOURCE-043</t>
        </is>
      </c>
      <c r="AS41" s="5" t="inlineStr">
        <is>
          <t>Medium</t>
        </is>
      </c>
      <c r="AT41" s="5" t="inlineStr">
        <is>
          <t>India nett ₹11.54 crore; overseas US$1.8 million (₹8.64 crore). Infobox estimated gross of ₹28 crore is unlabelled and not entered. No verdict found. Khan is also a producer.</t>
        </is>
      </c>
    </row>
    <row r="42" ht="94" customHeight="1">
      <c r="A42" s="15" t="inlineStr">
        <is>
          <t>FILM-041</t>
        </is>
      </c>
      <c r="B42" s="5" t="inlineStr">
        <is>
          <t>Kabhi Khushi Kabhie Gham</t>
        </is>
      </c>
      <c r="C42" s="16" t="n">
        <v>37239</v>
      </c>
      <c r="D42" s="17" t="n">
        <v>2001</v>
      </c>
      <c r="E42" s="5" t="inlineStr">
        <is>
          <t>2000s</t>
        </is>
      </c>
      <c r="F42" s="5" t="inlineStr">
        <is>
          <t>Hindi</t>
        </is>
      </c>
      <c r="G42" s="5" t="inlineStr">
        <is>
          <t>Family drama</t>
        </is>
      </c>
      <c r="H42" s="5" t="inlineStr">
        <is>
          <t>Melodrama</t>
        </is>
      </c>
      <c r="I42" s="17" t="n">
        <v>210</v>
      </c>
      <c r="J42" s="5" t="inlineStr">
        <is>
          <t>Karan Johar</t>
        </is>
      </c>
      <c r="K42" s="5" t="inlineStr">
        <is>
          <t>Yash Johar</t>
        </is>
      </c>
      <c r="L42" s="5" t="inlineStr">
        <is>
          <t>Dharma Productions</t>
        </is>
      </c>
      <c r="M42" s="5" t="inlineStr">
        <is>
          <t>Karan Johar; Sheena Parikh</t>
        </is>
      </c>
      <c r="N42" s="5" t="inlineStr">
        <is>
          <t>Inspired by Kabhi Kabhie (1976); core plot based on the Bengali film Tumi Je Aamar (1994)</t>
        </is>
      </c>
      <c r="O42" s="5" t="inlineStr">
        <is>
          <t>Jatin–Lalit; Sandesh Shandilya; Aadesh Shrivastava</t>
        </is>
      </c>
      <c r="P42" s="5" t="n"/>
      <c r="Q42" s="5" t="n"/>
      <c r="R42" s="5" t="inlineStr">
        <is>
          <t>Rahul Raichand</t>
        </is>
      </c>
      <c r="S42" s="5" t="n"/>
      <c r="T42" s="5" t="inlineStr">
        <is>
          <t>Co-lead</t>
        </is>
      </c>
      <c r="U42" s="18" t="n">
        <v>3</v>
      </c>
      <c r="V42" s="5" t="n"/>
      <c r="W42" s="5" t="inlineStr">
        <is>
          <t>Adopted elder son of the Delhi industrialist Yash Raichand</t>
        </is>
      </c>
      <c r="X42" s="19" t="inlineStr">
        <is>
          <t>Rahul, the adopted elder son of the Delhi tycoon Yash Raichand, learns of his adoption as a boy and grows up dutiful. He falls in love with Anjali, a lively girl from Chandni Chowk, and marries her after her father's death, defying Yash's plan for him to marry Naina. Disowned, he moves to London with Anjali and her sister. A decade later his brother Rohan brings the family together, and Yash publicly apologises.</t>
        </is>
      </c>
      <c r="Y42" s="19" t="inlineStr">
        <is>
          <t>Duty to his parents and love for Anjali</t>
        </is>
      </c>
      <c r="Z42" s="19" t="inlineStr">
        <is>
          <t>Yash's disapproval of a lower-class bride</t>
        </is>
      </c>
      <c r="AA42" s="19" t="inlineStr">
        <is>
          <t>Dutiful son disowned for love and reconciled with his father</t>
        </is>
      </c>
      <c r="AB42" s="19" t="inlineStr">
        <is>
          <t>Heroic</t>
        </is>
      </c>
      <c r="AC42" s="5" t="inlineStr">
        <is>
          <t>Reconciled with Yash; his wedding is belatedly celebrated</t>
        </is>
      </c>
      <c r="AD42" s="5" t="inlineStr">
        <is>
          <t>Kajol; Kareena Kapoor; Rani Mukerji</t>
        </is>
      </c>
      <c r="AE42" s="5" t="inlineStr">
        <is>
          <t>Major</t>
        </is>
      </c>
      <c r="AF42" s="18" t="n">
        <v>6</v>
      </c>
      <c r="AG42" s="19" t="inlineStr">
        <is>
          <t>United couple versus external world</t>
        </is>
      </c>
      <c r="AH42" s="21" t="n">
        <v>40</v>
      </c>
      <c r="AI42" s="21" t="n">
        <v>55</v>
      </c>
      <c r="AJ42" s="5" t="n"/>
      <c r="AK42" s="5" t="n"/>
      <c r="AL42" s="21" t="n">
        <v>136</v>
      </c>
      <c r="AM42" s="5" t="inlineStr">
        <is>
          <t>INR crore</t>
        </is>
      </c>
      <c r="AN42" s="5" t="inlineStr">
        <is>
          <t>Blockbuster</t>
        </is>
      </c>
      <c r="AO42" s="20" t="inlineStr">
        <is>
          <t>2 (India, 2001)</t>
        </is>
      </c>
      <c r="AP42" s="19" t="inlineStr">
        <is>
          <t>Mixed responses from Indian critics, with praise for production values and performances; abroad it scored 12 of 12 on Rotten Tomatoes. Shamaila Khan (BBC, 9/10) praised Khan, Kajol and Kareena Kapoor; Derek Elley (Variety) called it 'highly enjoyable'.</t>
        </is>
      </c>
      <c r="AQ42" s="19" t="inlineStr">
        <is>
          <t>Led the 47th Filmfare nominations with 16 and won five. The highest-grossing Indian film overseas at the time; regarded as a landmark family drama.</t>
        </is>
      </c>
      <c r="AR42" s="5" t="inlineStr">
        <is>
          <t>SOURCE-001; SOURCE-044</t>
        </is>
      </c>
      <c r="AS42" s="5" t="inlineStr">
        <is>
          <t>Medium</t>
        </is>
      </c>
      <c r="AT42" s="5" t="inlineStr">
        <is>
          <t>Domestic nett ₹550 million; overseas US$8.9 million; worldwide approximately ₹1.36 billion. No Romances row for Naina Kapoor (Rani Mukerji, extended guest appearance): the summary says only that she quietly loves Rahul and steps aside.</t>
        </is>
      </c>
    </row>
    <row r="43" ht="94" customHeight="1">
      <c r="A43" s="15" t="inlineStr">
        <is>
          <t>FILM-042</t>
        </is>
      </c>
      <c r="B43" s="5" t="inlineStr">
        <is>
          <t>Hum Tumhare Hain Sanam</t>
        </is>
      </c>
      <c r="C43" s="16" t="n">
        <v>37400</v>
      </c>
      <c r="D43" s="17" t="n">
        <v>2002</v>
      </c>
      <c r="E43" s="5" t="inlineStr">
        <is>
          <t>2000s</t>
        </is>
      </c>
      <c r="F43" s="5" t="inlineStr">
        <is>
          <t>Hindi</t>
        </is>
      </c>
      <c r="G43" s="5" t="inlineStr">
        <is>
          <t>Romantic drama</t>
        </is>
      </c>
      <c r="H43" s="5" t="n"/>
      <c r="I43" s="17" t="n">
        <v>175</v>
      </c>
      <c r="J43" s="5" t="inlineStr">
        <is>
          <t>K. S. Adhiyaman</t>
        </is>
      </c>
      <c r="K43" s="5" t="inlineStr">
        <is>
          <t>K. C. Bokadia</t>
        </is>
      </c>
      <c r="L43" s="5" t="inlineStr">
        <is>
          <t>BMB Productions</t>
        </is>
      </c>
      <c r="M43" s="5" t="inlineStr">
        <is>
          <t>K. S. Adhiyaman; Reema Rakesh Nath (dialogues)</t>
        </is>
      </c>
      <c r="N43" s="5" t="inlineStr">
        <is>
          <t>Remake of Adhiyaman's Tamil film Thotta Chinungi (1995)</t>
        </is>
      </c>
      <c r="O43" s="5" t="inlineStr">
        <is>
          <t>Nadeem–Shravan; Daboo Malik; Bappi Lahiri; Nikhil–Vinay; Bali Brahmabhatt; Sajid–Wajid; Uttam Singh</t>
        </is>
      </c>
      <c r="P43" s="5" t="n"/>
      <c r="Q43" s="5" t="inlineStr">
        <is>
          <t>Jalees Sherwani; Kartik Avasthi; Maya Govind; Praveen Bhardwaj</t>
        </is>
      </c>
      <c r="R43" s="5" t="inlineStr">
        <is>
          <t>Gopal Sharma</t>
        </is>
      </c>
      <c r="S43" s="5" t="n"/>
      <c r="T43" s="5" t="inlineStr">
        <is>
          <t>Lead</t>
        </is>
      </c>
      <c r="U43" s="18" t="n">
        <v>1</v>
      </c>
      <c r="V43" s="5" t="inlineStr">
        <is>
          <t>Rich businessman</t>
        </is>
      </c>
      <c r="W43" s="5" t="inlineStr">
        <is>
          <t>Orphan raised by the patriarch Dev Narayan</t>
        </is>
      </c>
      <c r="X43" s="19" t="inlineStr">
        <is>
          <t>Gopal, an orphan raised by the patriarch Dev Narayan, grows into a rich businessman and marries Dev's granddaughter Radha. He becomes convinced that Radha's devotion to Suraj, the famous singer her mother adopted as a boy, is an affair. Misunderstandings mount until he throws Radha out and grows bitter, refusing to hear either of them, before realising their bond is that of siblings and reuniting with her.</t>
        </is>
      </c>
      <c r="Y43" s="19" t="inlineStr">
        <is>
          <t>Radha's undivided love</t>
        </is>
      </c>
      <c r="Z43" s="19" t="inlineStr">
        <is>
          <t>His suspicion of Radha and Suraj</t>
        </is>
      </c>
      <c r="AA43" s="19" t="inlineStr">
        <is>
          <t>Loving husband turns jealous and bitter, then recognises his error</t>
        </is>
      </c>
      <c r="AB43" s="19" t="inlineStr">
        <is>
          <t>Flawed but good-hearted</t>
        </is>
      </c>
      <c r="AC43" s="5" t="inlineStr">
        <is>
          <t>Reunited with Radha</t>
        </is>
      </c>
      <c r="AD43" s="5" t="inlineStr">
        <is>
          <t>Madhuri Dixit; Aishwarya Rai</t>
        </is>
      </c>
      <c r="AE43" s="5" t="inlineStr">
        <is>
          <t>Central</t>
        </is>
      </c>
      <c r="AF43" s="18" t="n">
        <v>9</v>
      </c>
      <c r="AG43" s="19" t="inlineStr">
        <is>
          <t>Relationship damaged by mistrust</t>
        </is>
      </c>
      <c r="AH43" s="21" t="n">
        <v>12</v>
      </c>
      <c r="AI43" s="5" t="n"/>
      <c r="AJ43" s="21" t="n">
        <v>22.26</v>
      </c>
      <c r="AK43" s="21" t="n">
        <v>12.49</v>
      </c>
      <c r="AL43" s="21" t="n">
        <v>34.76</v>
      </c>
      <c r="AM43" s="5" t="inlineStr">
        <is>
          <t>INR crore</t>
        </is>
      </c>
      <c r="AN43" s="5" t="n"/>
      <c r="AO43" s="20" t="n"/>
      <c r="AP43" s="19" t="inlineStr">
        <is>
          <t>Derek Elley (Variety) called the long-delayed film 'a major disappointment'; Omar Ahmed (Empire) found nothing fresh in its love triangle.</t>
        </is>
      </c>
      <c r="AQ43" s="19" t="inlineStr">
        <is>
          <t>Released after a six-year production delay; rights owned by Red Chillies Entertainment.</t>
        </is>
      </c>
      <c r="AR43" s="5" t="inlineStr">
        <is>
          <t>SOURCE-001; SOURCE-045</t>
        </is>
      </c>
      <c r="AS43" s="5" t="inlineStr">
        <is>
          <t>Medium</t>
        </is>
      </c>
      <c r="AT43" s="5" t="inlineStr">
        <is>
          <t>Overseas US$2.55 million (₹12.49 crore). No nett figure or verdict found. The song-composer list is from a truncated infobox field and may be incomplete.</t>
        </is>
      </c>
    </row>
    <row r="44" ht="124" customHeight="1">
      <c r="A44" s="15" t="inlineStr">
        <is>
          <t>FILM-043</t>
        </is>
      </c>
      <c r="B44" s="5" t="inlineStr">
        <is>
          <t>Devdas</t>
        </is>
      </c>
      <c r="C44" s="16" t="n">
        <v>37449</v>
      </c>
      <c r="D44" s="17" t="n">
        <v>2002</v>
      </c>
      <c r="E44" s="5" t="inlineStr">
        <is>
          <t>2000s</t>
        </is>
      </c>
      <c r="F44" s="5" t="inlineStr">
        <is>
          <t>Hindi</t>
        </is>
      </c>
      <c r="G44" s="5" t="inlineStr">
        <is>
          <t>Period romantic drama</t>
        </is>
      </c>
      <c r="H44" s="5" t="inlineStr">
        <is>
          <t>Tragedy</t>
        </is>
      </c>
      <c r="I44" s="17" t="n">
        <v>184</v>
      </c>
      <c r="J44" s="5" t="inlineStr">
        <is>
          <t>Sanjay Leela Bhansali</t>
        </is>
      </c>
      <c r="K44" s="5" t="inlineStr">
        <is>
          <t>Bharat Shah</t>
        </is>
      </c>
      <c r="L44" s="5" t="inlineStr">
        <is>
          <t>Mega Bollywood</t>
        </is>
      </c>
      <c r="M44" s="5" t="inlineStr">
        <is>
          <t>Prakash Ranjit Kapadia; Sanjay Leela Bhansali</t>
        </is>
      </c>
      <c r="N44" s="5" t="inlineStr">
        <is>
          <t>Based on Sarat Chandra Chattopadhyay's Bengali novel Devdas (1917)</t>
        </is>
      </c>
      <c r="O44" s="5" t="inlineStr">
        <is>
          <t>Ismail Darbar; Birju Maharaj</t>
        </is>
      </c>
      <c r="P44" s="5" t="inlineStr">
        <is>
          <t>Monty Sharma</t>
        </is>
      </c>
      <c r="Q44" s="5" t="n"/>
      <c r="R44" s="5" t="inlineStr">
        <is>
          <t>Devdas Mukherjee</t>
        </is>
      </c>
      <c r="S44" s="5" t="n"/>
      <c r="T44" s="5" t="inlineStr">
        <is>
          <t>Lead</t>
        </is>
      </c>
      <c r="U44" s="18" t="n">
        <v>1</v>
      </c>
      <c r="V44" s="5" t="inlineStr">
        <is>
          <t>London-educated law graduate</t>
        </is>
      </c>
      <c r="W44" s="5" t="inlineStr">
        <is>
          <t>Aristocratic zamindar family</t>
        </is>
      </c>
      <c r="X44" s="19" t="inlineStr">
        <is>
          <t>Devdas returns from ten years' study in London and falls in love with his childhood companion Paro, but his mother scorns her lineage and his father humiliates her. Lacking the courage to defy them, he writes that he never loved her, and Paro marries a widowed aristocrat. Devdas sinks into alcoholism, finds refuge with the courtesan Chandramukhi, and dies at the gates of Paro's mansion as they are shut on her.</t>
        </is>
      </c>
      <c r="Y44" s="19" t="inlineStr">
        <is>
          <t>Love for Paro, then escape from grief</t>
        </is>
      </c>
      <c r="Z44" s="19" t="inlineStr">
        <is>
          <t>His family's class prejudice and his own cowardice</t>
        </is>
      </c>
      <c r="AA44" s="19" t="inlineStr">
        <is>
          <t>Privileged lover destroys himself through drink after failing to fight for love</t>
        </is>
      </c>
      <c r="AB44" s="19" t="inlineStr">
        <is>
          <t>Tragic and self-destructive</t>
        </is>
      </c>
      <c r="AC44" s="5" t="inlineStr">
        <is>
          <t>Dies of liver failure outside Paro's gates</t>
        </is>
      </c>
      <c r="AD44" s="5" t="inlineStr">
        <is>
          <t>Aishwarya Rai; Madhuri Dixit</t>
        </is>
      </c>
      <c r="AE44" s="5" t="inlineStr">
        <is>
          <t>Central</t>
        </is>
      </c>
      <c r="AF44" s="18" t="n">
        <v>10</v>
      </c>
      <c r="AG44" s="19" t="inlineStr">
        <is>
          <t>Tragic lovers</t>
        </is>
      </c>
      <c r="AH44" s="21" t="n">
        <v>50</v>
      </c>
      <c r="AI44" s="5" t="n"/>
      <c r="AJ44" s="5" t="n"/>
      <c r="AK44" s="5" t="n"/>
      <c r="AL44" s="5" t="inlineStr">
        <is>
          <t>₹99.9–168 crore</t>
        </is>
      </c>
      <c r="AM44" s="5" t="inlineStr">
        <is>
          <t>INR crore</t>
        </is>
      </c>
      <c r="AN44" s="5" t="inlineStr">
        <is>
          <t>Commercial success</t>
        </is>
      </c>
      <c r="AO44" s="20" t="inlineStr">
        <is>
          <t>1 (India, 2002)</t>
        </is>
      </c>
      <c r="AP44" s="19" t="inlineStr">
        <is>
          <t>Mixed reviews in India: most praised Madhuri Dixit but criticised Bhansali's direction and the lead performances, though Komal Nahta called Khan 'mind-blowing' and Ratna Rajaiah (The Hindu) called it 'a fabulous, sumptuous, glittering tribute to the lofty ideal of romantic love'.</t>
        </is>
      </c>
      <c r="AQ44" s="19" t="inlineStr">
        <is>
          <t>India's submission for the Academy Award for Best International Feature Film. One of the few films to win all four top Filmfare awards (Best Film, Director, Actor and Actress). Premiered at the Cannes Film Festival; sets built for ₹200 million.</t>
        </is>
      </c>
      <c r="AR44" s="5" t="inlineStr">
        <is>
          <t>SOURCE-001; SOURCE-046; SOURCE-034</t>
        </is>
      </c>
      <c r="AS44" s="5" t="inlineStr">
        <is>
          <t>Medium</t>
        </is>
      </c>
      <c r="AT44" s="5" t="inlineStr">
        <is>
          <t>India collections of ₹681.9 million and overseas ₹316.9 million are not labelled nett or gross. Box Office India estimated the Hindi version's total at ₹998.8 million; Wikipedia gives approximately ₹1.68 billion worldwide as of 2003, including a Chinese-language release; hence the range. Premiered at Cannes on 23 May 2002; Indian release 12 July 2002. The four-top-awards claim comes from the Kuch Kuch Hota Hai article.</t>
        </is>
      </c>
    </row>
    <row r="45" ht="64" customHeight="1">
      <c r="A45" s="15" t="inlineStr">
        <is>
          <t>FILM-044</t>
        </is>
      </c>
      <c r="B45" s="5" t="inlineStr">
        <is>
          <t>Shakti: The Power</t>
        </is>
      </c>
      <c r="C45" s="16" t="n">
        <v>37519</v>
      </c>
      <c r="D45" s="17" t="n">
        <v>2002</v>
      </c>
      <c r="E45" s="5" t="inlineStr">
        <is>
          <t>2000s</t>
        </is>
      </c>
      <c r="F45" s="5" t="inlineStr">
        <is>
          <t>Hindi</t>
        </is>
      </c>
      <c r="G45" s="5" t="inlineStr">
        <is>
          <t>Action</t>
        </is>
      </c>
      <c r="H45" s="5" t="n"/>
      <c r="I45" s="17" t="n">
        <v>177</v>
      </c>
      <c r="J45" s="5" t="inlineStr">
        <is>
          <t>Krishna Vamsi</t>
        </is>
      </c>
      <c r="K45" s="5" t="inlineStr">
        <is>
          <t>Boney Kapoor; Sridevi Kapoor</t>
        </is>
      </c>
      <c r="L45" s="5" t="inlineStr">
        <is>
          <t>Sridevi Productions</t>
        </is>
      </c>
      <c r="M45" s="5" t="inlineStr">
        <is>
          <t>Krishna Vamsi</t>
        </is>
      </c>
      <c r="N45" s="5" t="inlineStr">
        <is>
          <t>Remake of the Telugu film Anthahpuram (1998), based on the story told in Not Without My Daughter (1991)</t>
        </is>
      </c>
      <c r="O45" s="5" t="inlineStr">
        <is>
          <t>Ismail Darbar; Anu Malik</t>
        </is>
      </c>
      <c r="P45" s="5" t="inlineStr">
        <is>
          <t>Mani Sharma</t>
        </is>
      </c>
      <c r="Q45" s="5" t="inlineStr">
        <is>
          <t>Mehboob; Sameer</t>
        </is>
      </c>
      <c r="R45" s="5" t="inlineStr">
        <is>
          <t>Jai Singh</t>
        </is>
      </c>
      <c r="S45" s="5" t="n"/>
      <c r="T45" s="5" t="inlineStr">
        <is>
          <t>Supporting</t>
        </is>
      </c>
      <c r="U45" s="18" t="n">
        <v>4</v>
      </c>
      <c r="V45" s="5" t="inlineStr">
        <is>
          <t>Drifter</t>
        </is>
      </c>
      <c r="W45" s="5" t="n"/>
      <c r="X45" s="19" t="inlineStr">
        <is>
          <t>Jai is a drifter drawn into the escape of Nandini, a Canadian-raised widow trying to flee her father-in-law Narasimha's feudal household with her young son after her husband is killed in a village feud. The plot summary consulted describes his role only as helping her flight.</t>
        </is>
      </c>
      <c r="Y45" s="19" t="n"/>
      <c r="Z45" s="19" t="inlineStr">
        <is>
          <t>Narasimha's pursuit of Nandini and her son</t>
        </is>
      </c>
      <c r="AA45" s="19" t="n"/>
      <c r="AB45" s="19" t="n"/>
      <c r="AC45" s="5" t="n"/>
      <c r="AD45" s="5" t="inlineStr">
        <is>
          <t>Karisma Kapoor</t>
        </is>
      </c>
      <c r="AE45" s="5" t="inlineStr">
        <is>
          <t>None</t>
        </is>
      </c>
      <c r="AF45" s="18" t="n">
        <v>0</v>
      </c>
      <c r="AG45" s="19" t="inlineStr">
        <is>
          <t>No meaningful romance</t>
        </is>
      </c>
      <c r="AH45" s="21" t="n">
        <v>10</v>
      </c>
      <c r="AI45" s="21" t="n">
        <v>8.470000000000001</v>
      </c>
      <c r="AJ45" s="21" t="n">
        <v>13.82</v>
      </c>
      <c r="AK45" s="21" t="n">
        <v>6.54</v>
      </c>
      <c r="AL45" s="21" t="n">
        <v>20.36</v>
      </c>
      <c r="AM45" s="5" t="inlineStr">
        <is>
          <t>INR crore</t>
        </is>
      </c>
      <c r="AN45" s="5" t="inlineStr">
        <is>
          <t>Flop</t>
        </is>
      </c>
      <c r="AO45" s="20" t="inlineStr">
        <is>
          <t>20 (India, 2002)</t>
        </is>
      </c>
      <c r="AP45" s="19" t="inlineStr">
        <is>
          <t>Derek Elley (Variety) praised Nana Patekar's 'finely shaded performance' but found the film swinging between realism and Bollywood formula.</t>
        </is>
      </c>
      <c r="AQ45" s="19" t="inlineStr">
        <is>
          <t>Filmfare nominations for Best Actress (Karisma Kapoor) and Best Villain (Nana Patekar). Aishwarya Rai appears in the song 'Ishq Kameena'.</t>
        </is>
      </c>
      <c r="AR45" s="5" t="inlineStr">
        <is>
          <t>SOURCE-001; SOURCE-047</t>
        </is>
      </c>
      <c r="AS45" s="5" t="inlineStr">
        <is>
          <t>Low</t>
        </is>
      </c>
      <c r="AT45" s="5" t="inlineStr">
        <is>
          <t>The plot summary is brief: Jai's arc and outcome are not described, so romance presence is recorded as None without confirmation. Overseas US$1.35 million (₹6.54 crore). Guest composition by Anu Malik.</t>
        </is>
      </c>
    </row>
    <row r="46" ht="79" customHeight="1">
      <c r="A46" s="15" t="inlineStr">
        <is>
          <t>FILM-045</t>
        </is>
      </c>
      <c r="B46" s="5" t="inlineStr">
        <is>
          <t>Saathiya</t>
        </is>
      </c>
      <c r="C46" s="16" t="n">
        <v>37610</v>
      </c>
      <c r="D46" s="17" t="n">
        <v>2002</v>
      </c>
      <c r="E46" s="5" t="inlineStr">
        <is>
          <t>2000s</t>
        </is>
      </c>
      <c r="F46" s="5" t="inlineStr">
        <is>
          <t>Hindi</t>
        </is>
      </c>
      <c r="G46" s="5" t="inlineStr">
        <is>
          <t>Musical romantic drama</t>
        </is>
      </c>
      <c r="H46" s="5" t="n"/>
      <c r="I46" s="17" t="n">
        <v>139</v>
      </c>
      <c r="J46" s="5" t="inlineStr">
        <is>
          <t>Shaad Ali</t>
        </is>
      </c>
      <c r="K46" s="5" t="inlineStr">
        <is>
          <t>Bobby Bedi</t>
        </is>
      </c>
      <c r="L46" s="5" t="inlineStr">
        <is>
          <t>Kaleidoscope Entertainment; Yash Raj Films</t>
        </is>
      </c>
      <c r="M46" s="5" t="inlineStr">
        <is>
          <t>Mani Ratnam</t>
        </is>
      </c>
      <c r="N46" s="5" t="inlineStr">
        <is>
          <t>Remake of Mani Ratnam's Tamil film Alai Payuthey (2000)</t>
        </is>
      </c>
      <c r="O46" s="5" t="inlineStr">
        <is>
          <t>A. R. Rahman</t>
        </is>
      </c>
      <c r="P46" s="5" t="n"/>
      <c r="Q46" s="5" t="n"/>
      <c r="R46" s="5" t="inlineStr">
        <is>
          <t>Yeshwant Rao</t>
        </is>
      </c>
      <c r="S46" s="5" t="n"/>
      <c r="T46" s="5" t="inlineStr">
        <is>
          <t>Cameo</t>
        </is>
      </c>
      <c r="U46" s="20" t="n"/>
      <c r="V46" s="5" t="inlineStr">
        <is>
          <t>IAS officer</t>
        </is>
      </c>
      <c r="W46" s="5" t="n"/>
      <c r="X46" s="19" t="inlineStr">
        <is>
          <t>Yeshwant Rao, an IAS officer, appears late in the film when the missing Suhani is traced to a hospital after being hit by a car. He first claims to have been the driver, but his wife Savitri reveals that she was driving and that Yeshwant had taken the blame to protect her. Credited as a special appearance.</t>
        </is>
      </c>
      <c r="Y46" s="19" t="n"/>
      <c r="Z46" s="19" t="n"/>
      <c r="AA46" s="19" t="n"/>
      <c r="AB46" s="19" t="inlineStr">
        <is>
          <t>Protective</t>
        </is>
      </c>
      <c r="AC46" s="5" t="n"/>
      <c r="AD46" s="5" t="n"/>
      <c r="AE46" s="5" t="inlineStr">
        <is>
          <t>None</t>
        </is>
      </c>
      <c r="AF46" s="18" t="n">
        <v>0</v>
      </c>
      <c r="AG46" s="19" t="inlineStr">
        <is>
          <t>No meaningful romance</t>
        </is>
      </c>
      <c r="AH46" s="5" t="n"/>
      <c r="AI46" s="21" t="n">
        <v>15.255</v>
      </c>
      <c r="AJ46" s="21" t="n">
        <v>24.71</v>
      </c>
      <c r="AK46" s="21" t="n">
        <v>4.52</v>
      </c>
      <c r="AL46" s="21" t="n">
        <v>29.15</v>
      </c>
      <c r="AM46" s="5" t="inlineStr">
        <is>
          <t>INR crore</t>
        </is>
      </c>
      <c r="AN46" s="5" t="inlineStr">
        <is>
          <t>Commercial success</t>
        </is>
      </c>
      <c r="AO46" s="20" t="inlineStr">
        <is>
          <t>8 (Hindi, 2002)</t>
        </is>
      </c>
      <c r="AP46" s="19" t="inlineStr">
        <is>
          <t>Generally positive reviews for performances, direction, music and a realistic portrayal of marriage; David Rooney (Variety) called it 'a slick, emotionally satisfying romantic drama'.</t>
        </is>
      </c>
      <c r="AQ46" s="19" t="inlineStr">
        <is>
          <t>Six Filmfare Awards, three IIFA Awards and three Screen Awards. Regarded as an influential romantic drama of the early 2000s for its realistic portrayal of post-marital conflict.</t>
        </is>
      </c>
      <c r="AR46" s="5" t="inlineStr">
        <is>
          <t>SOURCE-001; SOURCE-048</t>
        </is>
      </c>
      <c r="AS46" s="5" t="inlineStr">
        <is>
          <t>Medium</t>
        </is>
      </c>
      <c r="AT46" s="5" t="inlineStr">
        <is>
          <t>Yeshwant's protective lie for his wife is a brief marital detail, so no Romances row. Overseas approximately US$925,000 (₹45.2 million).</t>
        </is>
      </c>
    </row>
    <row r="47" ht="109" customHeight="1">
      <c r="A47" s="15" t="inlineStr">
        <is>
          <t>FILM-046</t>
        </is>
      </c>
      <c r="B47" s="5" t="inlineStr">
        <is>
          <t>Chalte Chalte</t>
        </is>
      </c>
      <c r="C47" s="16" t="n">
        <v>37785</v>
      </c>
      <c r="D47" s="17" t="n">
        <v>2003</v>
      </c>
      <c r="E47" s="5" t="inlineStr">
        <is>
          <t>2000s</t>
        </is>
      </c>
      <c r="F47" s="5" t="inlineStr">
        <is>
          <t>Hindi</t>
        </is>
      </c>
      <c r="G47" s="5" t="inlineStr">
        <is>
          <t>Romantic comedy-drama</t>
        </is>
      </c>
      <c r="H47" s="5" t="n"/>
      <c r="I47" s="17" t="n">
        <v>168</v>
      </c>
      <c r="J47" s="5" t="inlineStr">
        <is>
          <t>Aziz Mirza</t>
        </is>
      </c>
      <c r="K47" s="5" t="inlineStr">
        <is>
          <t>Juhi Chawla; Shah Rukh Khan; Aziz Mirza</t>
        </is>
      </c>
      <c r="L47" s="5" t="inlineStr">
        <is>
          <t>Dreamz Unlimited</t>
        </is>
      </c>
      <c r="M47" s="5" t="inlineStr">
        <is>
          <t>Aziz Mirza; Robin Bhatt</t>
        </is>
      </c>
      <c r="N47" s="5" t="n"/>
      <c r="O47" s="5" t="inlineStr">
        <is>
          <t>Jatin–Lalit; Aadesh Shrivastava</t>
        </is>
      </c>
      <c r="P47" s="5" t="inlineStr">
        <is>
          <t>Aadesh Shrivastava</t>
        </is>
      </c>
      <c r="Q47" s="5" t="inlineStr">
        <is>
          <t>Javed Akhtar; Babu Singh Maan</t>
        </is>
      </c>
      <c r="R47" s="5" t="inlineStr">
        <is>
          <t>Raj Mathur</t>
        </is>
      </c>
      <c r="S47" s="5" t="n"/>
      <c r="T47" s="5" t="inlineStr">
        <is>
          <t>Lead</t>
        </is>
      </c>
      <c r="U47" s="18" t="n">
        <v>1</v>
      </c>
      <c r="V47" s="5" t="inlineStr">
        <is>
          <t>Owner of Raj Transport, a small trucking company</t>
        </is>
      </c>
      <c r="W47" s="5" t="inlineStr">
        <is>
          <t>Engineering graduate and self-made small businessman</t>
        </is>
      </c>
      <c r="X47" s="19" t="inlineStr">
        <is>
          <t>Raj, the carefree, disorganised owner of a small trucking firm, meets the meticulous fashion designer Priya when she crashes into his truck. He falls for her, follows her to Greece despite her engagement and marries her. A year later, struggling financially and under pressure from her family, he accuses Priya of infidelity when she secretly borrows from her former fiancé; she leaves for Greece, but his vow never to give up brings her back.</t>
        </is>
      </c>
      <c r="Y47" s="19" t="inlineStr">
        <is>
          <t>Winning and keeping Priya</t>
        </is>
      </c>
      <c r="Z47" s="19" t="inlineStr">
        <is>
          <t>Class and financial pressure within the marriage</t>
        </is>
      </c>
      <c r="AA47" s="19" t="inlineStr">
        <is>
          <t>Carefree suitor becomes an insecure husband who learns to fight for his marriage</t>
        </is>
      </c>
      <c r="AB47" s="19" t="inlineStr">
        <is>
          <t>Flawed but good-hearted</t>
        </is>
      </c>
      <c r="AC47" s="5" t="inlineStr">
        <is>
          <t>Reconciled with Priya</t>
        </is>
      </c>
      <c r="AD47" s="5" t="inlineStr">
        <is>
          <t>Rani Mukerji</t>
        </is>
      </c>
      <c r="AE47" s="5" t="inlineStr">
        <is>
          <t>Central</t>
        </is>
      </c>
      <c r="AF47" s="18" t="n">
        <v>10</v>
      </c>
      <c r="AG47" s="19" t="inlineStr">
        <is>
          <t>Marriage under strain</t>
        </is>
      </c>
      <c r="AH47" s="21" t="n">
        <v>11</v>
      </c>
      <c r="AI47" s="21" t="n">
        <v>19.44</v>
      </c>
      <c r="AJ47" s="21" t="n">
        <v>30.15</v>
      </c>
      <c r="AK47" s="21" t="n">
        <v>13.13</v>
      </c>
      <c r="AL47" s="21" t="n">
        <v>43.28</v>
      </c>
      <c r="AM47" s="5" t="inlineStr">
        <is>
          <t>INR crore</t>
        </is>
      </c>
      <c r="AN47" s="5" t="inlineStr">
        <is>
          <t>Hit</t>
        </is>
      </c>
      <c r="AO47" s="20" t="inlineStr">
        <is>
          <t>6 (India, 2003)</t>
        </is>
      </c>
      <c r="AP47" s="19" t="inlineStr">
        <is>
          <t>Positive reviews praising the theme, screenplay, soundtrack and lead performances; Taran Adarsh called Khan 'an actor par excellence', while some critics noted similarities to Saathiya.</t>
        </is>
      </c>
      <c r="AQ47" s="19" t="inlineStr">
        <is>
          <t>Last production of Dreamz Unlimited before it became Red Chillies Entertainment. Screened at the Casablanca Film Festival; five Filmfare nominations, including Best Actress (Mukerji).</t>
        </is>
      </c>
      <c r="AR47" s="5" t="inlineStr">
        <is>
          <t>SOURCE-001; SOURCE-049</t>
        </is>
      </c>
      <c r="AS47" s="5" t="inlineStr">
        <is>
          <t>Medium</t>
        </is>
      </c>
      <c r="AT47" s="5" t="inlineStr">
        <is>
          <t>Box Office India figures via Wikipedia; overseas US$2.81 million (₹13.13 crore). Khan is also a producer.</t>
        </is>
      </c>
    </row>
    <row r="48" ht="94" customHeight="1">
      <c r="A48" s="15" t="inlineStr">
        <is>
          <t>FILM-047</t>
        </is>
      </c>
      <c r="B48" s="5" t="inlineStr">
        <is>
          <t>Kal Ho Naa Ho</t>
        </is>
      </c>
      <c r="C48" s="16" t="n">
        <v>37953</v>
      </c>
      <c r="D48" s="17" t="n">
        <v>2003</v>
      </c>
      <c r="E48" s="5" t="inlineStr">
        <is>
          <t>2000s</t>
        </is>
      </c>
      <c r="F48" s="5" t="inlineStr">
        <is>
          <t>Hindi</t>
        </is>
      </c>
      <c r="G48" s="5" t="inlineStr">
        <is>
          <t>Romantic comedy-drama</t>
        </is>
      </c>
      <c r="H48" s="5" t="inlineStr">
        <is>
          <t>Melodrama</t>
        </is>
      </c>
      <c r="I48" s="17" t="n">
        <v>187</v>
      </c>
      <c r="J48" s="5" t="inlineStr">
        <is>
          <t>Nikkhil Advani</t>
        </is>
      </c>
      <c r="K48" s="5" t="inlineStr">
        <is>
          <t>Yash Johar</t>
        </is>
      </c>
      <c r="L48" s="5" t="inlineStr">
        <is>
          <t>Dharma Productions</t>
        </is>
      </c>
      <c r="M48" s="5" t="inlineStr">
        <is>
          <t>Karan Johar; Niranjan Iyengar (dialogues)</t>
        </is>
      </c>
      <c r="N48" s="5" t="n"/>
      <c r="O48" s="5" t="inlineStr">
        <is>
          <t>Shankar–Ehsaan–Loy</t>
        </is>
      </c>
      <c r="P48" s="5" t="inlineStr">
        <is>
          <t>Shankar–Ehsaan–Loy</t>
        </is>
      </c>
      <c r="Q48" s="5" t="inlineStr">
        <is>
          <t>Javed Akhtar</t>
        </is>
      </c>
      <c r="R48" s="5" t="inlineStr">
        <is>
          <t>Aman Mathur</t>
        </is>
      </c>
      <c r="S48" s="5" t="n"/>
      <c r="T48" s="5" t="inlineStr">
        <is>
          <t>Lead</t>
        </is>
      </c>
      <c r="U48" s="18" t="n">
        <v>1</v>
      </c>
      <c r="V48" s="5" t="n"/>
      <c r="W48" s="5" t="inlineStr">
        <is>
          <t>Visitor to New York living with his mother and uncle</t>
        </is>
      </c>
      <c r="X48" s="19" t="inlineStr">
        <is>
          <t>Aman moves in next door to Naina's struggling family in New York and transforms their lives with his cheer, reviving their café and healing old wounds. Naina falls in love with him, but Aman, secretly dying of a heart condition, pretends to be married and steers her towards her best friend Rohit. He attends their wedding and, on his deathbed, makes Rohit promise that Naina will be his in the next life.</t>
        </is>
      </c>
      <c r="Y48" s="19" t="inlineStr">
        <is>
          <t>Making Naina and her family happy before he dies</t>
        </is>
      </c>
      <c r="Z48" s="19" t="inlineStr">
        <is>
          <t>His fatal heart condition</t>
        </is>
      </c>
      <c r="AA48" s="19" t="inlineStr">
        <is>
          <t>Life-affirming charmer gives up his own love and dies</t>
        </is>
      </c>
      <c r="AB48" s="19" t="inlineStr">
        <is>
          <t>Heroic</t>
        </is>
      </c>
      <c r="AC48" s="5" t="inlineStr">
        <is>
          <t>Dies after Naina marries Rohit</t>
        </is>
      </c>
      <c r="AD48" s="5" t="inlineStr">
        <is>
          <t>Preity Zinta</t>
        </is>
      </c>
      <c r="AE48" s="5" t="inlineStr">
        <is>
          <t>Central</t>
        </is>
      </c>
      <c r="AF48" s="18" t="n">
        <v>9</v>
      </c>
      <c r="AG48" s="19" t="inlineStr">
        <is>
          <t>Love triangle</t>
        </is>
      </c>
      <c r="AH48" s="5" t="inlineStr">
        <is>
          <t>₹28–32 crore</t>
        </is>
      </c>
      <c r="AI48" s="5" t="n"/>
      <c r="AJ48" s="5" t="n"/>
      <c r="AK48" s="5" t="n"/>
      <c r="AL48" s="21" t="n">
        <v>86.09</v>
      </c>
      <c r="AM48" s="5" t="inlineStr">
        <is>
          <t>INR crore</t>
        </is>
      </c>
      <c r="AN48" s="5" t="inlineStr">
        <is>
          <t>Huge commercial success</t>
        </is>
      </c>
      <c r="AO48" s="20" t="inlineStr">
        <is>
          <t>2 (India, 2003); 1 worldwide</t>
        </is>
      </c>
      <c r="AP48" s="19" t="inlineStr">
        <is>
          <t>Critical acclaim for its direction, story, music and performances. Anupama Chopra (India Today) called Advani 'a distinctive voice'; Komal Nahta called Aman one of Khan's best roles; Rama Sharma (The Tribune) found Khan 'overcharged' at times.</t>
        </is>
      </c>
      <c r="AQ48" s="19" t="inlineStr">
        <is>
          <t>National Film Awards for Best Music Direction (Shankar–Ehsaan–Loy) and Best Male Playback Singer (Sonu Nigam). Eight Filmfare Awards, including Best Actress (Zinta), Best Supporting Actor (Saif Ali Khan) and Best Supporting Actress (Jaya Bachchan); 13 IIFA Awards.</t>
        </is>
      </c>
      <c r="AR48" s="5" t="inlineStr">
        <is>
          <t>SOURCE-001; SOURCE-050</t>
        </is>
      </c>
      <c r="AS48" s="5" t="inlineStr">
        <is>
          <t>Medium</t>
        </is>
      </c>
      <c r="AT48" s="5" t="inlineStr">
        <is>
          <t>Worldwide gross ₹860.9 million from the lead. India earnings of ₹581.8 million are not labelled nett or gross. Filming paused for about six months because of Khan's illness.</t>
        </is>
      </c>
    </row>
    <row r="49" ht="94" customHeight="1">
      <c r="A49" s="15" t="inlineStr">
        <is>
          <t>FILM-048</t>
        </is>
      </c>
      <c r="B49" s="5" t="inlineStr">
        <is>
          <t>Yeh Lamhe Judaai Ke</t>
        </is>
      </c>
      <c r="C49" s="16" t="n">
        <v>38086</v>
      </c>
      <c r="D49" s="17" t="n">
        <v>2004</v>
      </c>
      <c r="E49" s="5" t="inlineStr">
        <is>
          <t>2000s</t>
        </is>
      </c>
      <c r="F49" s="5" t="inlineStr">
        <is>
          <t>Hindi</t>
        </is>
      </c>
      <c r="G49" s="5" t="inlineStr">
        <is>
          <t>Romantic mystery</t>
        </is>
      </c>
      <c r="H49" s="5" t="n"/>
      <c r="I49" s="17" t="n">
        <v>188</v>
      </c>
      <c r="J49" s="5" t="inlineStr">
        <is>
          <t>Birendra Nath Tiwari</t>
        </is>
      </c>
      <c r="K49" s="5" t="inlineStr">
        <is>
          <t>Ritesh G. Nayyar</t>
        </is>
      </c>
      <c r="L49" s="5" t="n"/>
      <c r="M49" s="5" t="inlineStr">
        <is>
          <t>Nagesh Bharadwaj (screenplay); Anirudh Tiwari (story)</t>
        </is>
      </c>
      <c r="N49" s="5" t="n"/>
      <c r="O49" s="5" t="inlineStr">
        <is>
          <t>Nikhil–Vinay</t>
        </is>
      </c>
      <c r="P49" s="5" t="n"/>
      <c r="Q49" s="5" t="n"/>
      <c r="R49" s="5" t="inlineStr">
        <is>
          <t>Dushyant Kumar</t>
        </is>
      </c>
      <c r="S49" s="5" t="n"/>
      <c r="T49" s="5" t="inlineStr">
        <is>
          <t>Lead</t>
        </is>
      </c>
      <c r="U49" s="18" t="n">
        <v>1</v>
      </c>
      <c r="V49" s="5" t="inlineStr">
        <is>
          <t>Musician and recording star</t>
        </is>
      </c>
      <c r="W49" s="5" t="inlineStr">
        <is>
          <t>Poor, musically gifted student helped by his friend's industrialist father</t>
        </is>
      </c>
      <c r="X49" s="19" t="inlineStr">
        <is>
          <t>Dushyant, a gifted but poor student, is helped by his school friend Jaya's industrialist father and grows into a successful musician and Jaya's lover. Manipulated by Nisha and Sujit, he breaks with Jaya, proposes to Nisha and humiliates Jaya, who is then murdered. After learning the truth he confronts Sujit; the killings of the conspirators are finally traced to Jaya's father.</t>
        </is>
      </c>
      <c r="Y49" s="19" t="n"/>
      <c r="Z49" s="19" t="inlineStr">
        <is>
          <t>Nisha and Sujit's scheming</t>
        </is>
      </c>
      <c r="AA49" s="19" t="inlineStr">
        <is>
          <t>Successful musician manipulated into betraying his love</t>
        </is>
      </c>
      <c r="AB49" s="19" t="inlineStr">
        <is>
          <t>Flawed</t>
        </is>
      </c>
      <c r="AC49" s="5" t="inlineStr">
        <is>
          <t>Left with his mentor's reassurance that his love for Jaya was true</t>
        </is>
      </c>
      <c r="AD49" s="5" t="inlineStr">
        <is>
          <t>Raveena Tandon</t>
        </is>
      </c>
      <c r="AE49" s="5" t="inlineStr">
        <is>
          <t>Central</t>
        </is>
      </c>
      <c r="AF49" s="20" t="n"/>
      <c r="AG49" s="19" t="inlineStr">
        <is>
          <t>Relationship manipulated by outsiders</t>
        </is>
      </c>
      <c r="AH49" s="5" t="n"/>
      <c r="AI49" s="5" t="n"/>
      <c r="AJ49" s="5" t="n"/>
      <c r="AK49" s="5" t="n"/>
      <c r="AL49" s="5" t="n"/>
      <c r="AM49" s="5" t="n"/>
      <c r="AN49" s="5" t="inlineStr">
        <is>
          <t>Box-office bomb</t>
        </is>
      </c>
      <c r="AO49" s="20" t="n"/>
      <c r="AP49" s="19" t="inlineStr">
        <is>
          <t>Panned by critics and audiences; Taran Adarsh (1/5) likened it to 'watching two films within one film'.</t>
        </is>
      </c>
      <c r="AQ49" s="19" t="inlineStr">
        <is>
          <t>Largely shot in 1994 and abandoned; completed in 2004 using body doubles.</t>
        </is>
      </c>
      <c r="AR49" s="5" t="inlineStr">
        <is>
          <t>SOURCE-001; SOURCE-051</t>
        </is>
      </c>
      <c r="AS49" s="5" t="inlineStr">
        <is>
          <t>Low</t>
        </is>
      </c>
      <c r="AT49" s="5" t="inlineStr">
        <is>
          <t>No Romances row and no centrality score: the Wikipedia plot summary is written in a mocking, unreliable tone and mixes 1994 footage with body-double scenes, so the pairing cannot be scored honestly. The filmography spells the character Dushant; the cast list gives Dushyant Kumar.</t>
        </is>
      </c>
    </row>
    <row r="50" ht="94" customHeight="1">
      <c r="A50" s="15" t="inlineStr">
        <is>
          <t>FILM-049</t>
        </is>
      </c>
      <c r="B50" s="5" t="inlineStr">
        <is>
          <t>Main Hoon Na</t>
        </is>
      </c>
      <c r="C50" s="16" t="n">
        <v>38107</v>
      </c>
      <c r="D50" s="17" t="n">
        <v>2004</v>
      </c>
      <c r="E50" s="5" t="inlineStr">
        <is>
          <t>2000s</t>
        </is>
      </c>
      <c r="F50" s="5" t="inlineStr">
        <is>
          <t>Hindi</t>
        </is>
      </c>
      <c r="G50" s="5" t="inlineStr">
        <is>
          <t>Masala</t>
        </is>
      </c>
      <c r="H50" s="5" t="inlineStr">
        <is>
          <t>Action comedy</t>
        </is>
      </c>
      <c r="I50" s="17" t="n">
        <v>182</v>
      </c>
      <c r="J50" s="5" t="inlineStr">
        <is>
          <t>Farah Khan</t>
        </is>
      </c>
      <c r="K50" s="5" t="inlineStr">
        <is>
          <t>Gauri Khan; Ratan Jain</t>
        </is>
      </c>
      <c r="L50" s="5" t="inlineStr">
        <is>
          <t>Red Chillies Entertainment; Venus Movies</t>
        </is>
      </c>
      <c r="M50" s="5" t="inlineStr">
        <is>
          <t>Farah Khan; Abbas Tyrewala; Rajesh Saathi</t>
        </is>
      </c>
      <c r="N50" s="5" t="n"/>
      <c r="O50" s="5" t="inlineStr">
        <is>
          <t>Anu Malik</t>
        </is>
      </c>
      <c r="P50" s="5" t="inlineStr">
        <is>
          <t>Ranjit Barot</t>
        </is>
      </c>
      <c r="Q50" s="5" t="n"/>
      <c r="R50" s="5" t="inlineStr">
        <is>
          <t>Major Ram Prasad Sharma</t>
        </is>
      </c>
      <c r="S50" s="5" t="n"/>
      <c r="T50" s="5" t="inlineStr">
        <is>
          <t>Lead</t>
        </is>
      </c>
      <c r="U50" s="18" t="n">
        <v>1</v>
      </c>
      <c r="V50" s="5" t="inlineStr">
        <is>
          <t>Indian Army officer</t>
        </is>
      </c>
      <c r="W50" s="5" t="inlineStr">
        <is>
          <t>Son of Brigadier Shekhar Sharma, estranged from his stepmother and half-brother</t>
        </is>
      </c>
      <c r="X50" s="19" t="inlineStr">
        <is>
          <t>After his father dies shielding a general from the rogue ex-commando Raghavan, Major Ram goes undercover as a student at a Darjeeling college to protect the general's daughter Sanjana and reconcile with his estranged stepmother and half-brother Lucky. He falls for his chemistry professor Chandni, wins over his family, and kills Raghavan when he takes the college hostage to sabotage an India–Pakistan prisoner exchange.</t>
        </is>
      </c>
      <c r="Y50" s="19" t="inlineStr">
        <is>
          <t>His mission and his father's dying wish</t>
        </is>
      </c>
      <c r="Z50" s="19" t="inlineStr">
        <is>
          <t>Raghavan's terror plot and his family's resentment</t>
        </is>
      </c>
      <c r="AA50" s="19" t="inlineStr">
        <is>
          <t>Duty-bound officer becomes a brother and son again</t>
        </is>
      </c>
      <c r="AB50" s="19" t="inlineStr">
        <is>
          <t>Heroic</t>
        </is>
      </c>
      <c r="AC50" s="5" t="inlineStr">
        <is>
          <t>Kills Raghavan and immerses his father's ashes with Lucky</t>
        </is>
      </c>
      <c r="AD50" s="5" t="inlineStr">
        <is>
          <t>Sushmita Sen; Amrita Rao</t>
        </is>
      </c>
      <c r="AE50" s="5" t="inlineStr">
        <is>
          <t>Secondary</t>
        </is>
      </c>
      <c r="AF50" s="18" t="n">
        <v>3</v>
      </c>
      <c r="AG50" s="19" t="inlineStr">
        <is>
          <t>Romance subordinate to another genre</t>
        </is>
      </c>
      <c r="AH50" s="5" t="n"/>
      <c r="AI50" s="5" t="n"/>
      <c r="AJ50" s="5" t="n"/>
      <c r="AK50" s="5" t="n"/>
      <c r="AL50" s="5" t="inlineStr">
        <is>
          <t>₹84–89.7 crore</t>
        </is>
      </c>
      <c r="AM50" s="5" t="inlineStr">
        <is>
          <t>INR crore</t>
        </is>
      </c>
      <c r="AN50" s="5" t="inlineStr">
        <is>
          <t>Commercial success</t>
        </is>
      </c>
      <c r="AO50" s="20" t="inlineStr">
        <is>
          <t>2 (India, 2004)</t>
        </is>
      </c>
      <c r="AP50" s="19" t="inlineStr">
        <is>
          <t>Positive reviews: Taran Adarsh called it 'a wholesome entertainer that has something for everyone'; Jamie Russell (BBC) described 'a bonkers masala movie' like the offspring of Grease and The Matrix.</t>
        </is>
      </c>
      <c r="AQ50" s="19" t="inlineStr">
        <is>
          <t>First production of Red Chillies Entertainment; noted for a neutral perspective on the India–Pakistan conflict. Twelve Filmfare nominations, including Best Actor for Khan, with a win for Best Music Director (Anu Malik).</t>
        </is>
      </c>
      <c r="AR50" s="5" t="inlineStr">
        <is>
          <t>SOURCE-001; SOURCE-052</t>
        </is>
      </c>
      <c r="AS50" s="5" t="inlineStr">
        <is>
          <t>Medium</t>
        </is>
      </c>
      <c r="AT50" s="5" t="inlineStr">
        <is>
          <t>The lead gives ₹84 crore worldwide and the infobox ₹89.7 crore; the box-office section gives ₹480 million in India and ₹19 million overseas without nett/gross labels.</t>
        </is>
      </c>
    </row>
    <row r="51" ht="94" customHeight="1">
      <c r="A51" s="15" t="inlineStr">
        <is>
          <t>FILM-050</t>
        </is>
      </c>
      <c r="B51" s="5" t="inlineStr">
        <is>
          <t>Veer-Zaara</t>
        </is>
      </c>
      <c r="C51" s="16" t="n">
        <v>38303</v>
      </c>
      <c r="D51" s="17" t="n">
        <v>2004</v>
      </c>
      <c r="E51" s="5" t="inlineStr">
        <is>
          <t>2000s</t>
        </is>
      </c>
      <c r="F51" s="5" t="inlineStr">
        <is>
          <t>Hindi</t>
        </is>
      </c>
      <c r="G51" s="5" t="inlineStr">
        <is>
          <t>Romantic drama</t>
        </is>
      </c>
      <c r="H51" s="5" t="inlineStr">
        <is>
          <t>Courtroom drama</t>
        </is>
      </c>
      <c r="I51" s="17" t="n">
        <v>192</v>
      </c>
      <c r="J51" s="5" t="inlineStr">
        <is>
          <t>Yash Chopra</t>
        </is>
      </c>
      <c r="K51" s="5" t="inlineStr">
        <is>
          <t>Yash Chopra; Aditya Chopra</t>
        </is>
      </c>
      <c r="L51" s="5" t="inlineStr">
        <is>
          <t>Yash Raj Films</t>
        </is>
      </c>
      <c r="M51" s="5" t="inlineStr">
        <is>
          <t>Aditya Chopra</t>
        </is>
      </c>
      <c r="N51" s="5" t="n"/>
      <c r="O51" s="5" t="inlineStr">
        <is>
          <t>Madan Mohan (original compositions); Sanjeev Kohli (revision)</t>
        </is>
      </c>
      <c r="P51" s="5" t="inlineStr">
        <is>
          <t>R. S. Mani</t>
        </is>
      </c>
      <c r="Q51" s="5" t="inlineStr">
        <is>
          <t>Javed Akhtar</t>
        </is>
      </c>
      <c r="R51" s="5" t="inlineStr">
        <is>
          <t>Veer Pratap Singh</t>
        </is>
      </c>
      <c r="S51" s="5" t="n"/>
      <c r="T51" s="5" t="inlineStr">
        <is>
          <t>Lead</t>
        </is>
      </c>
      <c r="U51" s="18" t="n">
        <v>1</v>
      </c>
      <c r="V51" s="5" t="inlineStr">
        <is>
          <t>Indian Air Force pilot</t>
        </is>
      </c>
      <c r="W51" s="5" t="inlineStr">
        <is>
          <t>Orphaned Punjabi Sikh raised by his childless aunt and uncle</t>
        </is>
      </c>
      <c r="X51" s="19" t="inlineStr">
        <is>
          <t>Veer, an Indian Air Force rescue pilot, helps the Pakistani Zaara scatter her nanny's ashes and falls in love with her, though she is engaged. Called by her friend, he quits the Air Force to bring her away, but agrees to leave for her family's sake and is jailed as a spy by her fiancé Raza. Presumed dead, he stays silent for 22 years until the lawyer Saamiya proves his identity and reunites him with Zaara.</t>
        </is>
      </c>
      <c r="Y51" s="19" t="inlineStr">
        <is>
          <t>Love for Zaara and protecting her honour</t>
        </is>
      </c>
      <c r="Z51" s="19" t="inlineStr">
        <is>
          <t>Raza's revenge and the India–Pakistan divide</t>
        </is>
      </c>
      <c r="AA51" s="19" t="inlineStr">
        <is>
          <t>Dashing officer sacrifices his freedom and is redeemed by love's constancy</t>
        </is>
      </c>
      <c r="AB51" s="19" t="inlineStr">
        <is>
          <t>Heroic</t>
        </is>
      </c>
      <c r="AC51" s="5" t="inlineStr">
        <is>
          <t>Freed and married to Zaara</t>
        </is>
      </c>
      <c r="AD51" s="5" t="inlineStr">
        <is>
          <t>Preity Zinta; Rani Mukerji</t>
        </is>
      </c>
      <c r="AE51" s="5" t="inlineStr">
        <is>
          <t>Central</t>
        </is>
      </c>
      <c r="AF51" s="18" t="n">
        <v>10</v>
      </c>
      <c r="AG51" s="19" t="inlineStr">
        <is>
          <t>Forbidden love</t>
        </is>
      </c>
      <c r="AH51" s="21" t="n">
        <v>23</v>
      </c>
      <c r="AI51" s="5" t="n"/>
      <c r="AJ51" s="5" t="n"/>
      <c r="AK51" s="5" t="n"/>
      <c r="AL51" s="5" t="inlineStr">
        <is>
          <t>₹97–107 crore</t>
        </is>
      </c>
      <c r="AM51" s="5" t="inlineStr">
        <is>
          <t>INR crore</t>
        </is>
      </c>
      <c r="AN51" s="5" t="inlineStr">
        <is>
          <t>Commercial success</t>
        </is>
      </c>
      <c r="AO51" s="20" t="inlineStr">
        <is>
          <t>1 (India, 2004)</t>
        </is>
      </c>
      <c r="AP51" s="19" t="inlineStr">
        <is>
          <t>Widespread acclaim for its story, dialogue, music, performances and 'sensitive portrayal of India-Pakistan relations' (92% on Rotten Tomatoes; Metacritic 67). Taran Adarsh gave it 4.5/5; Sukanya Verma and Teena Malik criticised its repetition of Chopra formulae.</t>
        </is>
      </c>
      <c r="AQ51" s="19" t="inlineStr">
        <is>
          <t>Its soundtrack, built on old Madan Mohan compositions, was the year's best-selling album in India.</t>
        </is>
      </c>
      <c r="AR51" s="5" t="inlineStr">
        <is>
          <t>SOURCE-001; SOURCE-053</t>
        </is>
      </c>
      <c r="AS51" s="5" t="inlineStr">
        <is>
          <t>Medium</t>
        </is>
      </c>
      <c r="AT51" s="5" t="inlineStr">
        <is>
          <t>First-run worldwide earnings of over ₹97 crore (lead) and ₹107 crore including re-releases (infobox). India collections of ₹580 million and overseas ₹357 million are not labelled nett or gross.</t>
        </is>
      </c>
    </row>
    <row r="52" ht="94" customHeight="1">
      <c r="A52" s="15" t="inlineStr">
        <is>
          <t>FILM-051</t>
        </is>
      </c>
      <c r="B52" s="5" t="inlineStr">
        <is>
          <t>Swades</t>
        </is>
      </c>
      <c r="C52" s="16" t="n">
        <v>38338</v>
      </c>
      <c r="D52" s="17" t="n">
        <v>2004</v>
      </c>
      <c r="E52" s="5" t="inlineStr">
        <is>
          <t>2000s</t>
        </is>
      </c>
      <c r="F52" s="5" t="inlineStr">
        <is>
          <t>Hindi</t>
        </is>
      </c>
      <c r="G52" s="5" t="inlineStr">
        <is>
          <t>Drama</t>
        </is>
      </c>
      <c r="H52" s="5" t="inlineStr">
        <is>
          <t>Social drama</t>
        </is>
      </c>
      <c r="I52" s="17" t="n">
        <v>195</v>
      </c>
      <c r="J52" s="5" t="inlineStr">
        <is>
          <t>Ashutosh Gowariker</t>
        </is>
      </c>
      <c r="K52" s="5" t="inlineStr">
        <is>
          <t>Ashutosh Gowariker</t>
        </is>
      </c>
      <c r="L52" s="5" t="inlineStr">
        <is>
          <t>UTV Motion Pictures; Ashutosh Gowariker Productions</t>
        </is>
      </c>
      <c r="M52" s="5" t="inlineStr">
        <is>
          <t>Ashutosh Gowariker; M. G. Sathya (story)</t>
        </is>
      </c>
      <c r="N52" s="5" t="inlineStr">
        <is>
          <t>Based on two episodes of the TV series Vaapsi (Yule Love Stories); the micro-hydro story is reportedly inspired by the Kannada film Chigurida Kanasu (2003)</t>
        </is>
      </c>
      <c r="O52" s="5" t="inlineStr">
        <is>
          <t>A. R. Rahman</t>
        </is>
      </c>
      <c r="P52" s="5" t="inlineStr">
        <is>
          <t>A. R. Rahman</t>
        </is>
      </c>
      <c r="Q52" s="5" t="inlineStr">
        <is>
          <t>Javed Akhtar</t>
        </is>
      </c>
      <c r="R52" s="5" t="inlineStr">
        <is>
          <t>Mohan Bhargav</t>
        </is>
      </c>
      <c r="S52" s="5" t="n"/>
      <c r="T52" s="5" t="inlineStr">
        <is>
          <t>Lead</t>
        </is>
      </c>
      <c r="U52" s="18" t="n">
        <v>1</v>
      </c>
      <c r="V52" s="5" t="inlineStr">
        <is>
          <t>NASA project manager</t>
        </is>
      </c>
      <c r="W52" s="5" t="inlineStr">
        <is>
          <t>Non-resident Indian whose parents died in India</t>
        </is>
      </c>
      <c r="X52" s="19" t="inlineStr">
        <is>
          <t>Mohan, an NRI project manager at NASA, travels to the village of Charanpur to bring back his childhood nanny Kaveri Amma. There he reconnects with his childhood friend Gita and joins her campaign for education against caste and religious prejudice. Shaken by a low-caste farmer's poverty, he builds the village a micro-hydroelectric plant. Back in America he feels alienated, resigns from NASA and returns to India for good.</t>
        </is>
      </c>
      <c r="Y52" s="19" t="inlineStr">
        <is>
          <t>Bringing Kaveri Amma home, then serving the village</t>
        </is>
      </c>
      <c r="Z52" s="19" t="inlineStr">
        <is>
          <t>His American career versus his duty to India</t>
        </is>
      </c>
      <c r="AA52" s="19" t="inlineStr">
        <is>
          <t>Detached expatriate becomes a committed citizen</t>
        </is>
      </c>
      <c r="AB52" s="19" t="inlineStr">
        <is>
          <t>Heroic</t>
        </is>
      </c>
      <c r="AC52" s="5" t="inlineStr">
        <is>
          <t>Returns permanently to India</t>
        </is>
      </c>
      <c r="AD52" s="5" t="inlineStr">
        <is>
          <t>Gayatri Joshi</t>
        </is>
      </c>
      <c r="AE52" s="5" t="inlineStr">
        <is>
          <t>Secondary</t>
        </is>
      </c>
      <c r="AF52" s="18" t="n">
        <v>4</v>
      </c>
      <c r="AG52" s="19" t="inlineStr">
        <is>
          <t>Friendship to love</t>
        </is>
      </c>
      <c r="AH52" s="21" t="n">
        <v>25</v>
      </c>
      <c r="AI52" s="21" t="n">
        <v>15.25</v>
      </c>
      <c r="AJ52" s="5" t="n"/>
      <c r="AK52" s="5" t="n"/>
      <c r="AL52" s="21" t="n">
        <v>34.64</v>
      </c>
      <c r="AM52" s="5" t="inlineStr">
        <is>
          <t>INR crore</t>
        </is>
      </c>
      <c r="AN52" s="5" t="inlineStr">
        <is>
          <t>Commercial failure</t>
        </is>
      </c>
      <c r="AO52" s="20" t="n"/>
      <c r="AP52" s="19" t="inlineStr">
        <is>
          <t>Universal critical acclaim; Khan's performance is considered one of his best, and Subhash K. Jha gave it 4.5/5.</t>
        </is>
      </c>
      <c r="AQ52" s="19" t="inlineStr">
        <is>
          <t>Filmfare awards for Best Actor (Khan) and Best Background Score (A. R. Rahman); National Film Awards for Best Male Playback Singer (Udit Narayan) and Best Cinematography (Mahesh Aney). Regarded as a cult classic ahead of its time; Mohan Bhargav reappears in Brahmāstra: Part One – Shiva.</t>
        </is>
      </c>
      <c r="AR52" s="5" t="inlineStr">
        <is>
          <t>SOURCE-001; SOURCE-054</t>
        </is>
      </c>
      <c r="AS52" s="5" t="inlineStr">
        <is>
          <t>Medium</t>
        </is>
      </c>
      <c r="AT52" s="5" t="n"/>
    </row>
    <row r="53" ht="64" customHeight="1">
      <c r="A53" s="15" t="inlineStr">
        <is>
          <t>FILM-052</t>
        </is>
      </c>
      <c r="B53" s="5" t="inlineStr">
        <is>
          <t>Kuchh Meetha Ho Jaye</t>
        </is>
      </c>
      <c r="C53" s="16" t="n">
        <v>38457</v>
      </c>
      <c r="D53" s="17" t="n">
        <v>2005</v>
      </c>
      <c r="E53" s="5" t="inlineStr">
        <is>
          <t>2000s</t>
        </is>
      </c>
      <c r="F53" s="5" t="inlineStr">
        <is>
          <t>Hindi</t>
        </is>
      </c>
      <c r="G53" s="5" t="inlineStr">
        <is>
          <t>Romantic comedy</t>
        </is>
      </c>
      <c r="H53" s="5" t="n"/>
      <c r="I53" s="17" t="n">
        <v>162</v>
      </c>
      <c r="J53" s="5" t="inlineStr">
        <is>
          <t>Samar Khan</t>
        </is>
      </c>
      <c r="K53" s="5" t="inlineStr">
        <is>
          <t>Ketan Maroo</t>
        </is>
      </c>
      <c r="L53" s="5" t="inlineStr">
        <is>
          <t>Shemaroo Entertainment</t>
        </is>
      </c>
      <c r="M53" s="5" t="inlineStr">
        <is>
          <t>Samar Khan; Rohit Malhotra</t>
        </is>
      </c>
      <c r="N53" s="5" t="inlineStr">
        <is>
          <t>Title taken from a Cadbury Dairy Milk advertising tagline</t>
        </is>
      </c>
      <c r="O53" s="5" t="inlineStr">
        <is>
          <t>Himesh Reshammiya</t>
        </is>
      </c>
      <c r="P53" s="5" t="n"/>
      <c r="Q53" s="5" t="n"/>
      <c r="R53" s="5" t="inlineStr">
        <is>
          <t>Himself</t>
        </is>
      </c>
      <c r="S53" s="5" t="n"/>
      <c r="T53" s="5" t="inlineStr">
        <is>
          <t>Self appearance</t>
        </is>
      </c>
      <c r="U53" s="20" t="n"/>
      <c r="V53" s="5" t="n"/>
      <c r="W53" s="5" t="n"/>
      <c r="X53" s="19" t="inlineStr">
        <is>
          <t>Shah Rukh Khan makes a cameo as himself in this romantic comedy of intersecting stories. The plot summary identifies a mysterious man as Farha's idol Shah Rukh Khan, who persuades her to return home with Rahul and ensures their parents approve of the match.</t>
        </is>
      </c>
      <c r="Y53" s="19" t="n"/>
      <c r="Z53" s="19" t="n"/>
      <c r="AA53" s="19" t="n"/>
      <c r="AB53" s="19" t="n"/>
      <c r="AC53" s="5" t="n"/>
      <c r="AD53" s="5" t="n"/>
      <c r="AE53" s="5" t="inlineStr">
        <is>
          <t>None</t>
        </is>
      </c>
      <c r="AF53" s="18" t="n">
        <v>0</v>
      </c>
      <c r="AG53" s="19" t="inlineStr">
        <is>
          <t>No meaningful romance</t>
        </is>
      </c>
      <c r="AH53" s="5" t="n"/>
      <c r="AI53" s="5" t="n"/>
      <c r="AJ53" s="5" t="n"/>
      <c r="AK53" s="5" t="n"/>
      <c r="AL53" s="5" t="n"/>
      <c r="AM53" s="5" t="n"/>
      <c r="AN53" s="5" t="n"/>
      <c r="AO53" s="20" t="n"/>
      <c r="AP53" s="19" t="n"/>
      <c r="AQ53" s="19" t="n"/>
      <c r="AR53" s="5" t="inlineStr">
        <is>
          <t>SOURCE-001; SOURCE-055</t>
        </is>
      </c>
      <c r="AS53" s="5" t="inlineStr">
        <is>
          <t>Low</t>
        </is>
      </c>
      <c r="AT53" s="5" t="inlineStr">
        <is>
          <t>The Wikipedia plot summary is garbled; the cameo description rests on a single sentence. No box-office or reception data.</t>
        </is>
      </c>
    </row>
    <row r="54" ht="79" customHeight="1">
      <c r="A54" s="15" t="inlineStr">
        <is>
          <t>FILM-053</t>
        </is>
      </c>
      <c r="B54" s="5" t="inlineStr">
        <is>
          <t>Kaal</t>
        </is>
      </c>
      <c r="C54" s="16" t="n">
        <v>38471</v>
      </c>
      <c r="D54" s="17" t="n">
        <v>2005</v>
      </c>
      <c r="E54" s="5" t="inlineStr">
        <is>
          <t>2000s</t>
        </is>
      </c>
      <c r="F54" s="5" t="inlineStr">
        <is>
          <t>Hindi</t>
        </is>
      </c>
      <c r="G54" s="5" t="inlineStr">
        <is>
          <t>Supernatural horror</t>
        </is>
      </c>
      <c r="H54" s="5" t="n"/>
      <c r="I54" s="17" t="n">
        <v>125</v>
      </c>
      <c r="J54" s="5" t="inlineStr">
        <is>
          <t>Soham Shah</t>
        </is>
      </c>
      <c r="K54" s="5" t="inlineStr">
        <is>
          <t>Karan Johar; Shah Rukh Khan</t>
        </is>
      </c>
      <c r="L54" s="5" t="inlineStr">
        <is>
          <t>Dharma Productions; Red Chillies Entertainment</t>
        </is>
      </c>
      <c r="M54" s="5" t="inlineStr">
        <is>
          <t>Soham Shah</t>
        </is>
      </c>
      <c r="N54" s="5" t="n"/>
      <c r="O54" s="5" t="inlineStr">
        <is>
          <t>Salim–Sulaiman; Anand Raj Anand</t>
        </is>
      </c>
      <c r="P54" s="5" t="n"/>
      <c r="Q54" s="5" t="inlineStr">
        <is>
          <t>Anand Raj Anand; Jeanne; Kailash Kher; Shabbir Ahmed</t>
        </is>
      </c>
      <c r="R54" s="5" t="inlineStr">
        <is>
          <t>Himself</t>
        </is>
      </c>
      <c r="S54" s="5" t="n"/>
      <c r="T54" s="5" t="inlineStr">
        <is>
          <t>Self appearance</t>
        </is>
      </c>
      <c r="U54" s="20" t="n"/>
      <c r="V54" s="5" t="n"/>
      <c r="W54" s="5" t="n"/>
      <c r="X54" s="19" t="inlineStr">
        <is>
          <t>Shah Rukh Khan, who co-produced the film with Karan Johar, appears as himself with Malaika Arora in the song 'Kaal Dhamaal'. The film follows a wildlife expert, his wife and a group of friends stalked by a mysterious entity in a fictional national park modelled on Jim Corbett. The sources place Khan only in the song.</t>
        </is>
      </c>
      <c r="Y54" s="19" t="n"/>
      <c r="Z54" s="19" t="n"/>
      <c r="AA54" s="19" t="n"/>
      <c r="AB54" s="19" t="n"/>
      <c r="AC54" s="5" t="n"/>
      <c r="AD54" s="5" t="n"/>
      <c r="AE54" s="5" t="inlineStr">
        <is>
          <t>None</t>
        </is>
      </c>
      <c r="AF54" s="18" t="n">
        <v>0</v>
      </c>
      <c r="AG54" s="19" t="inlineStr">
        <is>
          <t>No meaningful romance</t>
        </is>
      </c>
      <c r="AH54" s="5" t="n"/>
      <c r="AI54" s="5" t="n"/>
      <c r="AJ54" s="5" t="n"/>
      <c r="AK54" s="5" t="n"/>
      <c r="AL54" s="5" t="n"/>
      <c r="AM54" s="5" t="n"/>
      <c r="AN54" s="5" t="inlineStr">
        <is>
          <t>Average</t>
        </is>
      </c>
      <c r="AO54" s="20" t="n"/>
      <c r="AP54" s="19" t="inlineStr">
        <is>
          <t>Mixed reviews; Planet Bollywood (5/10) criticised Soham Shah's direction and screenplay.</t>
        </is>
      </c>
      <c r="AQ54" s="19" t="n"/>
      <c r="AR54" s="5" t="inlineStr">
        <is>
          <t>SOURCE-001; SOURCE-056</t>
        </is>
      </c>
      <c r="AS54" s="5" t="inlineStr">
        <is>
          <t>Medium</t>
        </is>
      </c>
      <c r="AT54" s="5" t="inlineStr">
        <is>
          <t>Infobox gross of ₹28.5 crore has no nett/gross label and is not entered. Khan is also a producer.</t>
        </is>
      </c>
    </row>
    <row r="55" ht="94" customHeight="1">
      <c r="A55" s="15" t="inlineStr">
        <is>
          <t>FILM-054</t>
        </is>
      </c>
      <c r="B55" s="5" t="inlineStr">
        <is>
          <t>Silsiilay</t>
        </is>
      </c>
      <c r="C55" s="16" t="n">
        <v>38520</v>
      </c>
      <c r="D55" s="17" t="n">
        <v>2005</v>
      </c>
      <c r="E55" s="5" t="inlineStr">
        <is>
          <t>2000s</t>
        </is>
      </c>
      <c r="F55" s="5" t="inlineStr">
        <is>
          <t>Hindi</t>
        </is>
      </c>
      <c r="G55" s="5" t="inlineStr">
        <is>
          <t>Romance anthology</t>
        </is>
      </c>
      <c r="H55" s="5" t="n"/>
      <c r="I55" s="17" t="n">
        <v>132</v>
      </c>
      <c r="J55" s="5" t="inlineStr">
        <is>
          <t>Khalid Mohamed</t>
        </is>
      </c>
      <c r="K55" s="5" t="inlineStr">
        <is>
          <t>Vashu Bhagnani</t>
        </is>
      </c>
      <c r="L55" s="5" t="inlineStr">
        <is>
          <t>Pooja Entertainment</t>
        </is>
      </c>
      <c r="M55" s="5" t="inlineStr">
        <is>
          <t>Khalid Mohamed (story, screenplay); Shiraz Siddique (dialogues)</t>
        </is>
      </c>
      <c r="N55" s="5" t="n"/>
      <c r="O55" s="5" t="inlineStr">
        <is>
          <t>Himesh Reshammiya</t>
        </is>
      </c>
      <c r="P55" s="5" t="inlineStr">
        <is>
          <t>Monty Sharma</t>
        </is>
      </c>
      <c r="Q55" s="5" t="n"/>
      <c r="R55" s="5" t="inlineStr">
        <is>
          <t>Sutradhar (narrator)</t>
        </is>
      </c>
      <c r="S55" s="5" t="n"/>
      <c r="T55" s="5" t="inlineStr">
        <is>
          <t>Narrator</t>
        </is>
      </c>
      <c r="U55" s="20" t="n"/>
      <c r="V55" s="5" t="n"/>
      <c r="W55" s="5" t="n"/>
      <c r="X55" s="19" t="inlineStr">
        <is>
          <t>Khan appears as the sutradhar, or narrator, of Khalid Mohamed's anthology of three women's stories: Ziya, a rising actress whose mentor-lover refuses commitment; Anushka, a receptionist torn between a wealthy suitor and a colleague who loves her silently; and Rehana, a housewife confronting her husband's affair. The stories converge in an act of female solidarity.</t>
        </is>
      </c>
      <c r="Y55" s="19" t="n"/>
      <c r="Z55" s="19" t="n"/>
      <c r="AA55" s="19" t="n"/>
      <c r="AB55" s="19" t="n"/>
      <c r="AC55" s="5" t="n"/>
      <c r="AD55" s="5" t="n"/>
      <c r="AE55" s="5" t="inlineStr">
        <is>
          <t>None</t>
        </is>
      </c>
      <c r="AF55" s="18" t="n">
        <v>0</v>
      </c>
      <c r="AG55" s="19" t="inlineStr">
        <is>
          <t>No meaningful romance</t>
        </is>
      </c>
      <c r="AH55" s="5" t="n"/>
      <c r="AI55" s="5" t="n"/>
      <c r="AJ55" s="5" t="n"/>
      <c r="AK55" s="5" t="n"/>
      <c r="AL55" s="5" t="n"/>
      <c r="AM55" s="5" t="n"/>
      <c r="AN55" s="5" t="n"/>
      <c r="AO55" s="20" t="n"/>
      <c r="AP55" s="19" t="inlineStr">
        <is>
          <t>Taran Adarsh (1.5/5) called it an experiment for a very small audience; Sukanya Verma (Rediff.com) found the first story clever and the second predictable.</t>
        </is>
      </c>
      <c r="AQ55" s="19" t="n"/>
      <c r="AR55" s="5" t="inlineStr">
        <is>
          <t>SOURCE-001; SOURCE-057</t>
        </is>
      </c>
      <c r="AS55" s="5" t="inlineStr">
        <is>
          <t>Medium</t>
        </is>
      </c>
      <c r="AT55" s="5" t="inlineStr">
        <is>
          <t>Credited as a special appearance in the filmography and as the Sutradhaar (Narrator) in the cast list. No box-office data.</t>
        </is>
      </c>
    </row>
    <row r="56" ht="94" customHeight="1">
      <c r="A56" s="15" t="inlineStr">
        <is>
          <t>FILM-055</t>
        </is>
      </c>
      <c r="B56" s="5" t="inlineStr">
        <is>
          <t>Paheli</t>
        </is>
      </c>
      <c r="C56" s="16" t="n">
        <v>38527</v>
      </c>
      <c r="D56" s="17" t="n">
        <v>2005</v>
      </c>
      <c r="E56" s="5" t="inlineStr">
        <is>
          <t>2000s</t>
        </is>
      </c>
      <c r="F56" s="5" t="inlineStr">
        <is>
          <t>Hindi</t>
        </is>
      </c>
      <c r="G56" s="5" t="inlineStr">
        <is>
          <t>Fantasy</t>
        </is>
      </c>
      <c r="H56" s="5" t="inlineStr">
        <is>
          <t>Romance</t>
        </is>
      </c>
      <c r="I56" s="17" t="n">
        <v>141</v>
      </c>
      <c r="J56" s="5" t="inlineStr">
        <is>
          <t>Amol Palekar</t>
        </is>
      </c>
      <c r="K56" s="5" t="inlineStr">
        <is>
          <t>Gauri Khan</t>
        </is>
      </c>
      <c r="L56" s="5" t="inlineStr">
        <is>
          <t>Red Chillies Entertainment</t>
        </is>
      </c>
      <c r="M56" s="5" t="inlineStr">
        <is>
          <t>Sandhya Gokhale (screenplay); Vijayadan Detha (story)</t>
        </is>
      </c>
      <c r="N56" s="5" t="inlineStr">
        <is>
          <t>Based on Vijayadan Detha's Rajasthani short story 'Duvidha'</t>
        </is>
      </c>
      <c r="O56" s="5" t="inlineStr">
        <is>
          <t>M. M. Kreem</t>
        </is>
      </c>
      <c r="P56" s="5" t="inlineStr">
        <is>
          <t>Aadesh Shrivastava</t>
        </is>
      </c>
      <c r="Q56" s="5" t="inlineStr">
        <is>
          <t>Gulzar</t>
        </is>
      </c>
      <c r="R56" s="5" t="inlineStr">
        <is>
          <t>Kishanlal</t>
        </is>
      </c>
      <c r="S56" s="5" t="inlineStr">
        <is>
          <t>Double role: the ghost who takes Kishanlal's form</t>
        </is>
      </c>
      <c r="T56" s="5" t="inlineStr">
        <is>
          <t>Lead</t>
        </is>
      </c>
      <c r="U56" s="18" t="n">
        <v>1</v>
      </c>
      <c r="V56" s="5" t="inlineStr">
        <is>
          <t>Merchant's son on a distant business venture</t>
        </is>
      </c>
      <c r="W56" s="5" t="inlineStr">
        <is>
          <t>Son of the wealthy Rajasthani merchant Bhanwarlal</t>
        </is>
      </c>
      <c r="X56" s="19" t="inlineStr">
        <is>
          <t>Kishanlal, the dutiful son of a wealthy merchant, leaves his bride Lachchi on their wedding night for a five-year business trip. A ghost who has fallen for Lachchi takes his form, tells her the truth and lives with her as her husband, winning over the family. When the real Kishanlal returns to find her pregnant, a shepherd's test traps the ghost in a bottle, but the ghost escapes and possesses Kishanlal's body.</t>
        </is>
      </c>
      <c r="Y56" s="19" t="inlineStr">
        <is>
          <t>Kishanlal: duty to his father's business; the ghost: love for Lachchi</t>
        </is>
      </c>
      <c r="Z56" s="19" t="inlineStr">
        <is>
          <t>Two claimants to one identity</t>
        </is>
      </c>
      <c r="AA56" s="19" t="inlineStr">
        <is>
          <t>Neglectful husband is displaced by a loving double</t>
        </is>
      </c>
      <c r="AB56" s="19" t="inlineStr">
        <is>
          <t>Ambiguous</t>
        </is>
      </c>
      <c r="AC56" s="5" t="inlineStr">
        <is>
          <t>The ghost possesses Kishanlal's body to stay with Lachchi</t>
        </is>
      </c>
      <c r="AD56" s="5" t="inlineStr">
        <is>
          <t>Rani Mukerji</t>
        </is>
      </c>
      <c r="AE56" s="5" t="inlineStr">
        <is>
          <t>Central</t>
        </is>
      </c>
      <c r="AF56" s="18" t="n">
        <v>9</v>
      </c>
      <c r="AG56" s="19" t="inlineStr">
        <is>
          <t>Love triangle</t>
        </is>
      </c>
      <c r="AH56" s="21" t="n">
        <v>14</v>
      </c>
      <c r="AI56" s="21" t="n">
        <v>18.75</v>
      </c>
      <c r="AJ56" s="5" t="n"/>
      <c r="AK56" s="5" t="n"/>
      <c r="AL56" s="5" t="n"/>
      <c r="AM56" s="5" t="inlineStr">
        <is>
          <t>INR crore</t>
        </is>
      </c>
      <c r="AN56" s="5" t="inlineStr">
        <is>
          <t>Average in India; hit overseas</t>
        </is>
      </c>
      <c r="AO56" s="20" t="n"/>
      <c r="AP56" s="19" t="inlineStr">
        <is>
          <t>Taran Adarsh (4/5) called it 'one of the finest films produced in recent times'.</t>
        </is>
      </c>
      <c r="AQ56" s="19" t="inlineStr">
        <is>
          <t>India's official submission for the 79th Academy Awards. National Film Award for Best Female Playback Singer (Shreya Ghoshal, 'Dheere Jalna'). Opened the 9th Zimbabwe International Film Festival and screened at Sundance and Palm Springs.</t>
        </is>
      </c>
      <c r="AR56" s="5" t="inlineStr">
        <is>
          <t>SOURCE-001; SOURCE-058</t>
        </is>
      </c>
      <c r="AS56" s="5" t="inlineStr">
        <is>
          <t>Medium</t>
        </is>
      </c>
      <c r="AT56" s="5" t="inlineStr">
        <is>
          <t>India nett ₹187.5 million; overseas US$3.63 million. Infobox gross of ₹320 million is unlabelled and not entered. The cast list names the ghost Mufasaka.</t>
        </is>
      </c>
    </row>
    <row r="57" ht="64" customHeight="1">
      <c r="A57" s="15" t="inlineStr">
        <is>
          <t>FILM-056</t>
        </is>
      </c>
      <c r="B57" s="5" t="inlineStr">
        <is>
          <t>Alag</t>
        </is>
      </c>
      <c r="C57" s="16" t="n">
        <v>38884</v>
      </c>
      <c r="D57" s="17" t="n">
        <v>2006</v>
      </c>
      <c r="E57" s="5" t="inlineStr">
        <is>
          <t>2000s</t>
        </is>
      </c>
      <c r="F57" s="5" t="inlineStr">
        <is>
          <t>Hindi</t>
        </is>
      </c>
      <c r="G57" s="5" t="inlineStr">
        <is>
          <t>Science fiction</t>
        </is>
      </c>
      <c r="H57" s="5" t="n"/>
      <c r="I57" s="17" t="n">
        <v>123</v>
      </c>
      <c r="J57" s="5" t="inlineStr">
        <is>
          <t>Ashu Trikha</t>
        </is>
      </c>
      <c r="K57" s="5" t="inlineStr">
        <is>
          <t>Subi Samuel</t>
        </is>
      </c>
      <c r="L57" s="5" t="inlineStr">
        <is>
          <t>Subi Samuel Movies</t>
        </is>
      </c>
      <c r="M57" s="5" t="inlineStr">
        <is>
          <t>Tagore Almeida; Sanjay Masoom; Ashu Trikha</t>
        </is>
      </c>
      <c r="N57" s="5" t="n"/>
      <c r="O57" s="5" t="inlineStr">
        <is>
          <t>Aadesh Shrivastava</t>
        </is>
      </c>
      <c r="P57" s="5" t="n"/>
      <c r="Q57" s="5" t="n"/>
      <c r="R57" s="5" t="inlineStr">
        <is>
          <t>Himself</t>
        </is>
      </c>
      <c r="S57" s="5" t="n"/>
      <c r="T57" s="5" t="inlineStr">
        <is>
          <t>Self appearance</t>
        </is>
      </c>
      <c r="U57" s="20" t="n"/>
      <c r="V57" s="5" t="n"/>
      <c r="W57" s="5" t="n"/>
      <c r="X57" s="19" t="inlineStr">
        <is>
          <t>Khan is one of several stars who appear as themselves in the song 'Sabse Judaa Sabse Alag' in this science-fiction film about Tejas, a hairless young man with telepathic and paranormal powers who has spent his life hidden in a basement. He has no role in the story.</t>
        </is>
      </c>
      <c r="Y57" s="19" t="n"/>
      <c r="Z57" s="19" t="n"/>
      <c r="AA57" s="19" t="n"/>
      <c r="AB57" s="19" t="n"/>
      <c r="AC57" s="5" t="n"/>
      <c r="AD57" s="5" t="n"/>
      <c r="AE57" s="5" t="inlineStr">
        <is>
          <t>None</t>
        </is>
      </c>
      <c r="AF57" s="18" t="n">
        <v>0</v>
      </c>
      <c r="AG57" s="19" t="inlineStr">
        <is>
          <t>No meaningful romance</t>
        </is>
      </c>
      <c r="AH57" s="21" t="n">
        <v>8</v>
      </c>
      <c r="AI57" s="5" t="n"/>
      <c r="AJ57" s="5" t="n"/>
      <c r="AK57" s="5" t="n"/>
      <c r="AL57" s="5" t="n"/>
      <c r="AM57" s="5" t="inlineStr">
        <is>
          <t>INR crore</t>
        </is>
      </c>
      <c r="AN57" s="5" t="n"/>
      <c r="AO57" s="20" t="n"/>
      <c r="AP57" s="19" t="inlineStr">
        <is>
          <t>Raja Sen (Rediff.com, 3/5) found it stimulating and groundbreaking in theme but disliked the song sequences.</t>
        </is>
      </c>
      <c r="AQ57" s="19" t="n"/>
      <c r="AR57" s="5" t="inlineStr">
        <is>
          <t>SOURCE-001; SOURCE-059</t>
        </is>
      </c>
      <c r="AS57" s="5" t="inlineStr">
        <is>
          <t>Medium</t>
        </is>
      </c>
      <c r="AT57" s="5" t="inlineStr">
        <is>
          <t>Wikipedia says it 'earned only ₹56 lakh', about one-sixteenth of its budget; the figure is not labelled nett or gross and is not entered.</t>
        </is>
      </c>
    </row>
    <row r="58" ht="94" customHeight="1">
      <c r="A58" s="15" t="inlineStr">
        <is>
          <t>FILM-057</t>
        </is>
      </c>
      <c r="B58" s="5" t="inlineStr">
        <is>
          <t>Kabhi Alvida Naa Kehna</t>
        </is>
      </c>
      <c r="C58" s="16" t="n">
        <v>38940</v>
      </c>
      <c r="D58" s="17" t="n">
        <v>2006</v>
      </c>
      <c r="E58" s="5" t="inlineStr">
        <is>
          <t>2000s</t>
        </is>
      </c>
      <c r="F58" s="5" t="inlineStr">
        <is>
          <t>Hindi</t>
        </is>
      </c>
      <c r="G58" s="5" t="inlineStr">
        <is>
          <t>Musical romantic drama</t>
        </is>
      </c>
      <c r="H58" s="5" t="inlineStr">
        <is>
          <t>Marital drama</t>
        </is>
      </c>
      <c r="I58" s="17" t="n">
        <v>192</v>
      </c>
      <c r="J58" s="5" t="inlineStr">
        <is>
          <t>Karan Johar</t>
        </is>
      </c>
      <c r="K58" s="5" t="inlineStr">
        <is>
          <t>Hiroo Yash Johar</t>
        </is>
      </c>
      <c r="L58" s="5" t="inlineStr">
        <is>
          <t>Dharma Productions</t>
        </is>
      </c>
      <c r="M58" s="5" t="inlineStr">
        <is>
          <t>Karan Johar; Shibani Bathija; Niranjan Iyengar</t>
        </is>
      </c>
      <c r="N58" s="5" t="n"/>
      <c r="O58" s="5" t="inlineStr">
        <is>
          <t>Shankar–Ehsaan–Loy</t>
        </is>
      </c>
      <c r="P58" s="5" t="n"/>
      <c r="Q58" s="5" t="n"/>
      <c r="R58" s="5" t="inlineStr">
        <is>
          <t>Dev Saran</t>
        </is>
      </c>
      <c r="S58" s="5" t="n"/>
      <c r="T58" s="5" t="inlineStr">
        <is>
          <t>Lead</t>
        </is>
      </c>
      <c r="U58" s="18" t="n">
        <v>2</v>
      </c>
      <c r="V58" s="5" t="inlineStr">
        <is>
          <t>Former professional footballer; junior football coach</t>
        </is>
      </c>
      <c r="W58" s="5" t="inlineStr">
        <is>
          <t>New York family man living with his wife, son and widowed mother</t>
        </is>
      </c>
      <c r="X58" s="19" t="inlineStr">
        <is>
          <t>Dev, a New York footballer, meets Maya by chance on her wedding day just before a car accident ends his career. Four years later he is bitter, jealous of his wife Rhea's success and distant from his son. He and the unhappily married Maya become friends, fall in love and begin an affair. Exposed, they confess, lose their marriages and part, until three years later Maya finds him at a train station.</t>
        </is>
      </c>
      <c r="Y58" s="19" t="inlineStr">
        <is>
          <t>Escape from a bitter, failing marriage into love with Maya</t>
        </is>
      </c>
      <c r="Z58" s="19" t="inlineStr">
        <is>
          <t>Guilt, family and his own resentment</t>
        </is>
      </c>
      <c r="AA58" s="19" t="inlineStr">
        <is>
          <t>Embittered husband finds love through adultery and lives with the guilt</t>
        </is>
      </c>
      <c r="AB58" s="19" t="inlineStr">
        <is>
          <t>Morally compromised</t>
        </is>
      </c>
      <c r="AC58" s="5" t="inlineStr">
        <is>
          <t>Divorced; reunited with Maya</t>
        </is>
      </c>
      <c r="AD58" s="5" t="inlineStr">
        <is>
          <t>Rani Mukerji; Preity Zinta</t>
        </is>
      </c>
      <c r="AE58" s="5" t="inlineStr">
        <is>
          <t>Central</t>
        </is>
      </c>
      <c r="AF58" s="18" t="n">
        <v>10</v>
      </c>
      <c r="AG58" s="19" t="inlineStr">
        <is>
          <t>Forbidden love</t>
        </is>
      </c>
      <c r="AH58" s="21" t="n">
        <v>50</v>
      </c>
      <c r="AI58" s="5" t="n"/>
      <c r="AJ58" s="5" t="n"/>
      <c r="AK58" s="5" t="n"/>
      <c r="AL58" s="21" t="n">
        <v>113</v>
      </c>
      <c r="AM58" s="5" t="inlineStr">
        <is>
          <t>INR crore</t>
        </is>
      </c>
      <c r="AN58" s="5" t="n"/>
      <c r="AO58" s="20" t="inlineStr">
        <is>
          <t>4 (Hindi, 2006)</t>
        </is>
      </c>
      <c r="AP58" s="19" t="inlineStr">
        <is>
          <t>Mixed-to-positive reviews praising the ensemble and the bold treatment of infidelity but criticising the length and melodrama; Taran Adarsh called it Johar's 'finest work to date'.</t>
        </is>
      </c>
      <c r="AQ58" s="19" t="inlineStr">
        <is>
          <t>Led the 52nd Filmfare Awards with 23 nominations, winning Best Supporting Actor for Abhishek Bachchan. The top-grossing Indian film of the decade overseas; retrospectively described as a cult classic ahead of its time.</t>
        </is>
      </c>
      <c r="AR58" s="5" t="inlineStr">
        <is>
          <t>SOURCE-001; SOURCE-060</t>
        </is>
      </c>
      <c r="AS58" s="5" t="inlineStr">
        <is>
          <t>Medium</t>
        </is>
      </c>
      <c r="AT58" s="5" t="inlineStr">
        <is>
          <t>Worldwide gross ₹113 crore; overseas US$10.56 million; first-week India gross approximately ₹27.85 crore. No verdict label found.</t>
        </is>
      </c>
    </row>
    <row r="59" ht="94" customHeight="1">
      <c r="A59" s="15" t="inlineStr">
        <is>
          <t>FILM-058</t>
        </is>
      </c>
      <c r="B59" s="5" t="inlineStr">
        <is>
          <t>Don: The Chase Begins Again</t>
        </is>
      </c>
      <c r="C59" s="16" t="n">
        <v>39010</v>
      </c>
      <c r="D59" s="17" t="n">
        <v>2006</v>
      </c>
      <c r="E59" s="5" t="inlineStr">
        <is>
          <t>2000s</t>
        </is>
      </c>
      <c r="F59" s="5" t="inlineStr">
        <is>
          <t>Hindi</t>
        </is>
      </c>
      <c r="G59" s="5" t="inlineStr">
        <is>
          <t>Action thriller</t>
        </is>
      </c>
      <c r="H59" s="5" t="inlineStr">
        <is>
          <t>Crime</t>
        </is>
      </c>
      <c r="I59" s="17" t="n">
        <v>169</v>
      </c>
      <c r="J59" s="5" t="inlineStr">
        <is>
          <t>Farhan Akhtar</t>
        </is>
      </c>
      <c r="K59" s="5" t="inlineStr">
        <is>
          <t>Ritesh Sidhwani; Farhan Akhtar</t>
        </is>
      </c>
      <c r="L59" s="5" t="inlineStr">
        <is>
          <t>Excel Entertainment</t>
        </is>
      </c>
      <c r="M59" s="5" t="inlineStr">
        <is>
          <t>Javed Akhtar; Salim Khan (original); Farhan Akhtar</t>
        </is>
      </c>
      <c r="N59" s="5" t="inlineStr">
        <is>
          <t>Remake of Don (1978)</t>
        </is>
      </c>
      <c r="O59" s="5" t="inlineStr">
        <is>
          <t>Shankar–Ehsaan–Loy</t>
        </is>
      </c>
      <c r="P59" s="5" t="n"/>
      <c r="Q59" s="5" t="n"/>
      <c r="R59" s="5" t="inlineStr">
        <is>
          <t>Mark "Don" Donald</t>
        </is>
      </c>
      <c r="S59" s="5" t="inlineStr">
        <is>
          <t>Double role: his lookalike Vijay Pal</t>
        </is>
      </c>
      <c r="T59" s="5" t="inlineStr">
        <is>
          <t>Lead</t>
        </is>
      </c>
      <c r="U59" s="18" t="n">
        <v>1</v>
      </c>
      <c r="V59" s="5" t="inlineStr">
        <is>
          <t>Drug-cartel manager</t>
        </is>
      </c>
      <c r="W59" s="5" t="inlineStr">
        <is>
          <t>Criminal operating from Kuala Lumpur</t>
        </is>
      </c>
      <c r="X59" s="19" t="inlineStr">
        <is>
          <t>Don, a ruthless drug-cartel manager in Kuala Lumpur, is wounded fleeing the police, and DCP D'Silva recruits his poor lookalike Vijay to take his place. D'Silva is secretly the kingpin Vardhaan, using Vijay to seize the cartel. In the twist ending, Don had recovered, killed Vijay in hospital and swapped places; posing as Vijay he defeats Vardhaan, accepts Roma's love and becomes the cartel's kingpin.</t>
        </is>
      </c>
      <c r="Y59" s="19" t="inlineStr">
        <is>
          <t>Power over the drug cartel</t>
        </is>
      </c>
      <c r="Z59" s="19" t="inlineStr">
        <is>
          <t>Police, rival lieutenants and Roma's revenge</t>
        </is>
      </c>
      <c r="AA59" s="19" t="inlineStr">
        <is>
          <t>Villain masquerades as his redeemed double and wins</t>
        </is>
      </c>
      <c r="AB59" s="19" t="inlineStr">
        <is>
          <t>Villain</t>
        </is>
      </c>
      <c r="AC59" s="5" t="inlineStr">
        <is>
          <t>Becomes kingpin of the Asian drug cartel</t>
        </is>
      </c>
      <c r="AD59" s="5" t="inlineStr">
        <is>
          <t>Priyanka Chopra; Kareena Kapoor</t>
        </is>
      </c>
      <c r="AE59" s="5" t="inlineStr">
        <is>
          <t>Minor</t>
        </is>
      </c>
      <c r="AF59" s="18" t="n">
        <v>3</v>
      </c>
      <c r="AG59" s="19" t="inlineStr">
        <is>
          <t>Romance subordinate to another genre</t>
        </is>
      </c>
      <c r="AH59" s="21" t="n">
        <v>38</v>
      </c>
      <c r="AI59" s="5" t="n"/>
      <c r="AJ59" s="21" t="n">
        <v>71</v>
      </c>
      <c r="AK59" s="5" t="n"/>
      <c r="AL59" s="21" t="n">
        <v>106</v>
      </c>
      <c r="AM59" s="5" t="inlineStr">
        <is>
          <t>INR crore</t>
        </is>
      </c>
      <c r="AN59" s="5" t="inlineStr">
        <is>
          <t>Hit in India; blockbuster overseas</t>
        </is>
      </c>
      <c r="AO59" s="20" t="inlineStr">
        <is>
          <t>5 (India, 2006)</t>
        </is>
      </c>
      <c r="AP59" s="19" t="inlineStr">
        <is>
          <t>Well received: Mayank Shekhar (Mumbai Mirror, 4/5) called it 'a most updated Indian film of the action genre'; Taran Adarsh (3/5) praised Khan; Sukanya Verma called it a disappointment and found Khan inconsistent in the dual roles.</t>
        </is>
      </c>
      <c r="AQ59" s="19" t="inlineStr">
        <is>
          <t>Filmfare nominations including Best Film and Best Actor for Khan; Asian Film Award nomination for Best Actor.</t>
        </is>
      </c>
      <c r="AR59" s="5" t="inlineStr">
        <is>
          <t>SOURCE-001; SOURCE-061</t>
        </is>
      </c>
      <c r="AS59" s="5" t="inlineStr">
        <is>
          <t>Medium</t>
        </is>
      </c>
      <c r="AT59" s="5" t="inlineStr">
        <is>
          <t>India gross over ₹710 million; overseas over US$7.8 million; worldwide over ₹1.06 billion (infobox ₹106.34 crore).</t>
        </is>
      </c>
    </row>
    <row r="60" ht="64" customHeight="1">
      <c r="A60" s="15" t="inlineStr">
        <is>
          <t>FILM-059</t>
        </is>
      </c>
      <c r="B60" s="5" t="inlineStr">
        <is>
          <t>I See You</t>
        </is>
      </c>
      <c r="C60" s="16" t="n">
        <v>39080</v>
      </c>
      <c r="D60" s="17" t="n">
        <v>2006</v>
      </c>
      <c r="E60" s="5" t="inlineStr">
        <is>
          <t>2000s</t>
        </is>
      </c>
      <c r="F60" s="5" t="inlineStr">
        <is>
          <t>Hindi</t>
        </is>
      </c>
      <c r="G60" s="5" t="inlineStr">
        <is>
          <t>Romantic comedy</t>
        </is>
      </c>
      <c r="H60" s="5" t="n"/>
      <c r="I60" s="20" t="n"/>
      <c r="J60" s="5" t="inlineStr">
        <is>
          <t>Vivek Agrawal</t>
        </is>
      </c>
      <c r="K60" s="5" t="inlineStr">
        <is>
          <t>Mehr Jesia; K Sera Sera; Satish Panchariya</t>
        </is>
      </c>
      <c r="L60" s="5" t="n"/>
      <c r="M60" s="5" t="inlineStr">
        <is>
          <t>Suresh Nair (screenplay); Vivek Agrawal (story)</t>
        </is>
      </c>
      <c r="N60" s="5" t="inlineStr">
        <is>
          <t>Based on Marc Levy's novel If Only It Were True</t>
        </is>
      </c>
      <c r="O60" s="5" t="inlineStr">
        <is>
          <t>Vishal–Shekhar</t>
        </is>
      </c>
      <c r="P60" s="5" t="n"/>
      <c r="Q60" s="5" t="n"/>
      <c r="R60" s="5" t="inlineStr">
        <is>
          <t>Himself</t>
        </is>
      </c>
      <c r="S60" s="5" t="n"/>
      <c r="T60" s="5" t="inlineStr">
        <is>
          <t>Self appearance</t>
        </is>
      </c>
      <c r="U60" s="20" t="n"/>
      <c r="V60" s="5" t="n"/>
      <c r="W60" s="5" t="n"/>
      <c r="X60" s="19" t="inlineStr">
        <is>
          <t>Khan appears as himself with Hrithik Roshan in the song 'Subah Subah' in this London-set romantic comedy about Raj, a womanising TV host who falls in love with the spirit of a woman only he can see. He has no role in the story.</t>
        </is>
      </c>
      <c r="Y60" s="19" t="n"/>
      <c r="Z60" s="19" t="n"/>
      <c r="AA60" s="19" t="n"/>
      <c r="AB60" s="19" t="n"/>
      <c r="AC60" s="5" t="n"/>
      <c r="AD60" s="5" t="n"/>
      <c r="AE60" s="5" t="inlineStr">
        <is>
          <t>None</t>
        </is>
      </c>
      <c r="AF60" s="18" t="n">
        <v>0</v>
      </c>
      <c r="AG60" s="19" t="inlineStr">
        <is>
          <t>No meaningful romance</t>
        </is>
      </c>
      <c r="AH60" s="21" t="n">
        <v>8</v>
      </c>
      <c r="AI60" s="5" t="n"/>
      <c r="AJ60" s="5" t="n"/>
      <c r="AK60" s="5" t="n"/>
      <c r="AL60" s="5" t="n"/>
      <c r="AM60" s="5" t="inlineStr">
        <is>
          <t>INR crore</t>
        </is>
      </c>
      <c r="AN60" s="5" t="n"/>
      <c r="AO60" s="20" t="n"/>
      <c r="AP60" s="19" t="inlineStr">
        <is>
          <t>Poor reviews: Priyanka Jain (Rediff.com, 2.5/5) found it watchable at best; Poonam Joshi (BBC) called it 'amateurish and tedious'.</t>
        </is>
      </c>
      <c r="AQ60" s="19" t="n"/>
      <c r="AR60" s="5" t="inlineStr">
        <is>
          <t>SOURCE-001; SOURCE-062</t>
        </is>
      </c>
      <c r="AS60" s="5" t="inlineStr">
        <is>
          <t>Medium</t>
        </is>
      </c>
      <c r="AT60" s="5" t="inlineStr">
        <is>
          <t>Budget ₹80 million from the infobox; gross of ₹19.2 million is unlabelled and not entered. No runtime in the infobox.</t>
        </is>
      </c>
    </row>
    <row r="61" ht="124" customHeight="1">
      <c r="A61" s="15" t="inlineStr">
        <is>
          <t>FILM-060</t>
        </is>
      </c>
      <c r="B61" s="5" t="inlineStr">
        <is>
          <t>Chak De! India</t>
        </is>
      </c>
      <c r="C61" s="16" t="n">
        <v>39304</v>
      </c>
      <c r="D61" s="17" t="n">
        <v>2007</v>
      </c>
      <c r="E61" s="5" t="inlineStr">
        <is>
          <t>2000s</t>
        </is>
      </c>
      <c r="F61" s="5" t="inlineStr">
        <is>
          <t>Hindi; English</t>
        </is>
      </c>
      <c r="G61" s="5" t="inlineStr">
        <is>
          <t>Sports drama</t>
        </is>
      </c>
      <c r="H61" s="5" t="inlineStr">
        <is>
          <t>Social drama</t>
        </is>
      </c>
      <c r="I61" s="17" t="n">
        <v>149</v>
      </c>
      <c r="J61" s="5" t="inlineStr">
        <is>
          <t>Shimit Amin</t>
        </is>
      </c>
      <c r="K61" s="5" t="inlineStr">
        <is>
          <t>Aditya Chopra</t>
        </is>
      </c>
      <c r="L61" s="5" t="inlineStr">
        <is>
          <t>Yash Raj Films</t>
        </is>
      </c>
      <c r="M61" s="5" t="inlineStr">
        <is>
          <t>Jaideep Sahni</t>
        </is>
      </c>
      <c r="N61" s="5" t="n"/>
      <c r="O61" s="5" t="inlineStr">
        <is>
          <t>Salim–Sulaiman</t>
        </is>
      </c>
      <c r="P61" s="5" t="n"/>
      <c r="Q61" s="5" t="n"/>
      <c r="R61" s="5" t="inlineStr">
        <is>
          <t>Kabir Khan</t>
        </is>
      </c>
      <c r="S61" s="5" t="n"/>
      <c r="T61" s="5" t="inlineStr">
        <is>
          <t>Lead</t>
        </is>
      </c>
      <c r="U61" s="18" t="n">
        <v>1</v>
      </c>
      <c r="V61" s="5" t="inlineStr">
        <is>
          <t>Coach of the India women's hockey team; former men's captain</t>
        </is>
      </c>
      <c r="W61" s="5" t="inlineStr">
        <is>
          <t>Muslim former national captain ostracised after a loss to Pakistan</t>
        </is>
      </c>
      <c r="X61" s="19" t="inlineStr">
        <is>
          <t>Kabir Khan, captain of India's men's hockey team, misses a penalty against Pakistan and is branded a traitor through religious prejudice. Seven years later he becomes coach of the neglected women's team, confronts regional rivalries and a revolt led by the veteran Bindiya, and forges 16 players into a unit. The team wins the World Cup in a shootout, and Kabir returns to his ancestral home vindicated.</t>
        </is>
      </c>
      <c r="Y61" s="19" t="inlineStr">
        <is>
          <t>Redeeming his name and building a winning team</t>
        </is>
      </c>
      <c r="Z61" s="19" t="inlineStr">
        <is>
          <t>Religious prejudice, a hostile federation and a divided team</t>
        </is>
      </c>
      <c r="AA61" s="19" t="inlineStr">
        <is>
          <t>Disgraced player becomes a vindicated coach</t>
        </is>
      </c>
      <c r="AB61" s="19" t="inlineStr">
        <is>
          <t>Heroic</t>
        </is>
      </c>
      <c r="AC61" s="5" t="inlineStr">
        <is>
          <t>Wins the World Cup and returns home with honour</t>
        </is>
      </c>
      <c r="AD61" s="5" t="n"/>
      <c r="AE61" s="5" t="inlineStr">
        <is>
          <t>None</t>
        </is>
      </c>
      <c r="AF61" s="18" t="n">
        <v>0</v>
      </c>
      <c r="AG61" s="19" t="inlineStr">
        <is>
          <t>No meaningful romance</t>
        </is>
      </c>
      <c r="AH61" s="21" t="n">
        <v>20</v>
      </c>
      <c r="AI61" s="21" t="n">
        <v>66.54000000000001</v>
      </c>
      <c r="AJ61" s="21" t="n">
        <v>85.86</v>
      </c>
      <c r="AK61" s="21" t="n">
        <v>15.76</v>
      </c>
      <c r="AL61" s="21" t="n">
        <v>102</v>
      </c>
      <c r="AM61" s="5" t="inlineStr">
        <is>
          <t>INR crore</t>
        </is>
      </c>
      <c r="AN61" s="5" t="inlineStr">
        <is>
          <t>Blockbuster</t>
        </is>
      </c>
      <c r="AO61" s="20" t="inlineStr">
        <is>
          <t>3 (India, 2007)</t>
        </is>
      </c>
      <c r="AP61" s="19" t="inlineStr">
        <is>
          <t>Positive reviews (89% on Rotten Tomatoes; Metacritic 68).</t>
        </is>
      </c>
      <c r="AQ61" s="19" t="inlineStr">
        <is>
          <t>National Film Award for Best Popular Film Providing Wholesome Entertainment; five Filmfare Awards including Best Actor (Khan) and Critics Best Film; nine IIFA Awards. The players, dubbed the 'Chak De! Girls', shared the Screen Award for Best Supporting Actress. Named one of India's best films of the 21st century by The Hollywood Reporter India (2025).</t>
        </is>
      </c>
      <c r="AR61" s="5" t="inlineStr">
        <is>
          <t>SOURCE-001; SOURCE-063</t>
        </is>
      </c>
      <c r="AS61" s="5" t="inlineStr">
        <is>
          <t>Medium</t>
        </is>
      </c>
      <c r="AT61" s="5" t="inlineStr">
        <is>
          <t>Worldwide ₹102 crore: India gross ₹85.86 crore (nett ₹66.54 crore) and overseas US$3.94 million (₹15.76 crore). Bindiya's attempt to seduce Kabir is rejected, so no Romances row.</t>
        </is>
      </c>
    </row>
    <row r="62" ht="79" customHeight="1">
      <c r="A62" s="15" t="inlineStr">
        <is>
          <t>FILM-061</t>
        </is>
      </c>
      <c r="B62" s="5" t="inlineStr">
        <is>
          <t>Heyy Babyy</t>
        </is>
      </c>
      <c r="C62" s="16" t="n">
        <v>39318</v>
      </c>
      <c r="D62" s="17" t="n">
        <v>2007</v>
      </c>
      <c r="E62" s="5" t="inlineStr">
        <is>
          <t>2000s</t>
        </is>
      </c>
      <c r="F62" s="5" t="inlineStr">
        <is>
          <t>Hindi</t>
        </is>
      </c>
      <c r="G62" s="5" t="inlineStr">
        <is>
          <t>Comedy</t>
        </is>
      </c>
      <c r="H62" s="5" t="n"/>
      <c r="I62" s="17" t="n">
        <v>144</v>
      </c>
      <c r="J62" s="5" t="inlineStr">
        <is>
          <t>Sajid Khan</t>
        </is>
      </c>
      <c r="K62" s="5" t="inlineStr">
        <is>
          <t>Sajid Nadiadwala</t>
        </is>
      </c>
      <c r="L62" s="5" t="inlineStr">
        <is>
          <t>Nadiadwala Grandson Entertainment</t>
        </is>
      </c>
      <c r="M62" s="5" t="inlineStr">
        <is>
          <t>Sajid Khan; Milap Zaveri; Renuka Kunzru</t>
        </is>
      </c>
      <c r="N62" s="5" t="inlineStr">
        <is>
          <t>Loosely based on Thoovalsparsham (1990), an adaptation of Three Men and a Baby (1987)</t>
        </is>
      </c>
      <c r="O62" s="5" t="inlineStr">
        <is>
          <t>Shankar–Ehsaan–Loy</t>
        </is>
      </c>
      <c r="P62" s="5" t="inlineStr">
        <is>
          <t>Salim–Sulaiman</t>
        </is>
      </c>
      <c r="Q62" s="5" t="n"/>
      <c r="R62" s="5" t="inlineStr">
        <is>
          <t>Raj Malhotra</t>
        </is>
      </c>
      <c r="S62" s="5" t="n"/>
      <c r="T62" s="5" t="inlineStr">
        <is>
          <t>Cameo</t>
        </is>
      </c>
      <c r="U62" s="20" t="n"/>
      <c r="V62" s="5" t="n"/>
      <c r="W62" s="5" t="n"/>
      <c r="X62" s="19" t="inlineStr">
        <is>
          <t>Khan makes a guest appearance as Raj Malhotra, his character from Dilwale Dulhania Le Jayenge, with Anupam Kher as Raj's father Dharamvir, in the song 'Mast Kalandar'. The film is a comedy about three womanising Sydney flatmates who find a baby on their doorstep. Khan has no role in the story.</t>
        </is>
      </c>
      <c r="Y62" s="19" t="n"/>
      <c r="Z62" s="19" t="n"/>
      <c r="AA62" s="19" t="n"/>
      <c r="AB62" s="19" t="n"/>
      <c r="AC62" s="5" t="n"/>
      <c r="AD62" s="5" t="n"/>
      <c r="AE62" s="5" t="inlineStr">
        <is>
          <t>None</t>
        </is>
      </c>
      <c r="AF62" s="18" t="n">
        <v>0</v>
      </c>
      <c r="AG62" s="19" t="inlineStr">
        <is>
          <t>No meaningful romance</t>
        </is>
      </c>
      <c r="AH62" s="5" t="n"/>
      <c r="AI62" s="5" t="n"/>
      <c r="AJ62" s="21" t="n">
        <v>50</v>
      </c>
      <c r="AK62" s="5" t="n"/>
      <c r="AL62" s="5" t="n"/>
      <c r="AM62" s="5" t="inlineStr">
        <is>
          <t>INR crore</t>
        </is>
      </c>
      <c r="AN62" s="5" t="inlineStr">
        <is>
          <t>Super hit</t>
        </is>
      </c>
      <c r="AO62" s="20" t="n"/>
      <c r="AP62" s="19" t="n"/>
      <c r="AQ62" s="19" t="n"/>
      <c r="AR62" s="5" t="inlineStr">
        <is>
          <t>SOURCE-001; SOURCE-064</t>
        </is>
      </c>
      <c r="AS62" s="5" t="inlineStr">
        <is>
          <t>Medium</t>
        </is>
      </c>
      <c r="AT62" s="5" t="inlineStr">
        <is>
          <t>India gross ₹500 million; US$1.4 million in the US and £763,000 in the UK. The fetched reception section covers only the soundtrack.</t>
        </is>
      </c>
    </row>
    <row r="63" ht="109" customHeight="1">
      <c r="A63" s="15" t="inlineStr">
        <is>
          <t>FILM-062</t>
        </is>
      </c>
      <c r="B63" s="5" t="inlineStr">
        <is>
          <t>Om Shanti Om</t>
        </is>
      </c>
      <c r="C63" s="16" t="n">
        <v>39395</v>
      </c>
      <c r="D63" s="17" t="n">
        <v>2007</v>
      </c>
      <c r="E63" s="5" t="inlineStr">
        <is>
          <t>2000s</t>
        </is>
      </c>
      <c r="F63" s="5" t="inlineStr">
        <is>
          <t>Hindi</t>
        </is>
      </c>
      <c r="G63" s="5" t="inlineStr">
        <is>
          <t>Masala</t>
        </is>
      </c>
      <c r="H63" s="5" t="inlineStr">
        <is>
          <t>Fantasy</t>
        </is>
      </c>
      <c r="I63" s="17" t="n">
        <v>171</v>
      </c>
      <c r="J63" s="5" t="inlineStr">
        <is>
          <t>Farah Khan</t>
        </is>
      </c>
      <c r="K63" s="5" t="inlineStr">
        <is>
          <t>Gauri Khan</t>
        </is>
      </c>
      <c r="L63" s="5" t="inlineStr">
        <is>
          <t>Red Chillies Entertainment</t>
        </is>
      </c>
      <c r="M63" s="5" t="inlineStr">
        <is>
          <t>Farah Khan; Mayur Puri; Mushtaq Shiekh</t>
        </is>
      </c>
      <c r="N63" s="5" t="n"/>
      <c r="O63" s="5" t="inlineStr">
        <is>
          <t>Vishal–Shekhar</t>
        </is>
      </c>
      <c r="P63" s="5" t="inlineStr">
        <is>
          <t>Sandeep Chowta</t>
        </is>
      </c>
      <c r="Q63" s="5" t="n"/>
      <c r="R63" s="5" t="inlineStr">
        <is>
          <t>Om Prakash "Omi" Makhija</t>
        </is>
      </c>
      <c r="S63" s="5" t="inlineStr">
        <is>
          <t>Reincarnated as the superstar Om Kapoor (O.K.)</t>
        </is>
      </c>
      <c r="T63" s="5" t="inlineStr">
        <is>
          <t>Lead</t>
        </is>
      </c>
      <c r="U63" s="18" t="n">
        <v>1</v>
      </c>
      <c r="V63" s="5" t="inlineStr">
        <is>
          <t>Junior artist (1977); film star (2007)</t>
        </is>
      </c>
      <c r="W63" s="5" t="inlineStr">
        <is>
          <t>Chawl-dwelling junior artist raised by his widowed mother; reborn as a film star's son</t>
        </is>
      </c>
      <c r="X63" s="19" t="inlineStr">
        <is>
          <t>In 1977 Omi, a junior artist who adores the star Shanti, befriends her after saving her from a fire, then fails to save her when her secret husband, the producer Mukesh, locks her in a burning set; Omi dies in an accident. Reborn as the superstar Om Kapoor, he recovers his memories 30 years later, revives the film Om Shanti Om, casts Shanti's lookalike Sandy to unnerve Mukesh, and with help from Shanti's ghost brings about Mukesh's death.</t>
        </is>
      </c>
      <c r="Y63" s="19" t="inlineStr">
        <is>
          <t>Love for Shanti, then avenging her murder</t>
        </is>
      </c>
      <c r="Z63" s="19" t="inlineStr">
        <is>
          <t>Mukesh Mehra's crime and his own fear of fire</t>
        </is>
      </c>
      <c r="AA63" s="19" t="inlineStr">
        <is>
          <t>Starstruck extra is reborn as a star and avenges his idol</t>
        </is>
      </c>
      <c r="AB63" s="19" t="inlineStr">
        <is>
          <t>Heroic</t>
        </is>
      </c>
      <c r="AC63" s="5" t="inlineStr">
        <is>
          <t>Mukesh dies; Shanti's ghost departs and Om reunites with Sandy</t>
        </is>
      </c>
      <c r="AD63" s="5" t="inlineStr">
        <is>
          <t>Deepika Padukone</t>
        </is>
      </c>
      <c r="AE63" s="5" t="inlineStr">
        <is>
          <t>Central</t>
        </is>
      </c>
      <c r="AF63" s="18" t="n">
        <v>8</v>
      </c>
      <c r="AG63" s="19" t="inlineStr">
        <is>
          <t>Unrequited love</t>
        </is>
      </c>
      <c r="AH63" s="21" t="n">
        <v>40</v>
      </c>
      <c r="AI63" s="21" t="n">
        <v>79.40000000000001</v>
      </c>
      <c r="AJ63" s="5" t="n"/>
      <c r="AK63" s="5" t="n"/>
      <c r="AL63" s="21" t="n">
        <v>150</v>
      </c>
      <c r="AM63" s="5" t="inlineStr">
        <is>
          <t>INR crore</t>
        </is>
      </c>
      <c r="AN63" s="5" t="n"/>
      <c r="AO63" s="20" t="n"/>
      <c r="AP63" s="19" t="inlineStr">
        <is>
          <t>Positive reviews (79% on Rotten Tomatoes): Taran Adarsh (4/5) called it 'Bollywood masala in its truest form'; Rajeev Masand (3/5) praised an unpretentious entertainer; IANS found Khan's superstar mannerisms repetitive.</t>
        </is>
      </c>
      <c r="AQ63" s="19" t="inlineStr">
        <is>
          <t>Deepika Padukone's Hindi film debut. Asian Film Award for Best Composer (Vishal–Shekhar).</t>
        </is>
      </c>
      <c r="AR63" s="5" t="inlineStr">
        <is>
          <t>SOURCE-001; SOURCE-065</t>
        </is>
      </c>
      <c r="AS63" s="5" t="inlineStr">
        <is>
          <t>Medium</t>
        </is>
      </c>
      <c r="AT63" s="5" t="inlineStr">
        <is>
          <t>India nett ₹794 million after entertainment tax; overseas US$10.15 million; worldwide ₹150 crore (infobox ₹152 crore). No verdict label found. No Romances row for Om Kapoor and Sandy: their bond is limited to the revenge plan and a closing reunion.</t>
        </is>
      </c>
    </row>
    <row r="64" ht="64" customHeight="1">
      <c r="A64" s="15" t="inlineStr">
        <is>
          <t>FILM-063</t>
        </is>
      </c>
      <c r="B64" s="5" t="inlineStr">
        <is>
          <t>Shaurya</t>
        </is>
      </c>
      <c r="C64" s="16" t="n">
        <v>39542</v>
      </c>
      <c r="D64" s="17" t="n">
        <v>2008</v>
      </c>
      <c r="E64" s="5" t="inlineStr">
        <is>
          <t>2000s</t>
        </is>
      </c>
      <c r="F64" s="5" t="inlineStr">
        <is>
          <t>Hindi</t>
        </is>
      </c>
      <c r="G64" s="5" t="inlineStr">
        <is>
          <t>Legal drama</t>
        </is>
      </c>
      <c r="H64" s="5" t="n"/>
      <c r="I64" s="17" t="n">
        <v>149</v>
      </c>
      <c r="J64" s="5" t="inlineStr">
        <is>
          <t>Samar Khan</t>
        </is>
      </c>
      <c r="K64" s="5" t="inlineStr">
        <is>
          <t>Moser Baer</t>
        </is>
      </c>
      <c r="L64" s="5" t="n"/>
      <c r="M64" s="5" t="inlineStr">
        <is>
          <t>Samar Khan; Jaydeep Sarkar; Aparna Malhotra</t>
        </is>
      </c>
      <c r="N64" s="5" t="inlineStr">
        <is>
          <t>Based on Swadesh Deepak's play Court Martial (1991) and A Few Good Men (1992)</t>
        </is>
      </c>
      <c r="O64" s="5" t="inlineStr">
        <is>
          <t>Adnan Sami</t>
        </is>
      </c>
      <c r="P64" s="5" t="inlineStr">
        <is>
          <t>Surinder Sodhi</t>
        </is>
      </c>
      <c r="Q64" s="5" t="n"/>
      <c r="R64" s="5" t="inlineStr">
        <is>
          <t>Narrator</t>
        </is>
      </c>
      <c r="S64" s="5" t="n"/>
      <c r="T64" s="5" t="inlineStr">
        <is>
          <t>Narrator</t>
        </is>
      </c>
      <c r="U64" s="20" t="n"/>
      <c r="V64" s="5" t="n"/>
      <c r="W64" s="5" t="n"/>
      <c r="X64" s="19" t="inlineStr">
        <is>
          <t>Khan provides the voice-over narration for this military courtroom drama about the court martial of Captain Javed Khan, who fatally shot his superior Major Rathore after an argument during a counter-insurgency operation. The filmography lists his contribution as voice-over only.</t>
        </is>
      </c>
      <c r="Y64" s="19" t="n"/>
      <c r="Z64" s="19" t="n"/>
      <c r="AA64" s="19" t="n"/>
      <c r="AB64" s="19" t="n"/>
      <c r="AC64" s="5" t="n"/>
      <c r="AD64" s="5" t="n"/>
      <c r="AE64" s="5" t="inlineStr">
        <is>
          <t>None</t>
        </is>
      </c>
      <c r="AF64" s="18" t="n">
        <v>0</v>
      </c>
      <c r="AG64" s="19" t="inlineStr">
        <is>
          <t>No meaningful romance</t>
        </is>
      </c>
      <c r="AH64" s="5" t="n"/>
      <c r="AI64" s="5" t="n"/>
      <c r="AJ64" s="5" t="n"/>
      <c r="AK64" s="5" t="n"/>
      <c r="AL64" s="5" t="n"/>
      <c r="AM64" s="5" t="n"/>
      <c r="AN64" s="5" t="n"/>
      <c r="AO64" s="20" t="n"/>
      <c r="AP64" s="19" t="inlineStr">
        <is>
          <t>Positive reviews, particularly for Kay Kay Menon's and Javed Jaffrey's performances.</t>
        </is>
      </c>
      <c r="AQ64" s="19" t="n"/>
      <c r="AR64" s="5" t="inlineStr">
        <is>
          <t>SOURCE-001; SOURCE-066</t>
        </is>
      </c>
      <c r="AS64" s="5" t="inlineStr">
        <is>
          <t>Medium</t>
        </is>
      </c>
      <c r="AT64" s="5" t="inlineStr">
        <is>
          <t>Listed as 'Voiceover' in the filmography and as narrator in the cast list. No box-office data.</t>
        </is>
      </c>
    </row>
    <row r="65" ht="64" customHeight="1">
      <c r="A65" s="15" t="inlineStr">
        <is>
          <t>FILM-064</t>
        </is>
      </c>
      <c r="B65" s="5" t="inlineStr">
        <is>
          <t>Krazzy 4</t>
        </is>
      </c>
      <c r="C65" s="16" t="n">
        <v>39549</v>
      </c>
      <c r="D65" s="17" t="n">
        <v>2008</v>
      </c>
      <c r="E65" s="5" t="inlineStr">
        <is>
          <t>2000s</t>
        </is>
      </c>
      <c r="F65" s="5" t="inlineStr">
        <is>
          <t>Hindi</t>
        </is>
      </c>
      <c r="G65" s="5" t="inlineStr">
        <is>
          <t>Comedy thriller</t>
        </is>
      </c>
      <c r="H65" s="5" t="n"/>
      <c r="I65" s="17" t="n">
        <v>112</v>
      </c>
      <c r="J65" s="5" t="inlineStr">
        <is>
          <t>Jaideep Sen</t>
        </is>
      </c>
      <c r="K65" s="5" t="inlineStr">
        <is>
          <t>Rakesh Roshan</t>
        </is>
      </c>
      <c r="L65" s="5" t="inlineStr">
        <is>
          <t>Filmkraft Productions</t>
        </is>
      </c>
      <c r="M65" s="5" t="inlineStr">
        <is>
          <t>Ashwni Dhir; Rakesh Roshan (story)</t>
        </is>
      </c>
      <c r="N65" s="5" t="inlineStr">
        <is>
          <t>Loose remake of The Dream Team (1989) and the Malayalam film Mookilla Rajyathu (1991)</t>
        </is>
      </c>
      <c r="O65" s="5" t="inlineStr">
        <is>
          <t>Rajesh Roshan</t>
        </is>
      </c>
      <c r="P65" s="5" t="inlineStr">
        <is>
          <t>Raju Singh</t>
        </is>
      </c>
      <c r="Q65" s="5" t="n"/>
      <c r="R65" s="5" t="inlineStr">
        <is>
          <t>Himself</t>
        </is>
      </c>
      <c r="S65" s="5" t="n"/>
      <c r="T65" s="5" t="inlineStr">
        <is>
          <t>Self appearance</t>
        </is>
      </c>
      <c r="U65" s="20" t="n"/>
      <c r="V65" s="5" t="n"/>
      <c r="W65" s="5" t="n"/>
      <c r="X65" s="19" t="inlineStr">
        <is>
          <t>Khan appears as himself in the song 'Break Free', one of two item numbers (the other features Hrithik Roshan), in this comedy thriller about four psychiatric patients who set out to rescue their kidnapped doctor after a trip to a cricket match goes wrong. He has no role in the story.</t>
        </is>
      </c>
      <c r="Y65" s="19" t="n"/>
      <c r="Z65" s="19" t="n"/>
      <c r="AA65" s="19" t="n"/>
      <c r="AB65" s="19" t="n"/>
      <c r="AC65" s="5" t="n"/>
      <c r="AD65" s="5" t="n"/>
      <c r="AE65" s="5" t="inlineStr">
        <is>
          <t>None</t>
        </is>
      </c>
      <c r="AF65" s="18" t="n">
        <v>0</v>
      </c>
      <c r="AG65" s="19" t="inlineStr">
        <is>
          <t>No meaningful romance</t>
        </is>
      </c>
      <c r="AH65" s="21" t="n">
        <v>18</v>
      </c>
      <c r="AI65" s="5" t="n"/>
      <c r="AJ65" s="5" t="n"/>
      <c r="AK65" s="5" t="n"/>
      <c r="AL65" s="5" t="n"/>
      <c r="AM65" s="5" t="inlineStr">
        <is>
          <t>INR crore</t>
        </is>
      </c>
      <c r="AN65" s="5" t="inlineStr">
        <is>
          <t>Moderate success</t>
        </is>
      </c>
      <c r="AO65" s="20" t="n"/>
      <c r="AP65" s="19" t="n"/>
      <c r="AQ65" s="19" t="n"/>
      <c r="AR65" s="5" t="inlineStr">
        <is>
          <t>SOURCE-001; SOURCE-067</t>
        </is>
      </c>
      <c r="AS65" s="5" t="inlineStr">
        <is>
          <t>Medium</t>
        </is>
      </c>
      <c r="AT65" s="5" t="inlineStr">
        <is>
          <t>Infobox gross of ₹32.27 crore has no nett/gross label and is not entered. No reception section found.</t>
        </is>
      </c>
    </row>
    <row r="66" ht="94" customHeight="1">
      <c r="A66" s="15" t="inlineStr">
        <is>
          <t>FILM-065</t>
        </is>
      </c>
      <c r="B66" s="5" t="inlineStr">
        <is>
          <t>Bhoothnath</t>
        </is>
      </c>
      <c r="C66" s="16" t="n">
        <v>39577</v>
      </c>
      <c r="D66" s="17" t="n">
        <v>2008</v>
      </c>
      <c r="E66" s="5" t="inlineStr">
        <is>
          <t>2000s</t>
        </is>
      </c>
      <c r="F66" s="5" t="inlineStr">
        <is>
          <t>Hindi</t>
        </is>
      </c>
      <c r="G66" s="5" t="inlineStr">
        <is>
          <t>Supernatural comedy</t>
        </is>
      </c>
      <c r="H66" s="5" t="n"/>
      <c r="I66" s="17" t="n">
        <v>136</v>
      </c>
      <c r="J66" s="5" t="inlineStr">
        <is>
          <t>Vivek Sharma</t>
        </is>
      </c>
      <c r="K66" s="5" t="inlineStr">
        <is>
          <t>Ravi Chopra</t>
        </is>
      </c>
      <c r="L66" s="5" t="inlineStr">
        <is>
          <t>B. R. Films</t>
        </is>
      </c>
      <c r="M66" s="5" t="inlineStr">
        <is>
          <t>Vivek Sharma; Sudhanshu Dube</t>
        </is>
      </c>
      <c r="N66" s="5" t="inlineStr">
        <is>
          <t>Adaptation of Oscar Wilde's short story 'The Canterville Ghost' (1887)</t>
        </is>
      </c>
      <c r="O66" s="5" t="inlineStr">
        <is>
          <t>Vishal–Shekhar</t>
        </is>
      </c>
      <c r="P66" s="5" t="inlineStr">
        <is>
          <t>Salim–Sulaiman</t>
        </is>
      </c>
      <c r="Q66" s="5" t="n"/>
      <c r="R66" s="5" t="inlineStr">
        <is>
          <t>Aditya "Adi" Sharma</t>
        </is>
      </c>
      <c r="S66" s="5" t="n"/>
      <c r="T66" s="5" t="inlineStr">
        <is>
          <t>Extended special appearance</t>
        </is>
      </c>
      <c r="U66" s="20" t="n"/>
      <c r="V66" s="5" t="inlineStr">
        <is>
          <t>Engineer on a cruise line</t>
        </is>
      </c>
      <c r="W66" s="5" t="n"/>
      <c r="X66" s="19" t="inlineStr">
        <is>
          <t>Aditya, an engineer on a cruise line, moves his wife Anjali and son Banku into a Goa villa for a year and leaves for work, unaware that it is haunted by the ghost Kailash Nath. Returning after hearing the ghost's story, he believes in him, confronts Kailash's neglectful son Vijay and, with Anjali, performs the ghost's final rites; Vijay apologises and lets the family stay in the house.</t>
        </is>
      </c>
      <c r="Y66" s="19" t="inlineStr">
        <is>
          <t>Providing for his family, then helping the ghost find peace</t>
        </is>
      </c>
      <c r="Z66" s="19" t="inlineStr">
        <is>
          <t>Vijay's plan to sell the house</t>
        </is>
      </c>
      <c r="AA66" s="19" t="inlineStr">
        <is>
          <t>Absent father comes to believe in the ghost and helps free him</t>
        </is>
      </c>
      <c r="AB66" s="19" t="inlineStr">
        <is>
          <t>Heroic</t>
        </is>
      </c>
      <c r="AC66" s="5" t="inlineStr">
        <is>
          <t>Keeps the house after Kailash attains peace</t>
        </is>
      </c>
      <c r="AD66" s="5" t="inlineStr">
        <is>
          <t>Juhi Chawla</t>
        </is>
      </c>
      <c r="AE66" s="5" t="inlineStr">
        <is>
          <t>Minor</t>
        </is>
      </c>
      <c r="AF66" s="18" t="n">
        <v>1</v>
      </c>
      <c r="AG66" s="19" t="inlineStr">
        <is>
          <t>Established relationship</t>
        </is>
      </c>
      <c r="AH66" s="21" t="n">
        <v>20</v>
      </c>
      <c r="AI66" s="5" t="n"/>
      <c r="AJ66" s="5" t="n"/>
      <c r="AK66" s="5" t="n"/>
      <c r="AL66" s="5" t="n"/>
      <c r="AM66" s="5" t="inlineStr">
        <is>
          <t>INR crore</t>
        </is>
      </c>
      <c r="AN66" s="5" t="inlineStr">
        <is>
          <t>Semi-hit</t>
        </is>
      </c>
      <c r="AO66" s="20" t="n"/>
      <c r="AP66" s="19" t="inlineStr">
        <is>
          <t>Positive reviews (60% on Rotten Tomatoes from five reviews); popular with children.</t>
        </is>
      </c>
      <c r="AQ66" s="19" t="inlineStr">
        <is>
          <t>Followed by the sequel Bhoothnath Returns (2014).</t>
        </is>
      </c>
      <c r="AR66" s="5" t="inlineStr">
        <is>
          <t>SOURCE-001; SOURCE-068</t>
        </is>
      </c>
      <c r="AS66" s="5" t="inlineStr">
        <is>
          <t>Medium</t>
        </is>
      </c>
      <c r="AT66" s="5" t="inlineStr">
        <is>
          <t>The box-office text says it grossed ₹68 million and was a semi-hit; the infobox gives ₹38.8 crore. The figures conflict and neither is entered. Aditya's marriage to Anjali is not developed, so no Romances row.</t>
        </is>
      </c>
    </row>
    <row r="67" ht="79" customHeight="1">
      <c r="A67" s="15" t="inlineStr">
        <is>
          <t>FILM-066</t>
        </is>
      </c>
      <c r="B67" s="5" t="inlineStr">
        <is>
          <t>Kismat Konnection</t>
        </is>
      </c>
      <c r="C67" s="16" t="n">
        <v>39647</v>
      </c>
      <c r="D67" s="17" t="n">
        <v>2008</v>
      </c>
      <c r="E67" s="5" t="inlineStr">
        <is>
          <t>2000s</t>
        </is>
      </c>
      <c r="F67" s="5" t="inlineStr">
        <is>
          <t>Hindi</t>
        </is>
      </c>
      <c r="G67" s="5" t="inlineStr">
        <is>
          <t>Romantic comedy</t>
        </is>
      </c>
      <c r="H67" s="5" t="n"/>
      <c r="I67" s="20" t="n"/>
      <c r="J67" s="5" t="inlineStr">
        <is>
          <t>Aziz Mirza</t>
        </is>
      </c>
      <c r="K67" s="5" t="inlineStr">
        <is>
          <t>Ramesh S. Taurani; Kumar S. Taurani; Sam Abbas</t>
        </is>
      </c>
      <c r="L67" s="5" t="inlineStr">
        <is>
          <t>Tips Industries</t>
        </is>
      </c>
      <c r="M67" s="5" t="inlineStr">
        <is>
          <t>Sanjay Chhel; Vibha Singh; Sai Kabir (screenplay); Rahila Mirza (story)</t>
        </is>
      </c>
      <c r="N67" s="5" t="n"/>
      <c r="O67" s="5" t="inlineStr">
        <is>
          <t>Pritam; Sajid–Wajid</t>
        </is>
      </c>
      <c r="P67" s="5" t="n"/>
      <c r="Q67" s="5" t="n"/>
      <c r="R67" s="5" t="inlineStr">
        <is>
          <t>Narrator</t>
        </is>
      </c>
      <c r="S67" s="5" t="n"/>
      <c r="T67" s="5" t="inlineStr">
        <is>
          <t>Narrator</t>
        </is>
      </c>
      <c r="U67" s="20" t="n"/>
      <c r="V67" s="5" t="n"/>
      <c r="W67" s="5" t="n"/>
      <c r="X67" s="19" t="inlineStr">
        <is>
          <t>Khan narrates Aziz Mirza's romantic comedy about Raj, a gifted but luckless architect whom a fortune teller advises to find a lucky charm, and Priya, a campaigner trying to save a community centre, who turns out to be that charm. The sources consulted describe his contribution only as narration.</t>
        </is>
      </c>
      <c r="Y67" s="19" t="n"/>
      <c r="Z67" s="19" t="n"/>
      <c r="AA67" s="19" t="n"/>
      <c r="AB67" s="19" t="n"/>
      <c r="AC67" s="5" t="n"/>
      <c r="AD67" s="5" t="n"/>
      <c r="AE67" s="5" t="inlineStr">
        <is>
          <t>None</t>
        </is>
      </c>
      <c r="AF67" s="18" t="n">
        <v>0</v>
      </c>
      <c r="AG67" s="19" t="inlineStr">
        <is>
          <t>No meaningful romance</t>
        </is>
      </c>
      <c r="AH67" s="5" t="n"/>
      <c r="AI67" s="5" t="n"/>
      <c r="AJ67" s="5" t="n"/>
      <c r="AK67" s="5" t="n"/>
      <c r="AL67" s="5" t="n"/>
      <c r="AM67" s="5" t="n"/>
      <c r="AN67" s="5" t="n"/>
      <c r="AO67" s="20" t="n"/>
      <c r="AP67" s="19" t="n"/>
      <c r="AQ67" s="19" t="n"/>
      <c r="AR67" s="5" t="inlineStr">
        <is>
          <t>SOURCE-001; SOURCE-069</t>
        </is>
      </c>
      <c r="AS67" s="5" t="inlineStr">
        <is>
          <t>Medium</t>
        </is>
      </c>
      <c r="AT67" s="5" t="inlineStr">
        <is>
          <t>No box-office or reception data on the page. No runtime in the infobox. Guest composition by Sajid–Wajid.</t>
        </is>
      </c>
    </row>
    <row r="68" ht="109" customHeight="1">
      <c r="A68" s="15" t="inlineStr">
        <is>
          <t>FILM-067</t>
        </is>
      </c>
      <c r="B68" s="5" t="inlineStr">
        <is>
          <t>Rab Ne Bana Di Jodi</t>
        </is>
      </c>
      <c r="C68" s="16" t="n">
        <v>39794</v>
      </c>
      <c r="D68" s="17" t="n">
        <v>2008</v>
      </c>
      <c r="E68" s="5" t="inlineStr">
        <is>
          <t>2000s</t>
        </is>
      </c>
      <c r="F68" s="5" t="inlineStr">
        <is>
          <t>Hindi</t>
        </is>
      </c>
      <c r="G68" s="5" t="inlineStr">
        <is>
          <t>Romantic comedy</t>
        </is>
      </c>
      <c r="H68" s="5" t="inlineStr">
        <is>
          <t>Marital drama</t>
        </is>
      </c>
      <c r="I68" s="17" t="n">
        <v>164</v>
      </c>
      <c r="J68" s="5" t="inlineStr">
        <is>
          <t>Aditya Chopra</t>
        </is>
      </c>
      <c r="K68" s="5" t="inlineStr">
        <is>
          <t>Yash Chopra; Aditya Chopra</t>
        </is>
      </c>
      <c r="L68" s="5" t="inlineStr">
        <is>
          <t>Yash Raj Films</t>
        </is>
      </c>
      <c r="M68" s="5" t="inlineStr">
        <is>
          <t>Aditya Chopra</t>
        </is>
      </c>
      <c r="N68" s="5" t="n"/>
      <c r="O68" s="5" t="inlineStr">
        <is>
          <t>Salim–Sulaiman</t>
        </is>
      </c>
      <c r="P68" s="5" t="n"/>
      <c r="Q68" s="5" t="n"/>
      <c r="R68" s="5" t="inlineStr">
        <is>
          <t>Surinder "Suri" Sahni</t>
        </is>
      </c>
      <c r="S68" s="5" t="inlineStr">
        <is>
          <t>Alter ego: Raj</t>
        </is>
      </c>
      <c r="T68" s="5" t="inlineStr">
        <is>
          <t>Lead</t>
        </is>
      </c>
      <c r="U68" s="18" t="n">
        <v>1</v>
      </c>
      <c r="V68" s="5" t="inlineStr">
        <is>
          <t>Employee of Punjab Power</t>
        </is>
      </c>
      <c r="W68" s="5" t="inlineStr">
        <is>
          <t>Shy, middle-class office worker in Amritsar</t>
        </is>
      </c>
      <c r="X68" s="19" t="inlineStr">
        <is>
          <t>Suri, a shy Punjab Power employee, marries his late professor's daughter Taani at her dying father's request, though she tells him she cannot love him. When she joins a dance class, Suri adopts the flamboyant alter ego Raj with his friend Bobby's help and becomes her dance partner. Taani falls for Raj but chooses to stay with her husband, then discovers at the competition that Raj is Suri and accepts his love.</t>
        </is>
      </c>
      <c r="Y68" s="19" t="inlineStr">
        <is>
          <t>Winning his wife's love</t>
        </is>
      </c>
      <c r="Z68" s="19" t="inlineStr">
        <is>
          <t>Taani's inability to love him</t>
        </is>
      </c>
      <c r="AA68" s="19" t="inlineStr">
        <is>
          <t>Timid husband learns to express love and is loved as himself</t>
        </is>
      </c>
      <c r="AB68" s="19" t="inlineStr">
        <is>
          <t>Heroic</t>
        </is>
      </c>
      <c r="AC68" s="5" t="inlineStr">
        <is>
          <t>United with Taani</t>
        </is>
      </c>
      <c r="AD68" s="5" t="inlineStr">
        <is>
          <t>Anushka Sharma</t>
        </is>
      </c>
      <c r="AE68" s="5" t="inlineStr">
        <is>
          <t>Central</t>
        </is>
      </c>
      <c r="AF68" s="18" t="n">
        <v>10</v>
      </c>
      <c r="AG68" s="19" t="inlineStr">
        <is>
          <t>Genuine incompatibility gradually resolved</t>
        </is>
      </c>
      <c r="AH68" s="21" t="n">
        <v>31</v>
      </c>
      <c r="AI68" s="5" t="n"/>
      <c r="AJ68" s="5" t="n"/>
      <c r="AK68" s="5" t="n"/>
      <c r="AL68" s="21" t="n">
        <v>157.89</v>
      </c>
      <c r="AM68" s="5" t="inlineStr">
        <is>
          <t>INR crore</t>
        </is>
      </c>
      <c r="AN68" s="5" t="inlineStr">
        <is>
          <t>Blockbuster</t>
        </is>
      </c>
      <c r="AO68" s="20" t="inlineStr">
        <is>
          <t>2 (India, 2008); 1 overseas</t>
        </is>
      </c>
      <c r="AP68" s="19" t="inlineStr">
        <is>
          <t>Positive reviews: Robert Abele (Los Angeles Times) called it an 'agreeably amusing comedy/romance/musical'; Manish Gajjar (BBC, 4/5) praised Khan's range; Derek Elley (Variety) found 'a huge, hollow center'.</t>
        </is>
      </c>
      <c r="AQ68" s="19" t="inlineStr">
        <is>
          <t>Ten Filmfare nominations, including Best Actor, with wins for Best Male Playback Singer (Sukhwinder Singh, 'Haule Haule') and Best Scene of the Year. Its script was invited into the Margaret Herrick Library of the Academy of Motion Picture Arts and Sciences. Anushka Sharma's debut; noted as Khan's 50th film.</t>
        </is>
      </c>
      <c r="AR68" s="5" t="inlineStr">
        <is>
          <t>SOURCE-001; SOURCE-070</t>
        </is>
      </c>
      <c r="AS68" s="5" t="inlineStr">
        <is>
          <t>Medium</t>
        </is>
      </c>
      <c r="AT68" s="5" t="inlineStr">
        <is>
          <t>Worldwide gross ₹1,578.9 million; overseas US$8.43 million. Released with limited promotion after the 2008 Mumbai attacks.</t>
        </is>
      </c>
    </row>
    <row r="69" ht="79" customHeight="1">
      <c r="A69" s="15" t="inlineStr">
        <is>
          <t>FILM-068</t>
        </is>
      </c>
      <c r="B69" s="5" t="inlineStr">
        <is>
          <t>Luck by Chance</t>
        </is>
      </c>
      <c r="C69" s="16" t="n">
        <v>39843</v>
      </c>
      <c r="D69" s="17" t="n">
        <v>2009</v>
      </c>
      <c r="E69" s="5" t="inlineStr">
        <is>
          <t>2000s</t>
        </is>
      </c>
      <c r="F69" s="5" t="inlineStr">
        <is>
          <t>Hindi</t>
        </is>
      </c>
      <c r="G69" s="5" t="inlineStr">
        <is>
          <t>Drama</t>
        </is>
      </c>
      <c r="H69" s="5" t="n"/>
      <c r="I69" s="17" t="n">
        <v>156</v>
      </c>
      <c r="J69" s="5" t="inlineStr">
        <is>
          <t>Zoya Akhtar</t>
        </is>
      </c>
      <c r="K69" s="5" t="inlineStr">
        <is>
          <t>Farhan Akhtar; Ritesh Sidhwani</t>
        </is>
      </c>
      <c r="L69" s="5" t="inlineStr">
        <is>
          <t>Excel Entertainment</t>
        </is>
      </c>
      <c r="M69" s="5" t="inlineStr">
        <is>
          <t>Zoya Akhtar; Javed Akhtar</t>
        </is>
      </c>
      <c r="N69" s="5" t="n"/>
      <c r="O69" s="5" t="inlineStr">
        <is>
          <t>Shankar–Ehsaan–Loy</t>
        </is>
      </c>
      <c r="P69" s="5" t="n"/>
      <c r="Q69" s="5" t="n"/>
      <c r="R69" s="5" t="inlineStr">
        <is>
          <t>Himself</t>
        </is>
      </c>
      <c r="S69" s="5" t="n"/>
      <c r="T69" s="5" t="inlineStr">
        <is>
          <t>Self appearance</t>
        </is>
      </c>
      <c r="U69" s="20" t="n"/>
      <c r="V69" s="5" t="n"/>
      <c r="W69" s="5" t="n"/>
      <c r="X69" s="19" t="inlineStr">
        <is>
          <t>Khan appears as himself in Zoya Akhtar's satire of the Hindi film industry. At an event he runs into the rising actor Vikram and warns him about fame, advising him to stay close to the friends who knew him before he was famous. He is one of many stars and industry figures appearing as themselves.</t>
        </is>
      </c>
      <c r="Y69" s="19" t="n"/>
      <c r="Z69" s="19" t="n"/>
      <c r="AA69" s="19" t="n"/>
      <c r="AB69" s="19" t="n"/>
      <c r="AC69" s="5" t="n"/>
      <c r="AD69" s="5" t="n"/>
      <c r="AE69" s="5" t="inlineStr">
        <is>
          <t>None</t>
        </is>
      </c>
      <c r="AF69" s="18" t="n">
        <v>0</v>
      </c>
      <c r="AG69" s="19" t="inlineStr">
        <is>
          <t>No meaningful romance</t>
        </is>
      </c>
      <c r="AH69" s="21" t="n">
        <v>15</v>
      </c>
      <c r="AI69" s="5" t="n"/>
      <c r="AJ69" s="5" t="n"/>
      <c r="AK69" s="5" t="n"/>
      <c r="AL69" s="5" t="n"/>
      <c r="AM69" s="5" t="inlineStr">
        <is>
          <t>INR crore</t>
        </is>
      </c>
      <c r="AN69" s="5" t="inlineStr">
        <is>
          <t>Hit in India</t>
        </is>
      </c>
      <c r="AO69" s="20" t="n"/>
      <c r="AP69" s="19" t="inlineStr">
        <is>
          <t>Widespread critical acclaim: Anupama Chopra (NDTV) said Zoya Akhtar pokes fun at Bollywood 'with a great affection'; Frank Lovece compared it to The Player meeting All About Eve.</t>
        </is>
      </c>
      <c r="AQ69" s="19" t="n"/>
      <c r="AR69" s="5" t="inlineStr">
        <is>
          <t>SOURCE-001; SOURCE-071</t>
        </is>
      </c>
      <c r="AS69" s="5" t="inlineStr">
        <is>
          <t>Medium</t>
        </is>
      </c>
      <c r="AT69" s="5" t="inlineStr">
        <is>
          <t>Budget ₹150 million from the infobox. Worldwide gross reported in US dollars (US$4,504,365), so not entered in INR columns.</t>
        </is>
      </c>
    </row>
    <row r="70" ht="94" customHeight="1">
      <c r="A70" s="15" t="inlineStr">
        <is>
          <t>FILM-069</t>
        </is>
      </c>
      <c r="B70" s="5" t="inlineStr">
        <is>
          <t>Billu</t>
        </is>
      </c>
      <c r="C70" s="16" t="n">
        <v>39857</v>
      </c>
      <c r="D70" s="17" t="n">
        <v>2009</v>
      </c>
      <c r="E70" s="5" t="inlineStr">
        <is>
          <t>2000s</t>
        </is>
      </c>
      <c r="F70" s="5" t="inlineStr">
        <is>
          <t>Hindi</t>
        </is>
      </c>
      <c r="G70" s="5" t="inlineStr">
        <is>
          <t>Comedy-drama</t>
        </is>
      </c>
      <c r="H70" s="5" t="n"/>
      <c r="I70" s="17" t="n">
        <v>136</v>
      </c>
      <c r="J70" s="5" t="inlineStr">
        <is>
          <t>Priyadarshan</t>
        </is>
      </c>
      <c r="K70" s="5" t="inlineStr">
        <is>
          <t>Gauri Khan</t>
        </is>
      </c>
      <c r="L70" s="5" t="inlineStr">
        <is>
          <t>Red Chillies Entertainment</t>
        </is>
      </c>
      <c r="M70" s="5" t="inlineStr">
        <is>
          <t>Mushtaq Shiekh (screenplay); Sreenivasan (story)</t>
        </is>
      </c>
      <c r="N70" s="5" t="inlineStr">
        <is>
          <t>Remake of the Malayalam film Katha Parayumpol (2007), loosely based on the friendship of Krishna and Sudama</t>
        </is>
      </c>
      <c r="O70" s="5" t="inlineStr">
        <is>
          <t>Pritam</t>
        </is>
      </c>
      <c r="P70" s="5" t="inlineStr">
        <is>
          <t>Sandeep Chowta</t>
        </is>
      </c>
      <c r="Q70" s="5" t="inlineStr">
        <is>
          <t>Ashish Pandit; Mayur Puri; Gulzar; Neeraj Shridhar; Sayeed Quadri</t>
        </is>
      </c>
      <c r="R70" s="5" t="inlineStr">
        <is>
          <t>Sahir Khan</t>
        </is>
      </c>
      <c r="S70" s="5" t="n"/>
      <c r="T70" s="5" t="inlineStr">
        <is>
          <t>Co-lead</t>
        </is>
      </c>
      <c r="U70" s="18" t="n">
        <v>2</v>
      </c>
      <c r="V70" s="5" t="inlineStr">
        <is>
          <t>Bollywood superstar</t>
        </is>
      </c>
      <c r="W70" s="5" t="inlineStr">
        <is>
          <t>Rose from an impoverished village childhood</t>
        </is>
      </c>
      <c r="X70" s="19" t="inlineStr">
        <is>
          <t>Sahir Khan, a Bollywood superstar, arrives in the village of Budbuda for a shoot, unaware that his childhood friend, the poor barber Billu, is being ostracised for failing to introduce the villagers to him. At a school function Sahir recounts how Billu cared for him and gave him his gold earring to reach Mumbai. The shamed villagers take him to Billu's home, where the friends are reunited.</t>
        </is>
      </c>
      <c r="Y70" s="19" t="inlineStr">
        <is>
          <t>Honouring the friend who made his career possible</t>
        </is>
      </c>
      <c r="Z70" s="19" t="inlineStr">
        <is>
          <t>The distance created by fame</t>
        </is>
      </c>
      <c r="AA70" s="19" t="inlineStr">
        <is>
          <t>Star rediscovers a humble friendship</t>
        </is>
      </c>
      <c r="AB70" s="19" t="inlineStr">
        <is>
          <t>Heroic</t>
        </is>
      </c>
      <c r="AC70" s="5" t="inlineStr">
        <is>
          <t>Reunited with Billu</t>
        </is>
      </c>
      <c r="AD70" s="5" t="n"/>
      <c r="AE70" s="5" t="inlineStr">
        <is>
          <t>None</t>
        </is>
      </c>
      <c r="AF70" s="18" t="n">
        <v>0</v>
      </c>
      <c r="AG70" s="19" t="inlineStr">
        <is>
          <t>No meaningful romance</t>
        </is>
      </c>
      <c r="AH70" s="21" t="n">
        <v>27</v>
      </c>
      <c r="AI70" s="5" t="n"/>
      <c r="AJ70" s="5" t="n"/>
      <c r="AK70" s="5" t="n"/>
      <c r="AL70" s="5" t="n"/>
      <c r="AM70" s="5" t="inlineStr">
        <is>
          <t>INR crore</t>
        </is>
      </c>
      <c r="AN70" s="5" t="n"/>
      <c r="AO70" s="20" t="n"/>
      <c r="AP70" s="19" t="inlineStr">
        <is>
          <t>Positive reviews: Derek Elley (Variety) called it 'quietly entertaining, finally moving' and said Khan's climactic speech shows he is 'a genuinely top-notch actor'.</t>
        </is>
      </c>
      <c r="AQ70" s="19" t="inlineStr">
        <is>
          <t>Screened at the 2009 Hawaii International Film Festival. Kareena Kapoor, Priyanka Chopra and Deepika Padukone appear as Sahir's heroines in songs.</t>
        </is>
      </c>
      <c r="AR70" s="5" t="inlineStr">
        <is>
          <t>SOURCE-001; SOURCE-072</t>
        </is>
      </c>
      <c r="AS70" s="5" t="inlineStr">
        <is>
          <t>Medium</t>
        </is>
      </c>
      <c r="AT70" s="5" t="inlineStr">
        <is>
          <t>Released as Billu Barber (the article's current title). Infobox gross is an unlabelled estimate of ₹47.45 crore and is not entered. No verdict found.</t>
        </is>
      </c>
    </row>
    <row r="71" ht="79" customHeight="1">
      <c r="A71" s="15" t="inlineStr">
        <is>
          <t>FILM-070</t>
        </is>
      </c>
      <c r="B71" s="5" t="inlineStr">
        <is>
          <t>Dulha Mil Gaya</t>
        </is>
      </c>
      <c r="C71" s="16" t="n">
        <v>40186</v>
      </c>
      <c r="D71" s="17" t="n">
        <v>2010</v>
      </c>
      <c r="E71" s="5" t="inlineStr">
        <is>
          <t>2010s</t>
        </is>
      </c>
      <c r="F71" s="5" t="inlineStr">
        <is>
          <t>Hindi</t>
        </is>
      </c>
      <c r="G71" s="5" t="inlineStr">
        <is>
          <t>Romantic comedy</t>
        </is>
      </c>
      <c r="H71" s="5" t="n"/>
      <c r="I71" s="17" t="n">
        <v>152</v>
      </c>
      <c r="J71" s="5" t="inlineStr">
        <is>
          <t>Mudassar Aziz</t>
        </is>
      </c>
      <c r="K71" s="5" t="inlineStr">
        <is>
          <t>Vivek Vaswani</t>
        </is>
      </c>
      <c r="L71" s="5" t="n"/>
      <c r="M71" s="5" t="inlineStr">
        <is>
          <t>Mudassar Aziz; Vivek Vaswani (story)</t>
        </is>
      </c>
      <c r="N71" s="5" t="n"/>
      <c r="O71" s="5" t="inlineStr">
        <is>
          <t>Lalit Pandit; Pritam</t>
        </is>
      </c>
      <c r="P71" s="5" t="inlineStr">
        <is>
          <t>Lalit Pandit</t>
        </is>
      </c>
      <c r="Q71" s="5" t="n"/>
      <c r="R71" s="5" t="inlineStr">
        <is>
          <t>Pawan Raj Gandhi (PRG)</t>
        </is>
      </c>
      <c r="S71" s="5" t="n"/>
      <c r="T71" s="5" t="inlineStr">
        <is>
          <t>Extended special appearance</t>
        </is>
      </c>
      <c r="U71" s="20" t="n"/>
      <c r="V71" s="5" t="n"/>
      <c r="W71" s="5" t="n"/>
      <c r="X71" s="19" t="inlineStr">
        <is>
          <t>PRG is the boyfriend of Shimmer, who is helping Samarpreet, the abandoned bride of the heir Donsai, reinvent herself as Samara to win him back. Arriving unexpectedly for Karwa Chauth, PRG disrupts the plan, learns of Samarpreet's problem and joins the scheme; Shimmer realises her feelings for him and goes to meet him at the airport.</t>
        </is>
      </c>
      <c r="Y71" s="19" t="inlineStr">
        <is>
          <t>Being with Shimmer and helping her friend</t>
        </is>
      </c>
      <c r="Z71" s="19" t="n"/>
      <c r="AA71" s="19" t="n"/>
      <c r="AB71" s="19" t="n"/>
      <c r="AC71" s="5" t="n"/>
      <c r="AD71" s="5" t="inlineStr">
        <is>
          <t>Sushmita Sen; Ishita Sharma</t>
        </is>
      </c>
      <c r="AE71" s="5" t="inlineStr">
        <is>
          <t>Minor</t>
        </is>
      </c>
      <c r="AF71" s="18" t="n">
        <v>2</v>
      </c>
      <c r="AG71" s="19" t="inlineStr">
        <is>
          <t>Romance subordinate to another genre</t>
        </is>
      </c>
      <c r="AH71" s="21" t="n">
        <v>25</v>
      </c>
      <c r="AI71" s="5" t="n"/>
      <c r="AJ71" s="5" t="n"/>
      <c r="AK71" s="5" t="n"/>
      <c r="AL71" s="5" t="n"/>
      <c r="AM71" s="5" t="inlineStr">
        <is>
          <t>INR crore</t>
        </is>
      </c>
      <c r="AN71" s="5" t="inlineStr">
        <is>
          <t>Flop</t>
        </is>
      </c>
      <c r="AO71" s="20" t="n"/>
      <c r="AP71" s="19" t="inlineStr">
        <is>
          <t>Taran Adarsh (1.5/5) found it lacking substance; Shubhra Gupta (The Indian Express, 2/5) called it light-hearted fun for the most part.</t>
        </is>
      </c>
      <c r="AQ71" s="19" t="n"/>
      <c r="AR71" s="5" t="inlineStr">
        <is>
          <t>SOURCE-001; SOURCE-073</t>
        </is>
      </c>
      <c r="AS71" s="5" t="inlineStr">
        <is>
          <t>Medium</t>
        </is>
      </c>
      <c r="AT71" s="5" t="inlineStr">
        <is>
          <t>No Romances row: PRG and Shimmer's relationship is covered in two sentences. Wikipedia says the film 'made ₹3 crore in India' without a nett/gross label; Rediff.com declared it a flop, though it ran for weeks in Trinidad and Tobago. Guest composition by Pritam.</t>
        </is>
      </c>
    </row>
    <row r="72" ht="109" customHeight="1">
      <c r="A72" s="15" t="inlineStr">
        <is>
          <t>FILM-071</t>
        </is>
      </c>
      <c r="B72" s="5" t="inlineStr">
        <is>
          <t>My Name Is Khan</t>
        </is>
      </c>
      <c r="C72" s="16" t="n">
        <v>40221</v>
      </c>
      <c r="D72" s="17" t="n">
        <v>2010</v>
      </c>
      <c r="E72" s="5" t="inlineStr">
        <is>
          <t>2010s</t>
        </is>
      </c>
      <c r="F72" s="5" t="inlineStr">
        <is>
          <t>Hindi; English</t>
        </is>
      </c>
      <c r="G72" s="5" t="inlineStr">
        <is>
          <t>Drama</t>
        </is>
      </c>
      <c r="H72" s="5" t="inlineStr">
        <is>
          <t>Social drama</t>
        </is>
      </c>
      <c r="I72" s="17" t="n">
        <v>161</v>
      </c>
      <c r="J72" s="5" t="inlineStr">
        <is>
          <t>Karan Johar</t>
        </is>
      </c>
      <c r="K72" s="5" t="inlineStr">
        <is>
          <t>Hiroo Yash Johar; Gauri Khan</t>
        </is>
      </c>
      <c r="L72" s="5" t="inlineStr">
        <is>
          <t>Fox Star Studios; Fox Searchlight Pictures; Dharma Productions; Red Chillies Entertainment</t>
        </is>
      </c>
      <c r="M72" s="5" t="inlineStr">
        <is>
          <t>Shibani Bathija; Niranjan Iyengar</t>
        </is>
      </c>
      <c r="N72" s="5" t="n"/>
      <c r="O72" s="5" t="inlineStr">
        <is>
          <t>Shankar–Ehsaan–Loy</t>
        </is>
      </c>
      <c r="P72" s="5" t="n"/>
      <c r="Q72" s="5" t="n"/>
      <c r="R72" s="5" t="inlineStr">
        <is>
          <t>Rizwan Khan</t>
        </is>
      </c>
      <c r="S72" s="5" t="n"/>
      <c r="T72" s="5" t="inlineStr">
        <is>
          <t>Lead</t>
        </is>
      </c>
      <c r="U72" s="18" t="n">
        <v>1</v>
      </c>
      <c r="V72" s="5" t="inlineStr">
        <is>
          <t>Beauty-products salesman</t>
        </is>
      </c>
      <c r="W72" s="5" t="inlineStr">
        <is>
          <t>Indian Muslim with Asperger's syndrome from Mumbai, living in San Francisco</t>
        </is>
      </c>
      <c r="X72" s="19" t="inlineStr">
        <is>
          <t>Rizwan, a Muslim man from Mumbai with Asperger's syndrome, joins his brother in San Francisco and marries Mandira, a Hindu single mother. After 9/11 her son Sam is killed in a racist attack, and Mandira, blaming the Khan name, tells Rizwan to go and tell the President he is not a terrorist. Taking her literally, he crosses America, is detained, reports an extremist, leads hurricane relief in Georgia and meets President Obama before reuniting with Mandira.</t>
        </is>
      </c>
      <c r="Y72" s="19" t="inlineStr">
        <is>
          <t>Winning back Mandira by clearing the family name</t>
        </is>
      </c>
      <c r="Z72" s="19" t="inlineStr">
        <is>
          <t>Post-9/11 Islamophobia and his wife's grief</t>
        </is>
      </c>
      <c r="AA72" s="19" t="inlineStr">
        <is>
          <t>Literal-minded outsider becomes a national symbol of tolerance</t>
        </is>
      </c>
      <c r="AB72" s="19" t="inlineStr">
        <is>
          <t>Heroic</t>
        </is>
      </c>
      <c r="AC72" s="5" t="inlineStr">
        <is>
          <t>Survives a stabbing, meets the President and returns home with Mandira</t>
        </is>
      </c>
      <c r="AD72" s="5" t="inlineStr">
        <is>
          <t>Kajol</t>
        </is>
      </c>
      <c r="AE72" s="5" t="inlineStr">
        <is>
          <t>Major</t>
        </is>
      </c>
      <c r="AF72" s="18" t="n">
        <v>7</v>
      </c>
      <c r="AG72" s="19" t="inlineStr">
        <is>
          <t>Marriage under strain</t>
        </is>
      </c>
      <c r="AH72" s="21" t="n">
        <v>85</v>
      </c>
      <c r="AI72" s="21" t="n">
        <v>82.52</v>
      </c>
      <c r="AJ72" s="21" t="n">
        <v>115</v>
      </c>
      <c r="AK72" s="21" t="n">
        <v>108.83</v>
      </c>
      <c r="AL72" s="21" t="n">
        <v>223.44</v>
      </c>
      <c r="AM72" s="5" t="inlineStr">
        <is>
          <t>INR crore</t>
        </is>
      </c>
      <c r="AN72" s="5" t="inlineStr">
        <is>
          <t>Financial success</t>
        </is>
      </c>
      <c r="AO72" s="20" t="n"/>
      <c r="AP72" s="19" t="inlineStr">
        <is>
          <t>Widespread acclaim (86% on Rotten Tomatoes). Taran Adarsh (4.5/5) called it Khan's career-best performance and praised Kajol; Shubhra Gupta (The Indian Express) felt the push to make Rizwan more heroic derailed the film.</t>
        </is>
      </c>
      <c r="AQ72" s="19" t="inlineStr">
        <is>
          <t>Released worldwide by 20th Century Fox; often called Johar's magnum opus. Khan was honoured at the San Francisco Film Festival in 2017 for the role.</t>
        </is>
      </c>
      <c r="AR72" s="5" t="inlineStr">
        <is>
          <t>SOURCE-001; SOURCE-074</t>
        </is>
      </c>
      <c r="AS72" s="5" t="inlineStr">
        <is>
          <t>Medium</t>
        </is>
      </c>
      <c r="AT72" s="5" t="inlineStr">
        <is>
          <t>India nett ₹82.52 crore and gross ₹1.15 billion; overseas US$23.5 million (₹108.83 crore); worldwide ₹223.44 crore. Premiered in the UAE on 10 February 2010; worldwide release 12 February.</t>
        </is>
      </c>
    </row>
    <row r="73" ht="79" customHeight="1">
      <c r="A73" s="15" t="inlineStr">
        <is>
          <t>FILM-072</t>
        </is>
      </c>
      <c r="B73" s="5" t="inlineStr">
        <is>
          <t>Shahrukh Bola "Khoobsurat Hai Tu"</t>
        </is>
      </c>
      <c r="C73" s="16" t="n">
        <v>40501</v>
      </c>
      <c r="D73" s="17" t="n">
        <v>2010</v>
      </c>
      <c r="E73" s="5" t="inlineStr">
        <is>
          <t>2010s</t>
        </is>
      </c>
      <c r="F73" s="5" t="inlineStr">
        <is>
          <t>Hindi</t>
        </is>
      </c>
      <c r="G73" s="5" t="n"/>
      <c r="H73" s="5" t="n"/>
      <c r="I73" s="20" t="n"/>
      <c r="J73" s="5" t="inlineStr">
        <is>
          <t>Makrand Deshpande</t>
        </is>
      </c>
      <c r="K73" s="5" t="inlineStr">
        <is>
          <t>Amarjeet Singh Bhasin</t>
        </is>
      </c>
      <c r="L73" s="5" t="inlineStr">
        <is>
          <t>Music Factory</t>
        </is>
      </c>
      <c r="M73" s="5" t="n"/>
      <c r="N73" s="5" t="n"/>
      <c r="O73" s="5" t="n"/>
      <c r="P73" s="5" t="n"/>
      <c r="Q73" s="5" t="n"/>
      <c r="R73" s="5" t="inlineStr">
        <is>
          <t>Himself</t>
        </is>
      </c>
      <c r="S73" s="5" t="n"/>
      <c r="T73" s="5" t="inlineStr">
        <is>
          <t>Self appearance</t>
        </is>
      </c>
      <c r="U73" s="20" t="n"/>
      <c r="V73" s="5" t="n"/>
      <c r="W73" s="5" t="n"/>
      <c r="X73" s="19" t="inlineStr">
        <is>
          <t>Khan appears as himself in Makrand Deshpande's film about Laali, a flower seller and devoted Shah Rukh Khan fan who dreams of becoming his heroine. When she finds him sitting in a car and nearly faints, he catches her and tells her 'Khoobsurat Hai Tu' ('You are beautiful'), the line that gives the film its title.</t>
        </is>
      </c>
      <c r="Y73" s="19" t="n"/>
      <c r="Z73" s="19" t="n"/>
      <c r="AA73" s="19" t="n"/>
      <c r="AB73" s="19" t="n"/>
      <c r="AC73" s="5" t="n"/>
      <c r="AD73" s="5" t="n"/>
      <c r="AE73" s="5" t="inlineStr">
        <is>
          <t>None</t>
        </is>
      </c>
      <c r="AF73" s="18" t="n">
        <v>0</v>
      </c>
      <c r="AG73" s="19" t="inlineStr">
        <is>
          <t>No meaningful romance</t>
        </is>
      </c>
      <c r="AH73" s="5" t="n"/>
      <c r="AI73" s="5" t="n"/>
      <c r="AJ73" s="5" t="n"/>
      <c r="AK73" s="5" t="n"/>
      <c r="AL73" s="5" t="n"/>
      <c r="AM73" s="5" t="n"/>
      <c r="AN73" s="5" t="n"/>
      <c r="AO73" s="20" t="n"/>
      <c r="AP73" s="19" t="inlineStr">
        <is>
          <t>Anupama Chopra (NDTV) gave it 2/5; Nikhat Kazmi (The Times of India) gave it 3/5.</t>
        </is>
      </c>
      <c r="AQ73" s="19" t="n"/>
      <c r="AR73" s="5" t="inlineStr">
        <is>
          <t>SOURCE-001; SOURCE-075</t>
        </is>
      </c>
      <c r="AS73" s="5" t="inlineStr">
        <is>
          <t>Medium</t>
        </is>
      </c>
      <c r="AT73" s="5" t="inlineStr">
        <is>
          <t>Stub article: no infobox runtime, writer, music or box-office data. Genre not stated.</t>
        </is>
      </c>
    </row>
    <row r="74" ht="64" customHeight="1">
      <c r="A74" s="15" t="inlineStr">
        <is>
          <t>FILM-073</t>
        </is>
      </c>
      <c r="B74" s="5" t="inlineStr">
        <is>
          <t>Always Kabhi Kabhi</t>
        </is>
      </c>
      <c r="C74" s="16" t="n">
        <v>40711</v>
      </c>
      <c r="D74" s="17" t="n">
        <v>2011</v>
      </c>
      <c r="E74" s="5" t="inlineStr">
        <is>
          <t>2010s</t>
        </is>
      </c>
      <c r="F74" s="5" t="inlineStr">
        <is>
          <t>Hindi</t>
        </is>
      </c>
      <c r="G74" s="5" t="inlineStr">
        <is>
          <t>Romantic comedy</t>
        </is>
      </c>
      <c r="H74" s="5" t="n"/>
      <c r="I74" s="17" t="n">
        <v>126</v>
      </c>
      <c r="J74" s="5" t="inlineStr">
        <is>
          <t>Roshan Abbas</t>
        </is>
      </c>
      <c r="K74" s="5" t="inlineStr">
        <is>
          <t>Gauri Khan; Shah Rukh Khan</t>
        </is>
      </c>
      <c r="L74" s="5" t="inlineStr">
        <is>
          <t>Red Chillies Entertainment</t>
        </is>
      </c>
      <c r="M74" s="5" t="inlineStr">
        <is>
          <t>Ishita Moitra (screenplay); Ranjit Raina (story)</t>
        </is>
      </c>
      <c r="N74" s="5" t="n"/>
      <c r="O74" s="5" t="inlineStr">
        <is>
          <t>Pritam; Aashish Rego; Shree D</t>
        </is>
      </c>
      <c r="P74" s="5" t="n"/>
      <c r="Q74" s="5" t="inlineStr">
        <is>
          <t>Amitabh Bhattacharya; Shah Rukh Khan; Irfan Siddiqui; Roshan Abbas</t>
        </is>
      </c>
      <c r="R74" s="5" t="inlineStr">
        <is>
          <t>Himself</t>
        </is>
      </c>
      <c r="S74" s="5" t="n"/>
      <c r="T74" s="5" t="inlineStr">
        <is>
          <t>Self appearance</t>
        </is>
      </c>
      <c r="U74" s="20" t="n"/>
      <c r="V74" s="5" t="n"/>
      <c r="W74" s="5" t="n"/>
      <c r="X74" s="19" t="inlineStr">
        <is>
          <t>Khan, who produced the film, appears as himself performing the song 'Antenna' with the teenage protagonists at the close of this coming-of-age comedy about four students in their eventful final year at school. He also shares the lyric credit for 'Antenna'.</t>
        </is>
      </c>
      <c r="Y74" s="19" t="n"/>
      <c r="Z74" s="19" t="n"/>
      <c r="AA74" s="19" t="n"/>
      <c r="AB74" s="19" t="n"/>
      <c r="AC74" s="5" t="n"/>
      <c r="AD74" s="5" t="n"/>
      <c r="AE74" s="5" t="inlineStr">
        <is>
          <t>None</t>
        </is>
      </c>
      <c r="AF74" s="18" t="n">
        <v>0</v>
      </c>
      <c r="AG74" s="19" t="inlineStr">
        <is>
          <t>No meaningful romance</t>
        </is>
      </c>
      <c r="AH74" s="5" t="n"/>
      <c r="AI74" s="21" t="n">
        <v>3.05</v>
      </c>
      <c r="AJ74" s="5" t="n"/>
      <c r="AK74" s="5" t="n"/>
      <c r="AL74" s="5" t="n"/>
      <c r="AM74" s="5" t="inlineStr">
        <is>
          <t>INR crore</t>
        </is>
      </c>
      <c r="AN74" s="5" t="inlineStr">
        <is>
          <t>Flop</t>
        </is>
      </c>
      <c r="AO74" s="20" t="n"/>
      <c r="AP74" s="19" t="inlineStr">
        <is>
          <t>Negative reviews: Taran Adarsh (1.5/5) said it disappoints, and Rajeev Masand (1.5/5) called it amateurish.</t>
        </is>
      </c>
      <c r="AQ74" s="19" t="n"/>
      <c r="AR74" s="5" t="inlineStr">
        <is>
          <t>SOURCE-001; SOURCE-076</t>
        </is>
      </c>
      <c r="AS74" s="5" t="inlineStr">
        <is>
          <t>Medium</t>
        </is>
      </c>
      <c r="AT74" s="5" t="inlineStr">
        <is>
          <t>India nett ₹30.5 million. Khan is also a producer.</t>
        </is>
      </c>
    </row>
    <row r="75" ht="64" customHeight="1">
      <c r="A75" s="15" t="inlineStr">
        <is>
          <t>FILM-074</t>
        </is>
      </c>
      <c r="B75" s="5" t="inlineStr">
        <is>
          <t>Love Breakups Zindagi</t>
        </is>
      </c>
      <c r="C75" s="16" t="n">
        <v>40823</v>
      </c>
      <c r="D75" s="17" t="n">
        <v>2011</v>
      </c>
      <c r="E75" s="5" t="inlineStr">
        <is>
          <t>2010s</t>
        </is>
      </c>
      <c r="F75" s="5" t="inlineStr">
        <is>
          <t>Hindi</t>
        </is>
      </c>
      <c r="G75" s="5" t="inlineStr">
        <is>
          <t>Romantic comedy</t>
        </is>
      </c>
      <c r="H75" s="5" t="n"/>
      <c r="I75" s="20" t="n"/>
      <c r="J75" s="5" t="inlineStr">
        <is>
          <t>Sahil Sangha</t>
        </is>
      </c>
      <c r="K75" s="5" t="inlineStr">
        <is>
          <t>Zayed Khan</t>
        </is>
      </c>
      <c r="L75" s="5" t="inlineStr">
        <is>
          <t>Born Free Entertainment; Sahara Motion Pictures</t>
        </is>
      </c>
      <c r="M75" s="5" t="inlineStr">
        <is>
          <t>Sahil Sangha</t>
        </is>
      </c>
      <c r="N75" s="5" t="n"/>
      <c r="O75" s="5" t="inlineStr">
        <is>
          <t>Salim–Sulaiman</t>
        </is>
      </c>
      <c r="P75" s="5" t="inlineStr">
        <is>
          <t>Clinton Cerejo</t>
        </is>
      </c>
      <c r="Q75" s="5" t="inlineStr">
        <is>
          <t>Javed Akhtar</t>
        </is>
      </c>
      <c r="R75" s="5" t="inlineStr">
        <is>
          <t>Himself</t>
        </is>
      </c>
      <c r="S75" s="5" t="n"/>
      <c r="T75" s="5" t="inlineStr">
        <is>
          <t>Self appearance</t>
        </is>
      </c>
      <c r="U75" s="20" t="n"/>
      <c r="V75" s="5" t="n"/>
      <c r="W75" s="5" t="n"/>
      <c r="X75" s="19" t="inlineStr">
        <is>
          <t>Khan makes a cameo as himself in this romantic comedy about Jai and Naina, two young people whose apparently settled lives lack someone to complete them. The sources consulted do not describe his scene.</t>
        </is>
      </c>
      <c r="Y75" s="19" t="n"/>
      <c r="Z75" s="19" t="n"/>
      <c r="AA75" s="19" t="n"/>
      <c r="AB75" s="19" t="n"/>
      <c r="AC75" s="5" t="n"/>
      <c r="AD75" s="5" t="n"/>
      <c r="AE75" s="5" t="inlineStr">
        <is>
          <t>None</t>
        </is>
      </c>
      <c r="AF75" s="18" t="n">
        <v>0</v>
      </c>
      <c r="AG75" s="19" t="inlineStr">
        <is>
          <t>No meaningful romance</t>
        </is>
      </c>
      <c r="AH75" s="21" t="n">
        <v>10</v>
      </c>
      <c r="AI75" s="5" t="n"/>
      <c r="AJ75" s="5" t="n"/>
      <c r="AK75" s="5" t="n"/>
      <c r="AL75" s="5" t="n"/>
      <c r="AM75" s="5" t="inlineStr">
        <is>
          <t>INR crore</t>
        </is>
      </c>
      <c r="AN75" s="5" t="n"/>
      <c r="AO75" s="20" t="n"/>
      <c r="AP75" s="19" t="inlineStr">
        <is>
          <t>Mixed reviews: Preeti Arora (Rediff.com, 2/5) found it predictable, and Gaurav Malani (The Times of India) saw no innovation in the storytelling.</t>
        </is>
      </c>
      <c r="AQ75" s="19" t="n"/>
      <c r="AR75" s="5" t="inlineStr">
        <is>
          <t>SOURCE-001; SOURCE-077</t>
        </is>
      </c>
      <c r="AS75" s="5" t="inlineStr">
        <is>
          <t>Medium</t>
        </is>
      </c>
      <c r="AT75" s="5" t="inlineStr">
        <is>
          <t>The filmography leaves the role blank and notes a cameo; the cast list gives 'Himself (cameo appearance)'. Infobox gross of ₹2.06 crore is unlabelled and not entered.</t>
        </is>
      </c>
    </row>
    <row r="76" ht="109" customHeight="1">
      <c r="A76" s="15" t="inlineStr">
        <is>
          <t>FILM-075</t>
        </is>
      </c>
      <c r="B76" s="5" t="inlineStr">
        <is>
          <t>Ra.One</t>
        </is>
      </c>
      <c r="C76" s="16" t="n">
        <v>40842</v>
      </c>
      <c r="D76" s="17" t="n">
        <v>2011</v>
      </c>
      <c r="E76" s="5" t="inlineStr">
        <is>
          <t>2010s</t>
        </is>
      </c>
      <c r="F76" s="5" t="inlineStr">
        <is>
          <t>Hindi</t>
        </is>
      </c>
      <c r="G76" s="5" t="inlineStr">
        <is>
          <t>Superhero</t>
        </is>
      </c>
      <c r="H76" s="5" t="inlineStr">
        <is>
          <t>Science fiction</t>
        </is>
      </c>
      <c r="I76" s="17" t="n">
        <v>156</v>
      </c>
      <c r="J76" s="5" t="inlineStr">
        <is>
          <t>Anubhav Sinha</t>
        </is>
      </c>
      <c r="K76" s="5" t="inlineStr">
        <is>
          <t>Gauri Khan</t>
        </is>
      </c>
      <c r="L76" s="5" t="inlineStr">
        <is>
          <t>Red Chillies Entertainment</t>
        </is>
      </c>
      <c r="M76" s="5" t="inlineStr">
        <is>
          <t>Anubhav Sinha; Kanika Dhillon; Mushtaq Shiekh; David Benullo</t>
        </is>
      </c>
      <c r="N76" s="5" t="n"/>
      <c r="O76" s="5" t="inlineStr">
        <is>
          <t>Vishal–Shekhar</t>
        </is>
      </c>
      <c r="P76" s="5" t="n"/>
      <c r="Q76" s="5" t="n"/>
      <c r="R76" s="5" t="inlineStr">
        <is>
          <t>Shekhar Subramaniam</t>
        </is>
      </c>
      <c r="S76" s="5" t="inlineStr">
        <is>
          <t>Double role: the video-game hero G.One</t>
        </is>
      </c>
      <c r="T76" s="5" t="inlineStr">
        <is>
          <t>Lead</t>
        </is>
      </c>
      <c r="U76" s="18" t="n">
        <v>1</v>
      </c>
      <c r="V76" s="5" t="inlineStr">
        <is>
          <t>Video-game designer at Barron Industries</t>
        </is>
      </c>
      <c r="W76" s="5" t="inlineStr">
        <is>
          <t>Indian expatriate living in London with his wife and son</t>
        </is>
      </c>
      <c r="X76" s="19" t="inlineStr">
        <is>
          <t>Shekhar, a London game designer, creates a game whose villain Ra.One is more powerful than its hero G.One, to impress his son Prateek. The self-aware Ra.One escapes into the real world and kills Shekhar. Prateek brings G.One, who bears his father's face, to life; G.One protects Prateek and his mother Sonia, saves Sonia from a runaway train in Mumbai and destroys Ra.One, disintegrating in the process until Prateek restores him.</t>
        </is>
      </c>
      <c r="Y76" s="19" t="inlineStr">
        <is>
          <t>Winning his son's admiration; as G.One, protecting Prateek</t>
        </is>
      </c>
      <c r="Z76" s="19" t="inlineStr">
        <is>
          <t>Ra.One's hunt for Prateek</t>
        </is>
      </c>
      <c r="AA76" s="19" t="inlineStr">
        <is>
          <t>Awkward father dies and returns as his son's superhero</t>
        </is>
      </c>
      <c r="AB76" s="19" t="inlineStr">
        <is>
          <t>Heroic</t>
        </is>
      </c>
      <c r="AC76" s="5" t="inlineStr">
        <is>
          <t>Shekhar dies; G.One destroys Ra.One and is later restored</t>
        </is>
      </c>
      <c r="AD76" s="5" t="inlineStr">
        <is>
          <t>Kareena Kapoor</t>
        </is>
      </c>
      <c r="AE76" s="5" t="inlineStr">
        <is>
          <t>Minor</t>
        </is>
      </c>
      <c r="AF76" s="18" t="n">
        <v>3</v>
      </c>
      <c r="AG76" s="19" t="inlineStr">
        <is>
          <t>Established relationship</t>
        </is>
      </c>
      <c r="AH76" s="21" t="n">
        <v>150</v>
      </c>
      <c r="AI76" s="5" t="n"/>
      <c r="AJ76" s="21" t="n">
        <v>114</v>
      </c>
      <c r="AK76" s="5" t="n"/>
      <c r="AL76" s="21" t="n">
        <v>208.1</v>
      </c>
      <c r="AM76" s="5" t="inlineStr">
        <is>
          <t>INR crore</t>
        </is>
      </c>
      <c r="AN76" s="5" t="n"/>
      <c r="AO76" s="20" t="n"/>
      <c r="AP76" s="19" t="inlineStr">
        <is>
          <t>Mixed reviews in India and generally positive reviews overseas (61% on Rotten Tomatoes; Metacritic 60).</t>
        </is>
      </c>
      <c r="AQ76" s="19" t="inlineStr">
        <is>
          <t>National Film Award and Filmfare Award for Best Special Effects; four IIFA Awards. The most expensive Indian film at the time of release.</t>
        </is>
      </c>
      <c r="AR76" s="5" t="inlineStr">
        <is>
          <t>SOURCE-001; SOURCE-078</t>
        </is>
      </c>
      <c r="AS76" s="5" t="inlineStr">
        <is>
          <t>Medium</t>
        </is>
      </c>
      <c r="AT76" s="5" t="inlineStr">
        <is>
          <t>Budget ₹150 crore including a ₹52 crore marketing spend. India gross ₹1.14 billion (distributor share ₹636.1 million); overseas US$10.95 million; worldwide ₹2.081 billion. Tamil and Telugu versions earned about ₹50 million nett. International premieres began 24 October 2011; India release 26 October. No verdict label found.</t>
        </is>
      </c>
    </row>
    <row r="77" ht="109" customHeight="1">
      <c r="A77" s="15" t="inlineStr">
        <is>
          <t>FILM-076</t>
        </is>
      </c>
      <c r="B77" s="5" t="inlineStr">
        <is>
          <t>Don 2</t>
        </is>
      </c>
      <c r="C77" s="16" t="n">
        <v>40900</v>
      </c>
      <c r="D77" s="17" t="n">
        <v>2011</v>
      </c>
      <c r="E77" s="5" t="inlineStr">
        <is>
          <t>2010s</t>
        </is>
      </c>
      <c r="F77" s="5" t="inlineStr">
        <is>
          <t>Hindi</t>
        </is>
      </c>
      <c r="G77" s="5" t="inlineStr">
        <is>
          <t>Action thriller</t>
        </is>
      </c>
      <c r="H77" s="5" t="inlineStr">
        <is>
          <t>Heist</t>
        </is>
      </c>
      <c r="I77" s="17" t="n">
        <v>148</v>
      </c>
      <c r="J77" s="5" t="inlineStr">
        <is>
          <t>Farhan Akhtar</t>
        </is>
      </c>
      <c r="K77" s="5" t="inlineStr">
        <is>
          <t>Farhan Akhtar; Ritesh Sidhwani; Shah Rukh Khan</t>
        </is>
      </c>
      <c r="L77" s="5" t="inlineStr">
        <is>
          <t>Excel Entertainment; Red Chillies Entertainment</t>
        </is>
      </c>
      <c r="M77" s="5" t="inlineStr">
        <is>
          <t>Farhan Akhtar; Ameet Mehta; Amrish Shah</t>
        </is>
      </c>
      <c r="N77" s="5" t="n"/>
      <c r="O77" s="5" t="inlineStr">
        <is>
          <t>Shankar–Ehsaan–Loy</t>
        </is>
      </c>
      <c r="P77" s="5" t="n"/>
      <c r="Q77" s="5" t="inlineStr">
        <is>
          <t>Javed Akhtar</t>
        </is>
      </c>
      <c r="R77" s="5" t="inlineStr">
        <is>
          <t>Mark "Don" Donald</t>
        </is>
      </c>
      <c r="S77" s="5" t="n"/>
      <c r="T77" s="5" t="inlineStr">
        <is>
          <t>Lead</t>
        </is>
      </c>
      <c r="U77" s="18" t="n">
        <v>1</v>
      </c>
      <c r="V77" s="5" t="inlineStr">
        <is>
          <t>International drug lord</t>
        </is>
      </c>
      <c r="W77" s="5" t="n"/>
      <c r="X77" s="19" t="inlineStr">
        <is>
          <t>Five years after the first film, Don surrenders in Malaysia to Roma and Malik, breaks out of prison with his old rival Vardhaan and blackmails a Berlin bank executive to steal the euro printing plates. Betrayed by Vardhaan and the hit man Jabbar, he outwits both, negotiates immunity, gets the wounded Roma to an ambulance and exposes the European cartel bosses, emerging as king of the Asian and European underworlds.</t>
        </is>
      </c>
      <c r="Y77" s="19" t="inlineStr">
        <is>
          <t>Control of the European underworld</t>
        </is>
      </c>
      <c r="Z77" s="19" t="inlineStr">
        <is>
          <t>The European cartel, Vardhaan and Interpol</t>
        </is>
      </c>
      <c r="AA77" s="19" t="inlineStr">
        <is>
          <t>Criminal mastermind carries off the 'perfect crime'</t>
        </is>
      </c>
      <c r="AB77" s="19" t="inlineStr">
        <is>
          <t>Villain</t>
        </is>
      </c>
      <c r="AC77" s="5" t="inlineStr">
        <is>
          <t>Keeps the real plates and rules both underworlds</t>
        </is>
      </c>
      <c r="AD77" s="5" t="inlineStr">
        <is>
          <t>Priyanka Chopra; Lara Dutta</t>
        </is>
      </c>
      <c r="AE77" s="5" t="inlineStr">
        <is>
          <t>Minor</t>
        </is>
      </c>
      <c r="AF77" s="18" t="n">
        <v>3</v>
      </c>
      <c r="AG77" s="19" t="inlineStr">
        <is>
          <t>Romance subordinate to another genre</t>
        </is>
      </c>
      <c r="AH77" s="21" t="n">
        <v>76</v>
      </c>
      <c r="AI77" s="5" t="n"/>
      <c r="AJ77" s="21" t="n">
        <v>112</v>
      </c>
      <c r="AK77" s="5" t="n"/>
      <c r="AL77" s="5" t="n"/>
      <c r="AM77" s="5" t="inlineStr">
        <is>
          <t>INR crore</t>
        </is>
      </c>
      <c r="AN77" s="5" t="inlineStr">
        <is>
          <t>Commercial success</t>
        </is>
      </c>
      <c r="AO77" s="20" t="n"/>
      <c r="AP77" s="19" t="inlineStr">
        <is>
          <t>Positive reviews for its story, cinematography, action and performances (63% on Rotten Tomatoes); Rachit Gupta (Filmfare, 4/5) praised Khan, Chopra and Irani.</t>
        </is>
      </c>
      <c r="AQ77" s="19" t="n"/>
      <c r="AR77" s="5" t="inlineStr">
        <is>
          <t>SOURCE-001; SOURCE-079</t>
        </is>
      </c>
      <c r="AS77" s="5" t="inlineStr">
        <is>
          <t>Medium</t>
        </is>
      </c>
      <c r="AT77" s="5" t="inlineStr">
        <is>
          <t>Production cost ₹760 million excluding Khan's fee. India gross ₹1.06 billion for the Hindi version plus ₹60 million from Tamil and Telugu versions. The article calls it the highest-grossing Bollywood film of 2011, which is not reconciled here. Infobox worldwide estimate of ₹202.81 crore is not entered. Khan is also a producer.</t>
        </is>
      </c>
    </row>
    <row r="78" ht="94" customHeight="1">
      <c r="A78" s="15" t="inlineStr">
        <is>
          <t>FILM-077</t>
        </is>
      </c>
      <c r="B78" s="5" t="inlineStr">
        <is>
          <t>Jab Tak Hai Jaan</t>
        </is>
      </c>
      <c r="C78" s="16" t="n">
        <v>41226</v>
      </c>
      <c r="D78" s="17" t="n">
        <v>2012</v>
      </c>
      <c r="E78" s="5" t="inlineStr">
        <is>
          <t>2010s</t>
        </is>
      </c>
      <c r="F78" s="5" t="inlineStr">
        <is>
          <t>Hindi</t>
        </is>
      </c>
      <c r="G78" s="5" t="inlineStr">
        <is>
          <t>Romantic drama</t>
        </is>
      </c>
      <c r="H78" s="5" t="n"/>
      <c r="I78" s="17" t="n">
        <v>176</v>
      </c>
      <c r="J78" s="5" t="inlineStr">
        <is>
          <t>Yash Chopra</t>
        </is>
      </c>
      <c r="K78" s="5" t="inlineStr">
        <is>
          <t>Aditya Chopra</t>
        </is>
      </c>
      <c r="L78" s="5" t="inlineStr">
        <is>
          <t>Yash Raj Films</t>
        </is>
      </c>
      <c r="M78" s="5" t="inlineStr">
        <is>
          <t>Aditya Chopra; Devika Bhagat</t>
        </is>
      </c>
      <c r="N78" s="5" t="n"/>
      <c r="O78" s="5" t="inlineStr">
        <is>
          <t>A. R. Rahman</t>
        </is>
      </c>
      <c r="P78" s="5" t="n"/>
      <c r="Q78" s="5" t="inlineStr">
        <is>
          <t>Gulzar</t>
        </is>
      </c>
      <c r="R78" s="5" t="inlineStr">
        <is>
          <t>Major Samar Anand</t>
        </is>
      </c>
      <c r="S78" s="5" t="n"/>
      <c r="T78" s="5" t="inlineStr">
        <is>
          <t>Lead</t>
        </is>
      </c>
      <c r="U78" s="18" t="n">
        <v>1</v>
      </c>
      <c r="V78" s="5" t="inlineStr">
        <is>
          <t>Indian Army bomb-disposal officer; formerly a street musician and waiter in London</t>
        </is>
      </c>
      <c r="W78" s="5" t="inlineStr">
        <is>
          <t>Struggling immigrant in London</t>
        </is>
      </c>
      <c r="X78" s="19" t="inlineStr">
        <is>
          <t>Samar, a struggling musician in London, falls in love with the heiress Meera, who has vowed to God not to love him; when he survives an accident, she vows never to see him again. Embittered, he joins the Indian Army and defuses bombs without protection, daring God to kill him. Ten years later the filmmaker Akira, who falls for him, reunites him with Meera after a second accident; Meera abandons her vow and Samar proposes.</t>
        </is>
      </c>
      <c r="Y78" s="19" t="inlineStr">
        <is>
          <t>Love for Meera and defiance of her God</t>
        </is>
      </c>
      <c r="Z78" s="19" t="inlineStr">
        <is>
          <t>Meera's religious vows</t>
        </is>
      </c>
      <c r="AA78" s="19" t="inlineStr">
        <is>
          <t>Carefree lover turned death-defying soldier has love restored</t>
        </is>
      </c>
      <c r="AB78" s="19" t="inlineStr">
        <is>
          <t>Heroic</t>
        </is>
      </c>
      <c r="AC78" s="5" t="inlineStr">
        <is>
          <t>Proposes to Meera in Kashmir</t>
        </is>
      </c>
      <c r="AD78" s="5" t="inlineStr">
        <is>
          <t>Katrina Kaif; Anushka Sharma</t>
        </is>
      </c>
      <c r="AE78" s="5" t="inlineStr">
        <is>
          <t>Central</t>
        </is>
      </c>
      <c r="AF78" s="18" t="n">
        <v>10</v>
      </c>
      <c r="AG78" s="19" t="inlineStr">
        <is>
          <t>Genuine incompatibility gradually resolved</t>
        </is>
      </c>
      <c r="AH78" s="21" t="n">
        <v>50</v>
      </c>
      <c r="AI78" s="5" t="n"/>
      <c r="AJ78" s="5" t="n"/>
      <c r="AK78" s="5" t="n"/>
      <c r="AL78" s="21" t="n">
        <v>235.66</v>
      </c>
      <c r="AM78" s="5" t="inlineStr">
        <is>
          <t>INR crore</t>
        </is>
      </c>
      <c r="AN78" s="5" t="inlineStr">
        <is>
          <t>Hit</t>
        </is>
      </c>
      <c r="AO78" s="20" t="n"/>
      <c r="AP78" s="19" t="inlineStr">
        <is>
          <t>Positive reviews praising Chopra's direction and the leads but criticising the predictable plot; Taran Adarsh gave 4/5 and Shubhra Gupta (The Indian Express) 2.5/5.</t>
        </is>
      </c>
      <c r="AQ78" s="19" t="inlineStr">
        <is>
          <t>Yash Chopra's final film, released after his death in October 2012. Four Filmfare Awards from seven nominations, including Best Supporting Actress (Anushka Sharma) and Best Lyricist (Gulzar, 'Challa'). Third highest-grossing Bollywood film overseas at the time.</t>
        </is>
      </c>
      <c r="AR78" s="5" t="inlineStr">
        <is>
          <t>SOURCE-001; SOURCE-080</t>
        </is>
      </c>
      <c r="AS78" s="5" t="inlineStr">
        <is>
          <t>Medium</t>
        </is>
      </c>
      <c r="AT78" s="5" t="inlineStr">
        <is>
          <t>Worldwide ₹235.66 crore from the lead. The box-office text gives India nett ₹1.02 billion after three weeks (distributor share ₹570 million) and about US$11 million overseas in 13 days.</t>
        </is>
      </c>
    </row>
    <row r="79" ht="64" customHeight="1">
      <c r="A79" s="15" t="inlineStr">
        <is>
          <t>FILM-078</t>
        </is>
      </c>
      <c r="B79" s="5" t="inlineStr">
        <is>
          <t>Bombay Talkies</t>
        </is>
      </c>
      <c r="C79" s="16" t="n">
        <v>41397</v>
      </c>
      <c r="D79" s="17" t="n">
        <v>2013</v>
      </c>
      <c r="E79" s="5" t="inlineStr">
        <is>
          <t>2010s</t>
        </is>
      </c>
      <c r="F79" s="5" t="inlineStr">
        <is>
          <t>Hindi</t>
        </is>
      </c>
      <c r="G79" s="5" t="inlineStr">
        <is>
          <t>Anthology</t>
        </is>
      </c>
      <c r="H79" s="5" t="n"/>
      <c r="I79" s="17" t="n">
        <v>128</v>
      </c>
      <c r="J79" s="5" t="inlineStr">
        <is>
          <t>Karan Johar; Dibakar Banerjee; Zoya Akhtar; Anurag Kashyap</t>
        </is>
      </c>
      <c r="K79" s="5" t="inlineStr">
        <is>
          <t>Ashi Dua</t>
        </is>
      </c>
      <c r="L79" s="5" t="inlineStr">
        <is>
          <t>Flying Unicorn Entertainment</t>
        </is>
      </c>
      <c r="M79" s="5" t="inlineStr">
        <is>
          <t>Karan Johar; Dibakar Banerjee; Zoya Akhtar; Anurag Kashyap; Reema Kagti</t>
        </is>
      </c>
      <c r="N79" s="5" t="n"/>
      <c r="O79" s="5" t="inlineStr">
        <is>
          <t>Amit Trivedi</t>
        </is>
      </c>
      <c r="P79" s="5" t="n"/>
      <c r="Q79" s="5" t="n"/>
      <c r="R79" s="5" t="inlineStr">
        <is>
          <t>Himself</t>
        </is>
      </c>
      <c r="S79" s="5" t="n"/>
      <c r="T79" s="5" t="inlineStr">
        <is>
          <t>Self appearance</t>
        </is>
      </c>
      <c r="U79" s="20" t="n"/>
      <c r="V79" s="5" t="n"/>
      <c r="W79" s="5" t="n"/>
      <c r="X79" s="19" t="inlineStr">
        <is>
          <t>Khan is one of many stars who appear in the song 'Apna Bombay Talkies' in this four-part anthology celebrating 100 years of Indian cinema, directed by Karan Johar, Dibakar Banerjee, Zoya Akhtar and Anurag Kashyap. The cast lists for the four stories do not include him.</t>
        </is>
      </c>
      <c r="Y79" s="19" t="n"/>
      <c r="Z79" s="19" t="n"/>
      <c r="AA79" s="19" t="n"/>
      <c r="AB79" s="19" t="n"/>
      <c r="AC79" s="5" t="n"/>
      <c r="AD79" s="5" t="n"/>
      <c r="AE79" s="5" t="inlineStr">
        <is>
          <t>None</t>
        </is>
      </c>
      <c r="AF79" s="18" t="n">
        <v>0</v>
      </c>
      <c r="AG79" s="19" t="inlineStr">
        <is>
          <t>No meaningful romance</t>
        </is>
      </c>
      <c r="AH79" s="21" t="n">
        <v>30</v>
      </c>
      <c r="AI79" s="5" t="n"/>
      <c r="AJ79" s="5" t="n"/>
      <c r="AK79" s="5" t="n"/>
      <c r="AL79" s="5" t="n"/>
      <c r="AM79" s="5" t="inlineStr">
        <is>
          <t>INR crore</t>
        </is>
      </c>
      <c r="AN79" s="5" t="n"/>
      <c r="AO79" s="20" t="n"/>
      <c r="AP79" s="19" t="inlineStr">
        <is>
          <t>Positive reviews; Taran Adarsh (4/5) praised the work of four top film-makers in under two hours.</t>
        </is>
      </c>
      <c r="AQ79" s="19" t="inlineStr">
        <is>
          <t>Released for the centenary of Indian cinema and screened at the 2013 Cannes Film Festival.</t>
        </is>
      </c>
      <c r="AR79" s="5" t="inlineStr">
        <is>
          <t>SOURCE-001; SOURCE-081</t>
        </is>
      </c>
      <c r="AS79" s="5" t="inlineStr">
        <is>
          <t>Medium</t>
        </is>
      </c>
      <c r="AT79" s="5" t="inlineStr">
        <is>
          <t>Infobox gross estimate of ₹10 crore is unlabelled and not entered.</t>
        </is>
      </c>
    </row>
    <row r="80" ht="109" customHeight="1">
      <c r="A80" s="15" t="inlineStr">
        <is>
          <t>FILM-079</t>
        </is>
      </c>
      <c r="B80" s="5" t="inlineStr">
        <is>
          <t>Chennai Express</t>
        </is>
      </c>
      <c r="C80" s="16" t="n">
        <v>41495</v>
      </c>
      <c r="D80" s="17" t="n">
        <v>2013</v>
      </c>
      <c r="E80" s="5" t="inlineStr">
        <is>
          <t>2010s</t>
        </is>
      </c>
      <c r="F80" s="5" t="inlineStr">
        <is>
          <t>Hindi; Tamil</t>
        </is>
      </c>
      <c r="G80" s="5" t="inlineStr">
        <is>
          <t>Action comedy</t>
        </is>
      </c>
      <c r="H80" s="5" t="inlineStr">
        <is>
          <t>Romance</t>
        </is>
      </c>
      <c r="I80" s="17" t="n">
        <v>141</v>
      </c>
      <c r="J80" s="5" t="inlineStr">
        <is>
          <t>Rohit Shetty</t>
        </is>
      </c>
      <c r="K80" s="5" t="inlineStr">
        <is>
          <t>Ronnie Screwvala; Siddharth Roy Kapur; Gauri Khan; Karim Morani</t>
        </is>
      </c>
      <c r="L80" s="5" t="inlineStr">
        <is>
          <t>UTV Motion Pictures; Red Chillies Entertainment</t>
        </is>
      </c>
      <c r="M80" s="5" t="inlineStr">
        <is>
          <t>Yunus Sajawal (screenplay); K. Subash (story)</t>
        </is>
      </c>
      <c r="N80" s="5" t="n"/>
      <c r="O80" s="5" t="inlineStr">
        <is>
          <t>Vishal–Shekhar</t>
        </is>
      </c>
      <c r="P80" s="5" t="inlineStr">
        <is>
          <t>Amar Mohile</t>
        </is>
      </c>
      <c r="Q80" s="5" t="n"/>
      <c r="R80" s="5" t="inlineStr">
        <is>
          <t>Rahul Mithaiwala</t>
        </is>
      </c>
      <c r="S80" s="5" t="n"/>
      <c r="T80" s="5" t="inlineStr">
        <is>
          <t>Lead</t>
        </is>
      </c>
      <c r="U80" s="18" t="n">
        <v>2</v>
      </c>
      <c r="V80" s="5" t="inlineStr">
        <is>
          <t>Heir to a confectionery business</t>
        </is>
      </c>
      <c r="W80" s="5" t="inlineStr">
        <is>
          <t>Rich Mumbai bachelor raised by his grandparents</t>
        </is>
      </c>
      <c r="X80" s="19" t="inlineStr">
        <is>
          <t>Rahul, a rich Mumbai bachelor, sets off to immerse his grandfather's ashes in Rameswaram while planning a Goa holiday, and ends up on the Chennai Express helping Meenamma, a crime boss's daughter fleeing a forced marriage. Presented as her lover, he is hunted by her father's men and her intended groom Tangaballi. After fleeing through Tamil Nadu with her and scattering the ashes, he returns to fight Tangaballi and wins her father's consent.</t>
        </is>
      </c>
      <c r="Y80" s="19" t="inlineStr">
        <is>
          <t>Escaping trouble, then fighting for Meenamma</t>
        </is>
      </c>
      <c r="Z80" s="19" t="inlineStr">
        <is>
          <t>Her father's arranged match with Tangaballi</t>
        </is>
      </c>
      <c r="AA80" s="19" t="inlineStr">
        <is>
          <t>Cowardly bachelor becomes a courageous common man</t>
        </is>
      </c>
      <c r="AB80" s="19" t="inlineStr">
        <is>
          <t>Heroic</t>
        </is>
      </c>
      <c r="AC80" s="5" t="inlineStr">
        <is>
          <t>Wins the right to marry Meenamma</t>
        </is>
      </c>
      <c r="AD80" s="5" t="inlineStr">
        <is>
          <t>Deepika Padukone</t>
        </is>
      </c>
      <c r="AE80" s="5" t="inlineStr">
        <is>
          <t>Central</t>
        </is>
      </c>
      <c r="AF80" s="18" t="n">
        <v>8</v>
      </c>
      <c r="AG80" s="19" t="inlineStr">
        <is>
          <t>Playful conflict masking attraction</t>
        </is>
      </c>
      <c r="AH80" s="21" t="n">
        <v>115</v>
      </c>
      <c r="AI80" s="5" t="n"/>
      <c r="AJ80" s="5" t="n"/>
      <c r="AK80" s="5" t="n"/>
      <c r="AL80" s="21" t="n">
        <v>424</v>
      </c>
      <c r="AM80" s="5" t="inlineStr">
        <is>
          <t>INR crore</t>
        </is>
      </c>
      <c r="AN80" s="5" t="n"/>
      <c r="AO80" s="20" t="n"/>
      <c r="AP80" s="19" t="inlineStr">
        <is>
          <t>Mixed reviews; Taran Adarsh and Rachit Gupta (Filmfare) each gave it 4/5 as an entertaining masala film.</t>
        </is>
      </c>
      <c r="AQ80" s="19" t="inlineStr">
        <is>
          <t>Became the highest-grossing Bollywood film worldwide at the time, breaking the record set by 3 Idiots.</t>
        </is>
      </c>
      <c r="AR80" s="5" t="inlineStr">
        <is>
          <t>SOURCE-001; SOURCE-082</t>
        </is>
      </c>
      <c r="AS80" s="5" t="inlineStr">
        <is>
          <t>Medium</t>
        </is>
      </c>
      <c r="AT80" s="5" t="inlineStr">
        <is>
          <t>Final worldwide gross ₹424 crore (US$72.31 million); Box Office India's record-setting figure at the time was ₹396 crore. No verdict label found.</t>
        </is>
      </c>
    </row>
    <row r="81" ht="64" customHeight="1">
      <c r="A81" s="15" t="inlineStr">
        <is>
          <t>FILM-080</t>
        </is>
      </c>
      <c r="B81" s="5" t="inlineStr">
        <is>
          <t>Bhoothnath Returns</t>
        </is>
      </c>
      <c r="C81" s="16" t="n">
        <v>41740</v>
      </c>
      <c r="D81" s="17" t="n">
        <v>2014</v>
      </c>
      <c r="E81" s="5" t="inlineStr">
        <is>
          <t>2010s</t>
        </is>
      </c>
      <c r="F81" s="5" t="inlineStr">
        <is>
          <t>Hindi</t>
        </is>
      </c>
      <c r="G81" s="5" t="inlineStr">
        <is>
          <t>Supernatural political comedy</t>
        </is>
      </c>
      <c r="H81" s="5" t="n"/>
      <c r="I81" s="17" t="n">
        <v>155</v>
      </c>
      <c r="J81" s="5" t="inlineStr">
        <is>
          <t>Nitesh Tiwari</t>
        </is>
      </c>
      <c r="K81" s="5" t="inlineStr">
        <is>
          <t>Bhushan Kumar; Krishan Kumar; Renu Ravi Chopra</t>
        </is>
      </c>
      <c r="L81" s="5" t="inlineStr">
        <is>
          <t>T-Series Films; B. R. Films</t>
        </is>
      </c>
      <c r="M81" s="5" t="inlineStr">
        <is>
          <t>Nitesh Tiwari; Piyush Gupta; Shreyas Jain</t>
        </is>
      </c>
      <c r="N81" s="5" t="n"/>
      <c r="O81" s="5" t="inlineStr">
        <is>
          <t>Ram Sampath; Yo Yo Honey Singh; Palash Muchhal; Meet Bros Anjjan</t>
        </is>
      </c>
      <c r="P81" s="5" t="n"/>
      <c r="Q81" s="5" t="n"/>
      <c r="R81" s="5" t="inlineStr">
        <is>
          <t>Aditya "Adi" Sharma</t>
        </is>
      </c>
      <c r="S81" s="5" t="n"/>
      <c r="T81" s="5" t="inlineStr">
        <is>
          <t>Cameo</t>
        </is>
      </c>
      <c r="U81" s="20" t="n"/>
      <c r="V81" s="5" t="n"/>
      <c r="W81" s="5" t="n"/>
      <c r="X81" s="19" t="inlineStr">
        <is>
          <t>Khan reprises Aditya Sharma from Bhoothnath in a cameo in this sequel, in which the ghost Bhoothnath, mocked in the ghost world for failing to scare children, returns to India and contests an election with the help of a boy, Akhrot. The sources consulted do not describe Khan's scene.</t>
        </is>
      </c>
      <c r="Y81" s="19" t="n"/>
      <c r="Z81" s="19" t="n"/>
      <c r="AA81" s="19" t="n"/>
      <c r="AB81" s="19" t="n"/>
      <c r="AC81" s="5" t="n"/>
      <c r="AD81" s="5" t="n"/>
      <c r="AE81" s="5" t="inlineStr">
        <is>
          <t>None</t>
        </is>
      </c>
      <c r="AF81" s="18" t="n">
        <v>0</v>
      </c>
      <c r="AG81" s="19" t="inlineStr">
        <is>
          <t>No meaningful romance</t>
        </is>
      </c>
      <c r="AH81" s="21" t="n">
        <v>40</v>
      </c>
      <c r="AI81" s="5" t="n"/>
      <c r="AJ81" s="5" t="n"/>
      <c r="AK81" s="5" t="n"/>
      <c r="AL81" s="5" t="n"/>
      <c r="AM81" s="5" t="inlineStr">
        <is>
          <t>INR crore</t>
        </is>
      </c>
      <c r="AN81" s="5" t="inlineStr">
        <is>
          <t>Profitable</t>
        </is>
      </c>
      <c r="AO81" s="20" t="n"/>
      <c r="AP81" s="19" t="inlineStr">
        <is>
          <t>Taran Adarsh (3.5/5) said it is made with noble intentions and its message resonates in the second half.</t>
        </is>
      </c>
      <c r="AQ81" s="19" t="inlineStr">
        <is>
          <t>The Election Commission of India urged tax-free status for its voter-awareness message.</t>
        </is>
      </c>
      <c r="AR81" s="5" t="inlineStr">
        <is>
          <t>SOURCE-001; SOURCE-083</t>
        </is>
      </c>
      <c r="AS81" s="5" t="inlineStr">
        <is>
          <t>Medium</t>
        </is>
      </c>
      <c r="AT81" s="5" t="inlineStr">
        <is>
          <t>Collected ₹30 crore in India and ₹2 crore overseas by 20 April 2014 (unlabelled); satellite rights sold for ₹21 crore, which made it profitable for the producers.</t>
        </is>
      </c>
    </row>
    <row r="82" ht="109" customHeight="1">
      <c r="A82" s="15" t="inlineStr">
        <is>
          <t>FILM-081</t>
        </is>
      </c>
      <c r="B82" s="5" t="inlineStr">
        <is>
          <t>Happy New Year</t>
        </is>
      </c>
      <c r="C82" s="16" t="n">
        <v>41936</v>
      </c>
      <c r="D82" s="17" t="n">
        <v>2014</v>
      </c>
      <c r="E82" s="5" t="inlineStr">
        <is>
          <t>2010s</t>
        </is>
      </c>
      <c r="F82" s="5" t="inlineStr">
        <is>
          <t>Hindi</t>
        </is>
      </c>
      <c r="G82" s="5" t="inlineStr">
        <is>
          <t>Heist action comedy</t>
        </is>
      </c>
      <c r="H82" s="5" t="n"/>
      <c r="I82" s="17" t="n">
        <v>178</v>
      </c>
      <c r="J82" s="5" t="inlineStr">
        <is>
          <t>Farah Khan</t>
        </is>
      </c>
      <c r="K82" s="5" t="inlineStr">
        <is>
          <t>Gauri Khan</t>
        </is>
      </c>
      <c r="L82" s="5" t="inlineStr">
        <is>
          <t>Red Chillies Entertainment</t>
        </is>
      </c>
      <c r="M82" s="5" t="inlineStr">
        <is>
          <t>Farah Khan; Althea Kaushal</t>
        </is>
      </c>
      <c r="N82" s="5" t="n"/>
      <c r="O82" s="5" t="inlineStr">
        <is>
          <t>Vishal–Shekhar</t>
        </is>
      </c>
      <c r="P82" s="5" t="n"/>
      <c r="Q82" s="5" t="n"/>
      <c r="R82" s="5" t="inlineStr">
        <is>
          <t>Chandramohan "Charlie" Manohar Sharma</t>
        </is>
      </c>
      <c r="S82" s="5" t="n"/>
      <c r="T82" s="5" t="inlineStr">
        <is>
          <t>Lead</t>
        </is>
      </c>
      <c r="U82" s="18" t="n">
        <v>2</v>
      </c>
      <c r="V82" s="5" t="inlineStr">
        <is>
          <t>Street fighter</t>
        </is>
      </c>
      <c r="W82" s="5" t="inlineStr">
        <is>
          <t>Son of a safe designer framed by the tycoon Charan Grover</t>
        </is>
      </c>
      <c r="X82" s="19" t="inlineStr">
        <is>
          <t>Charlie, a small-time street fighter, spends eight years plotting revenge on the tycoon Charan Grover, who framed his father and drove him to suicide in prison. He assembles a team of misfits and a bar dancer, Mohini, to enter a world dance championship in Dubai as cover for stealing Grover's diamonds from the vault beneath the venue. The heist succeeds, Grover is framed and arrested, the team wins, and Charlie proposes to Mohini.</t>
        </is>
      </c>
      <c r="Y82" s="19" t="inlineStr">
        <is>
          <t>Avenging his father</t>
        </is>
      </c>
      <c r="Z82" s="19" t="inlineStr">
        <is>
          <t>Charan Grover's power</t>
        </is>
      </c>
      <c r="AA82" s="19" t="inlineStr">
        <is>
          <t>Vengeful loner finds a team and love</t>
        </is>
      </c>
      <c r="AB82" s="19" t="inlineStr">
        <is>
          <t>Flawed but good-hearted</t>
        </is>
      </c>
      <c r="AC82" s="5" t="inlineStr">
        <is>
          <t>Grover is arrested; Charlie proposes to Mohini</t>
        </is>
      </c>
      <c r="AD82" s="5" t="inlineStr">
        <is>
          <t>Deepika Padukone</t>
        </is>
      </c>
      <c r="AE82" s="5" t="inlineStr">
        <is>
          <t>Secondary</t>
        </is>
      </c>
      <c r="AF82" s="18" t="n">
        <v>3</v>
      </c>
      <c r="AG82" s="19" t="inlineStr">
        <is>
          <t>Romance subordinate to another genre</t>
        </is>
      </c>
      <c r="AH82" s="5" t="inlineStr">
        <is>
          <t>₹140–150 crore</t>
        </is>
      </c>
      <c r="AI82" s="5" t="n"/>
      <c r="AJ82" s="5" t="n"/>
      <c r="AK82" s="5" t="n"/>
      <c r="AL82" s="5" t="inlineStr">
        <is>
          <t>₹342–394 crore</t>
        </is>
      </c>
      <c r="AM82" s="5" t="inlineStr">
        <is>
          <t>INR crore</t>
        </is>
      </c>
      <c r="AN82" s="5" t="n"/>
      <c r="AO82" s="20" t="n"/>
      <c r="AP82" s="19" t="inlineStr">
        <is>
          <t>Mixed reviews (57% on Rotten Tomatoes): Rajeev Masand gave 2.5/5; Mihir Fadnavis (Firstpost) called it 'Ocean's 11 rewritten by baboons'.</t>
        </is>
      </c>
      <c r="AQ82" s="19" t="inlineStr">
        <is>
          <t>Record opening day of ₹44.99 crore, the first Bollywood film to reach that figure in a single day.</t>
        </is>
      </c>
      <c r="AR82" s="5" t="inlineStr">
        <is>
          <t>SOURCE-001; SOURCE-084</t>
        </is>
      </c>
      <c r="AS82" s="5" t="inlineStr">
        <is>
          <t>Medium</t>
        </is>
      </c>
      <c r="AT82" s="5" t="inlineStr">
        <is>
          <t>Budget ₹140 crore in the lead, ₹150 crore in the infobox; worldwide gross ₹394 crore in the box-office section, ₹342 crore in the infobox; hence the ranges. No verdict label found.</t>
        </is>
      </c>
    </row>
    <row r="83" ht="94" customHeight="1">
      <c r="A83" s="15" t="inlineStr">
        <is>
          <t>FILM-082</t>
        </is>
      </c>
      <c r="B83" s="5" t="inlineStr">
        <is>
          <t>Dilwale</t>
        </is>
      </c>
      <c r="C83" s="16" t="n">
        <v>42356</v>
      </c>
      <c r="D83" s="17" t="n">
        <v>2015</v>
      </c>
      <c r="E83" s="5" t="inlineStr">
        <is>
          <t>2010s</t>
        </is>
      </c>
      <c r="F83" s="5" t="inlineStr">
        <is>
          <t>Hindi</t>
        </is>
      </c>
      <c r="G83" s="5" t="inlineStr">
        <is>
          <t>Romantic action comedy</t>
        </is>
      </c>
      <c r="H83" s="5" t="n"/>
      <c r="I83" s="17" t="n">
        <v>154</v>
      </c>
      <c r="J83" s="5" t="inlineStr">
        <is>
          <t>Rohit Shetty</t>
        </is>
      </c>
      <c r="K83" s="5" t="inlineStr">
        <is>
          <t>Gauri Khan; Rohit Shetty</t>
        </is>
      </c>
      <c r="L83" s="5" t="inlineStr">
        <is>
          <t>Red Chillies Entertainment; Rohit Shetty Productions</t>
        </is>
      </c>
      <c r="M83" s="5" t="inlineStr">
        <is>
          <t>Yunus Sajawal (screenplay); K. Subash (story)</t>
        </is>
      </c>
      <c r="N83" s="5" t="n"/>
      <c r="O83" s="5" t="inlineStr">
        <is>
          <t>Pritam</t>
        </is>
      </c>
      <c r="P83" s="5" t="inlineStr">
        <is>
          <t>Amar Mohile</t>
        </is>
      </c>
      <c r="Q83" s="5" t="inlineStr">
        <is>
          <t>Amitabh Bhattacharya</t>
        </is>
      </c>
      <c r="R83" s="5" t="inlineStr">
        <is>
          <t>Raj "Kaali" Bakshi</t>
        </is>
      </c>
      <c r="S83" s="5" t="inlineStr">
        <is>
          <t>Hides his past as the gangster Kaali</t>
        </is>
      </c>
      <c r="T83" s="5" t="inlineStr">
        <is>
          <t>Lead</t>
        </is>
      </c>
      <c r="U83" s="18" t="n">
        <v>1</v>
      </c>
      <c r="V83" s="5" t="inlineStr">
        <is>
          <t>Car tuner in Goa; formerly a gang enforcer in Sofia</t>
        </is>
      </c>
      <c r="W83" s="5" t="inlineStr">
        <is>
          <t>Adopted son of the Bulgaria-based crime boss Randhir Bakshi</t>
        </is>
      </c>
      <c r="X83" s="19" t="inlineStr">
        <is>
          <t>Raj runs a car-modification garage in Goa with his younger brother Veer, hiding his past as Kaali, the adopted son of a crime boss in Sofia. Fifteen years earlier he loved Meera, daughter of his father's rival, until their fathers killed each other and she shot him, believing he had betrayed her. When Veer falls for Meera's sister Ishita, the lovers meet again; the truth emerges, and Meera takes a bullet for Raj.</t>
        </is>
      </c>
      <c r="Y83" s="19" t="inlineStr">
        <is>
          <t>Protecting Veer, then reclaiming Meera</t>
        </is>
      </c>
      <c r="Z83" s="19" t="inlineStr">
        <is>
          <t>Meera's mistrust and the drug baron King</t>
        </is>
      </c>
      <c r="AA83" s="19" t="inlineStr">
        <is>
          <t>Wounded ex-gangster forgives and reunites with his lost love</t>
        </is>
      </c>
      <c r="AB83" s="19" t="inlineStr">
        <is>
          <t>Heroic</t>
        </is>
      </c>
      <c r="AC83" s="5" t="inlineStr">
        <is>
          <t>Reunites with Meera</t>
        </is>
      </c>
      <c r="AD83" s="5" t="inlineStr">
        <is>
          <t>Kajol; Kriti Sanon</t>
        </is>
      </c>
      <c r="AE83" s="5" t="inlineStr">
        <is>
          <t>Central</t>
        </is>
      </c>
      <c r="AF83" s="18" t="n">
        <v>7</v>
      </c>
      <c r="AG83" s="19" t="inlineStr">
        <is>
          <t>Relationship damaged by mistrust</t>
        </is>
      </c>
      <c r="AH83" s="21" t="n">
        <v>165</v>
      </c>
      <c r="AI83" s="5" t="n"/>
      <c r="AJ83" s="5" t="n"/>
      <c r="AK83" s="5" t="n"/>
      <c r="AL83" s="21" t="n">
        <v>376.85</v>
      </c>
      <c r="AM83" s="5" t="inlineStr">
        <is>
          <t>INR crore</t>
        </is>
      </c>
      <c r="AN83" s="5" t="inlineStr">
        <is>
          <t>Commercial success</t>
        </is>
      </c>
      <c r="AO83" s="20" t="inlineStr">
        <is>
          <t>3 (Hindi, 2015)</t>
        </is>
      </c>
      <c r="AP83" s="19" t="inlineStr">
        <is>
          <t>Mixed reviews praising the Khan–Kajol chemistry but criticising the screenplay and runtime (20% on Rotten Tomatoes); Taran Adarsh gave 4/5.</t>
        </is>
      </c>
      <c r="AQ83" s="19" t="inlineStr">
        <is>
          <t>Five Filmfare nominations, including Best Actor (Khan) and Best Actress (Kajol); 'Gerua' won Song of the Year at the Mirchi Music Awards. Vinod Khanna's final film.</t>
        </is>
      </c>
      <c r="AR83" s="5" t="inlineStr">
        <is>
          <t>SOURCE-001; SOURCE-085</t>
        </is>
      </c>
      <c r="AS83" s="5" t="inlineStr">
        <is>
          <t>Medium</t>
        </is>
      </c>
      <c r="AT83" s="5" t="inlineStr">
        <is>
          <t>Domestic nett about ₹127 crore after two weeks; worldwide opening weekend ₹130 crore.</t>
        </is>
      </c>
    </row>
    <row r="84" ht="94" customHeight="1">
      <c r="A84" s="15" t="inlineStr">
        <is>
          <t>FILM-083</t>
        </is>
      </c>
      <c r="B84" s="5" t="inlineStr">
        <is>
          <t>Fan</t>
        </is>
      </c>
      <c r="C84" s="16" t="n">
        <v>42475</v>
      </c>
      <c r="D84" s="17" t="n">
        <v>2016</v>
      </c>
      <c r="E84" s="5" t="inlineStr">
        <is>
          <t>2010s</t>
        </is>
      </c>
      <c r="F84" s="5" t="inlineStr">
        <is>
          <t>Hindi</t>
        </is>
      </c>
      <c r="G84" s="5" t="inlineStr">
        <is>
          <t>Action thriller drama</t>
        </is>
      </c>
      <c r="H84" s="5" t="n"/>
      <c r="I84" s="17" t="n">
        <v>138</v>
      </c>
      <c r="J84" s="5" t="inlineStr">
        <is>
          <t>Maneesh Sharma</t>
        </is>
      </c>
      <c r="K84" s="5" t="inlineStr">
        <is>
          <t>Aditya Chopra</t>
        </is>
      </c>
      <c r="L84" s="5" t="inlineStr">
        <is>
          <t>Yash Raj Films</t>
        </is>
      </c>
      <c r="M84" s="5" t="inlineStr">
        <is>
          <t>Habib Faisal (screenplay); Maneesh Sharma (story)</t>
        </is>
      </c>
      <c r="N84" s="5" t="n"/>
      <c r="O84" s="5" t="inlineStr">
        <is>
          <t>Vishal–Shekhar</t>
        </is>
      </c>
      <c r="P84" s="5" t="inlineStr">
        <is>
          <t>Andrea Guerra</t>
        </is>
      </c>
      <c r="Q84" s="5" t="n"/>
      <c r="R84" s="5" t="inlineStr">
        <is>
          <t>Aryan Khanna</t>
        </is>
      </c>
      <c r="S84" s="5" t="inlineStr">
        <is>
          <t>Double role: his obsessive fan and lookalike Gaurav Chandna</t>
        </is>
      </c>
      <c r="T84" s="5" t="inlineStr">
        <is>
          <t>Lead</t>
        </is>
      </c>
      <c r="U84" s="18" t="n">
        <v>1</v>
      </c>
      <c r="V84" s="5" t="inlineStr">
        <is>
          <t>Bollywood superstar (Aryan); internet-café owner (Gaurav)</t>
        </is>
      </c>
      <c r="W84" s="5" t="inlineStr">
        <is>
          <t>Mumbai film star; Gaurav is a middle-class Delhi fan</t>
        </is>
      </c>
      <c r="X84" s="19" t="inlineStr">
        <is>
          <t>Gaurav, a Delhi fan who resembles the superstar Aryan Khanna, beats up a rival actor as a birthday gift for his idol, but Aryan has him jailed and dismisses him. Heartbroken, Gaurav impersonates Aryan in London and Croatia to destroy his reputation, invades his home and demands an apology. Aryan tracks him to Delhi and subdues him; unwilling to live as anyone but his fan, Gaurav throws himself off a roof, leaving Aryan haunted.</t>
        </is>
      </c>
      <c r="Y84" s="19" t="inlineStr">
        <is>
          <t>Aryan: protecting his name; Gaurav: recognition from his idol</t>
        </is>
      </c>
      <c r="Z84" s="19" t="inlineStr">
        <is>
          <t>The fan's campaign of revenge</t>
        </is>
      </c>
      <c r="AA84" s="19" t="inlineStr">
        <is>
          <t>Superstar confronts the dark side of fandom</t>
        </is>
      </c>
      <c r="AB84" s="19" t="inlineStr">
        <is>
          <t>Ambiguous</t>
        </is>
      </c>
      <c r="AC84" s="5" t="inlineStr">
        <is>
          <t>Gaurav dies; Aryan is cleared but haunted</t>
        </is>
      </c>
      <c r="AD84" s="5" t="n"/>
      <c r="AE84" s="5" t="inlineStr">
        <is>
          <t>Minor</t>
        </is>
      </c>
      <c r="AF84" s="18" t="n">
        <v>1</v>
      </c>
      <c r="AG84" s="19" t="inlineStr">
        <is>
          <t>Romance subordinate to another genre</t>
        </is>
      </c>
      <c r="AH84" s="21" t="n">
        <v>105</v>
      </c>
      <c r="AI84" s="5" t="n"/>
      <c r="AJ84" s="21" t="n">
        <v>120</v>
      </c>
      <c r="AK84" s="5" t="n"/>
      <c r="AL84" s="21" t="n">
        <v>188.4</v>
      </c>
      <c r="AM84" s="5" t="inlineStr">
        <is>
          <t>INR crore</t>
        </is>
      </c>
      <c r="AN84" s="5" t="n"/>
      <c r="AO84" s="20" t="n"/>
      <c r="AP84" s="19" t="inlineStr">
        <is>
          <t>Mixed-to-positive reviews praising Khan's double performance, the visual effects and action but criticising the loose script; Raja Sen (Rediff.com, 4.5/5) called it 'a brilliant film with Shah Rukh Khan at his best'.</t>
        </is>
      </c>
      <c r="AQ84" s="19" t="inlineStr">
        <is>
          <t>Filmfare Award for Best Special Effects (Red Chillies VFX). Released without songs.</t>
        </is>
      </c>
      <c r="AR84" s="5" t="inlineStr">
        <is>
          <t>SOURCE-001; SOURCE-086</t>
        </is>
      </c>
      <c r="AS84" s="5" t="inlineStr">
        <is>
          <t>Medium</t>
        </is>
      </c>
      <c r="AT84" s="5" t="inlineStr">
        <is>
          <t>India gross ₹120 crore after an 85 per cent second-week drop; overseas over US$10 million. No Romances row: Gaurav's crush on Neha is a minor strand.</t>
        </is>
      </c>
    </row>
    <row r="85" ht="64" customHeight="1">
      <c r="A85" s="15" t="inlineStr">
        <is>
          <t>FILM-084</t>
        </is>
      </c>
      <c r="B85" s="5" t="inlineStr">
        <is>
          <t>Ae Dil Hai Mushkil</t>
        </is>
      </c>
      <c r="C85" s="16" t="n">
        <v>42671</v>
      </c>
      <c r="D85" s="17" t="n">
        <v>2016</v>
      </c>
      <c r="E85" s="5" t="inlineStr">
        <is>
          <t>2010s</t>
        </is>
      </c>
      <c r="F85" s="5" t="inlineStr">
        <is>
          <t>Hindi</t>
        </is>
      </c>
      <c r="G85" s="5" t="inlineStr">
        <is>
          <t>Musical romantic drama</t>
        </is>
      </c>
      <c r="H85" s="5" t="n"/>
      <c r="I85" s="17" t="n">
        <v>160</v>
      </c>
      <c r="J85" s="5" t="inlineStr">
        <is>
          <t>Karan Johar</t>
        </is>
      </c>
      <c r="K85" s="5" t="inlineStr">
        <is>
          <t>Hiroo Yash Johar; Karan Johar; Apoorva Mehta</t>
        </is>
      </c>
      <c r="L85" s="5" t="inlineStr">
        <is>
          <t>Dharma Productions</t>
        </is>
      </c>
      <c r="M85" s="5" t="inlineStr">
        <is>
          <t>Karan Johar; Niranjan Iyengar (dialogues)</t>
        </is>
      </c>
      <c r="N85" s="5" t="n"/>
      <c r="O85" s="5" t="inlineStr">
        <is>
          <t>Pritam</t>
        </is>
      </c>
      <c r="P85" s="5" t="n"/>
      <c r="Q85" s="5" t="inlineStr">
        <is>
          <t>Amitabh Bhattacharya</t>
        </is>
      </c>
      <c r="R85" s="5" t="inlineStr">
        <is>
          <t>Tahir Taliyar Khan</t>
        </is>
      </c>
      <c r="S85" s="5" t="n"/>
      <c r="T85" s="5" t="inlineStr">
        <is>
          <t>Cameo</t>
        </is>
      </c>
      <c r="U85" s="20" t="n"/>
      <c r="V85" s="5" t="n"/>
      <c r="W85" s="5" t="n"/>
      <c r="X85" s="19" t="inlineStr">
        <is>
          <t>Khan makes a cameo as Tahir Taliyar Khan, the ex-husband of Saba, the poet with whom the hero Ayan has an affair, in Karan Johar's drama of unrequited love. The sources consulted identify the role but do not describe his scene.</t>
        </is>
      </c>
      <c r="Y85" s="19" t="n"/>
      <c r="Z85" s="19" t="n"/>
      <c r="AA85" s="19" t="n"/>
      <c r="AB85" s="19" t="n"/>
      <c r="AC85" s="5" t="n"/>
      <c r="AD85" s="5" t="n"/>
      <c r="AE85" s="5" t="inlineStr">
        <is>
          <t>None</t>
        </is>
      </c>
      <c r="AF85" s="18" t="n">
        <v>0</v>
      </c>
      <c r="AG85" s="19" t="inlineStr">
        <is>
          <t>No meaningful romance</t>
        </is>
      </c>
      <c r="AH85" s="21" t="n">
        <v>50</v>
      </c>
      <c r="AI85" s="5" t="n"/>
      <c r="AJ85" s="5" t="n"/>
      <c r="AK85" s="5" t="n"/>
      <c r="AL85" s="21" t="n">
        <v>237.56</v>
      </c>
      <c r="AM85" s="5" t="inlineStr">
        <is>
          <t>INR crore</t>
        </is>
      </c>
      <c r="AN85" s="5" t="n"/>
      <c r="AO85" s="20" t="n"/>
      <c r="AP85" s="19" t="inlineStr">
        <is>
          <t>Mixed reviews praising the direction, music and the performances of Sharma, Kapoor and Rai but criticising the story (53% on Rotten Tomatoes).</t>
        </is>
      </c>
      <c r="AQ85" s="19" t="inlineStr">
        <is>
          <t>Pritam's soundtrack was an instant success.</t>
        </is>
      </c>
      <c r="AR85" s="5" t="inlineStr">
        <is>
          <t>SOURCE-001; SOURCE-087</t>
        </is>
      </c>
      <c r="AS85" s="5" t="inlineStr">
        <is>
          <t>Medium</t>
        </is>
      </c>
      <c r="AT85" s="5" t="inlineStr">
        <is>
          <t>Budget of over ₹50 crore including marketing and distribution; ₹75 crore recouped from music, satellite and digital rights before release.</t>
        </is>
      </c>
    </row>
    <row r="86" ht="109" customHeight="1">
      <c r="A86" s="15" t="inlineStr">
        <is>
          <t>FILM-085</t>
        </is>
      </c>
      <c r="B86" s="5" t="inlineStr">
        <is>
          <t>Dear Zindagi</t>
        </is>
      </c>
      <c r="C86" s="16" t="n">
        <v>42699</v>
      </c>
      <c r="D86" s="17" t="n">
        <v>2016</v>
      </c>
      <c r="E86" s="5" t="inlineStr">
        <is>
          <t>2010s</t>
        </is>
      </c>
      <c r="F86" s="5" t="inlineStr">
        <is>
          <t>Hindi</t>
        </is>
      </c>
      <c r="G86" s="5" t="inlineStr">
        <is>
          <t>Coming-of-age comedy-drama</t>
        </is>
      </c>
      <c r="H86" s="5" t="n"/>
      <c r="I86" s="17" t="n">
        <v>150</v>
      </c>
      <c r="J86" s="5" t="inlineStr">
        <is>
          <t>Gauri Shinde</t>
        </is>
      </c>
      <c r="K86" s="5" t="inlineStr">
        <is>
          <t>Gauri Khan; Karan Johar; Gauri Shinde</t>
        </is>
      </c>
      <c r="L86" s="5" t="inlineStr">
        <is>
          <t>Red Chillies Entertainment; Dharma Productions; Hope Productions</t>
        </is>
      </c>
      <c r="M86" s="5" t="inlineStr">
        <is>
          <t>Gauri Shinde</t>
        </is>
      </c>
      <c r="N86" s="5" t="n"/>
      <c r="O86" s="5" t="inlineStr">
        <is>
          <t>Amit Trivedi</t>
        </is>
      </c>
      <c r="P86" s="5" t="n"/>
      <c r="Q86" s="5" t="inlineStr">
        <is>
          <t>Kausar Munir</t>
        </is>
      </c>
      <c r="R86" s="5" t="inlineStr">
        <is>
          <t>Dr. Jehangir "Jug" Khan</t>
        </is>
      </c>
      <c r="S86" s="5" t="n"/>
      <c r="T86" s="5" t="inlineStr">
        <is>
          <t>Co-lead</t>
        </is>
      </c>
      <c r="U86" s="18" t="n">
        <v>2</v>
      </c>
      <c r="V86" s="5" t="inlineStr">
        <is>
          <t>Psychologist</t>
        </is>
      </c>
      <c r="W86" s="5" t="inlineStr">
        <is>
          <t>Free-spirited therapist in Goa</t>
        </is>
      </c>
      <c r="X86" s="19" t="inlineStr">
        <is>
          <t>Jug, an unconventional psychologist in Goa, treats Kaira, a young cinematographer with insomnia who ends relationships before she can be abandoned. Through playful sessions he helps her trace her fears to being left with her grandparents as a child and to see her parents as fallible people. When Kaira admits she has feelings for him, he explains that such feelings are common in therapy, declines a relationship and parts from her warmly.</t>
        </is>
      </c>
      <c r="Y86" s="19" t="inlineStr">
        <is>
          <t>Helping Kaira understand herself</t>
        </is>
      </c>
      <c r="Z86" s="19" t="inlineStr">
        <is>
          <t>Kaira's fear of abandonment</t>
        </is>
      </c>
      <c r="AA86" s="19" t="inlineStr">
        <is>
          <t>Steady guide who holds professional boundaries</t>
        </is>
      </c>
      <c r="AB86" s="19" t="inlineStr">
        <is>
          <t>Heroic</t>
        </is>
      </c>
      <c r="AC86" s="5" t="inlineStr">
        <is>
          <t>Ends the therapy; Kaira reconciles with her parents and moves on</t>
        </is>
      </c>
      <c r="AD86" s="5" t="inlineStr">
        <is>
          <t>Alia Bhatt</t>
        </is>
      </c>
      <c r="AE86" s="5" t="inlineStr">
        <is>
          <t>Implied</t>
        </is>
      </c>
      <c r="AF86" s="18" t="n">
        <v>1</v>
      </c>
      <c r="AG86" s="19" t="inlineStr">
        <is>
          <t>No meaningful romance</t>
        </is>
      </c>
      <c r="AH86" s="21" t="n">
        <v>22</v>
      </c>
      <c r="AI86" s="5" t="n"/>
      <c r="AJ86" s="5" t="n"/>
      <c r="AK86" s="5" t="n"/>
      <c r="AL86" s="21" t="n">
        <v>138.91</v>
      </c>
      <c r="AM86" s="5" t="inlineStr">
        <is>
          <t>INR crore</t>
        </is>
      </c>
      <c r="AN86" s="5" t="inlineStr">
        <is>
          <t>Commercial success</t>
        </is>
      </c>
      <c r="AO86" s="20" t="n"/>
      <c r="AP86" s="19" t="inlineStr">
        <is>
          <t>Positive reviews (73% on Rotten Tomatoes). Namrata Joshi (The Hindu) wrote that 'the chemistry between Bhatt and Khan makes the film sparkle'; Shubhra Gupta (The Indian Express) found it boiler-plate; Andy Webster (The New York Times) called it 'a resounding victory'.</t>
        </is>
      </c>
      <c r="AQ86" s="19" t="inlineStr">
        <is>
          <t>Filmfare nominations for Best Actress (Bhatt) and Best Lyricist (Kausar Munir).</t>
        </is>
      </c>
      <c r="AR86" s="5" t="inlineStr">
        <is>
          <t>SOURCE-001; SOURCE-088</t>
        </is>
      </c>
      <c r="AS86" s="5" t="inlineStr">
        <is>
          <t>Medium</t>
        </is>
      </c>
      <c r="AT86" s="5" t="inlineStr">
        <is>
          <t>Released 23 November 2016 in North America and 25 November worldwide. No Romances row: Kaira's feelings for her therapist are treated as transference and declined, and Jug has no romantic function.</t>
        </is>
      </c>
    </row>
    <row r="87" ht="109" customHeight="1">
      <c r="A87" s="15" t="inlineStr">
        <is>
          <t>FILM-086</t>
        </is>
      </c>
      <c r="B87" s="5" t="inlineStr">
        <is>
          <t>Raees</t>
        </is>
      </c>
      <c r="C87" s="16" t="n">
        <v>42760</v>
      </c>
      <c r="D87" s="17" t="n">
        <v>2017</v>
      </c>
      <c r="E87" s="5" t="inlineStr">
        <is>
          <t>2010s</t>
        </is>
      </c>
      <c r="F87" s="5" t="inlineStr">
        <is>
          <t>Hindi</t>
        </is>
      </c>
      <c r="G87" s="5" t="inlineStr">
        <is>
          <t>Gangster action</t>
        </is>
      </c>
      <c r="H87" s="5" t="n"/>
      <c r="I87" s="17" t="n">
        <v>143</v>
      </c>
      <c r="J87" s="5" t="inlineStr">
        <is>
          <t>Rahul Dholakia</t>
        </is>
      </c>
      <c r="K87" s="5" t="inlineStr">
        <is>
          <t>Ritesh Sidhwani; Farhan Akhtar; Gauri Khan</t>
        </is>
      </c>
      <c r="L87" s="5" t="inlineStr">
        <is>
          <t>Red Chillies Entertainment; Excel Entertainment</t>
        </is>
      </c>
      <c r="M87" s="5" t="inlineStr">
        <is>
          <t>Rahul Dholakia; Harit Mehta; Ashish Vashi; Niraj Shukla</t>
        </is>
      </c>
      <c r="N87" s="5" t="inlineStr">
        <is>
          <t>Reported to be based on the criminal Abdul Latif, which the makers denied</t>
        </is>
      </c>
      <c r="O87" s="5" t="inlineStr">
        <is>
          <t>Ram Sampath; JAM8</t>
        </is>
      </c>
      <c r="P87" s="5" t="n"/>
      <c r="Q87" s="5" t="n"/>
      <c r="R87" s="5" t="inlineStr">
        <is>
          <t>Raees Alam</t>
        </is>
      </c>
      <c r="S87" s="5" t="n"/>
      <c r="T87" s="5" t="inlineStr">
        <is>
          <t>Lead</t>
        </is>
      </c>
      <c r="U87" s="18" t="n">
        <v>1</v>
      </c>
      <c r="V87" s="5" t="inlineStr">
        <is>
          <t>Bootlegger; later MLA</t>
        </is>
      </c>
      <c r="W87" s="5" t="inlineStr">
        <is>
          <t>Poor Muslim boy from Fatehpur, Gujarat</t>
        </is>
      </c>
      <c r="X87" s="19" t="inlineStr">
        <is>
          <t>Raees, a poor boy in prohibition-era Gujarat, rises from running liquor for the bootlegger Jairaj to building his own empire with political protection, locked in a long duel with the honest ACP Majmudar. He marries his neighbour Aasiya and wins an election, but, ruined by political betrayal, agrees to smuggle 'gold' for Musabhai that turns out to be explosives used in bombings. He kills Musabhai, surrenders and is shot by Majmudar.</t>
        </is>
      </c>
      <c r="Y87" s="19" t="inlineStr">
        <is>
          <t>Wealth, standing and serving his community</t>
        </is>
      </c>
      <c r="Z87" s="19" t="inlineStr">
        <is>
          <t>ACP Majmudar and political betrayal</t>
        </is>
      </c>
      <c r="AA87" s="19" t="inlineStr">
        <is>
          <t>Resourceful bootlegger becomes a community leader and dies atoning for an unwitting role in terror</t>
        </is>
      </c>
      <c r="AB87" s="19" t="inlineStr">
        <is>
          <t>Anti-hero</t>
        </is>
      </c>
      <c r="AC87" s="5" t="inlineStr">
        <is>
          <t>Shot dead by Majmudar after surrendering</t>
        </is>
      </c>
      <c r="AD87" s="5" t="inlineStr">
        <is>
          <t>Mahira Khan</t>
        </is>
      </c>
      <c r="AE87" s="5" t="inlineStr">
        <is>
          <t>Minor</t>
        </is>
      </c>
      <c r="AF87" s="18" t="n">
        <v>2</v>
      </c>
      <c r="AG87" s="19" t="inlineStr">
        <is>
          <t>Established relationship</t>
        </is>
      </c>
      <c r="AH87" s="5" t="inlineStr">
        <is>
          <t>₹87–91 crore</t>
        </is>
      </c>
      <c r="AI87" s="21" t="n">
        <v>139</v>
      </c>
      <c r="AJ87" s="21" t="n">
        <v>177</v>
      </c>
      <c r="AK87" s="5" t="n"/>
      <c r="AL87" s="21" t="n">
        <v>272.54</v>
      </c>
      <c r="AM87" s="5" t="inlineStr">
        <is>
          <t>INR crore</t>
        </is>
      </c>
      <c r="AN87" s="5" t="inlineStr">
        <is>
          <t>Moderate success</t>
        </is>
      </c>
      <c r="AO87" s="20" t="inlineStr">
        <is>
          <t>6 (Hindi, 2017)</t>
        </is>
      </c>
      <c r="AP87" s="19" t="inlineStr">
        <is>
          <t>Positive reviews for Khan and Siddiqui: Taran Adarsh (4/5) praised the cat-and-mouse chase; Rajeev Masand (3/5) said Khan 'commands your attention'; Sarit Ray (Hindustan Times, 2/5) credited its Muslim protagonists.</t>
        </is>
      </c>
      <c r="AQ87" s="19" t="inlineStr">
        <is>
          <t>Five Filmfare nominations, including Best Actor. Its soundtrack drew over 1.6 billion YouTube streams; the most pirated Hindi film of 2017.</t>
        </is>
      </c>
      <c r="AR87" s="5" t="inlineStr">
        <is>
          <t>SOURCE-001; SOURCE-089</t>
        </is>
      </c>
      <c r="AS87" s="5" t="inlineStr">
        <is>
          <t>Medium</t>
        </is>
      </c>
      <c r="AT87" s="5" t="inlineStr">
        <is>
          <t>Budget ₹91 crore in the box-office text, ₹87 crore in the infobox; distributor share ₹67.3 crore. No Romances row: the marriage to Aasiya is a single sentence in the summary. Mahira Khan's only Hindi film.</t>
        </is>
      </c>
    </row>
    <row r="88" ht="64" customHeight="1">
      <c r="A88" s="15" t="inlineStr">
        <is>
          <t>FILM-087</t>
        </is>
      </c>
      <c r="B88" s="5" t="inlineStr">
        <is>
          <t>Tubelight</t>
        </is>
      </c>
      <c r="C88" s="16" t="n">
        <v>42909</v>
      </c>
      <c r="D88" s="17" t="n">
        <v>2017</v>
      </c>
      <c r="E88" s="5" t="inlineStr">
        <is>
          <t>2010s</t>
        </is>
      </c>
      <c r="F88" s="5" t="inlineStr">
        <is>
          <t>Hindi</t>
        </is>
      </c>
      <c r="G88" s="5" t="inlineStr">
        <is>
          <t>War drama</t>
        </is>
      </c>
      <c r="H88" s="5" t="n"/>
      <c r="I88" s="17" t="n">
        <v>136</v>
      </c>
      <c r="J88" s="5" t="inlineStr">
        <is>
          <t>Kabir Khan</t>
        </is>
      </c>
      <c r="K88" s="5" t="inlineStr">
        <is>
          <t>Salman Khan; Kabir Khan; Salma Khan</t>
        </is>
      </c>
      <c r="L88" s="5" t="inlineStr">
        <is>
          <t>Salman Khan Films; Kabir Khan Films</t>
        </is>
      </c>
      <c r="M88" s="5" t="inlineStr">
        <is>
          <t>Kabir Khan; Parveez Sheikh (screenplay); Alejandro Monteverde; Pepe Portillo (story)</t>
        </is>
      </c>
      <c r="N88" s="5" t="inlineStr">
        <is>
          <t>Adaptation of Little Boy (2015)</t>
        </is>
      </c>
      <c r="O88" s="5" t="inlineStr">
        <is>
          <t>Pritam</t>
        </is>
      </c>
      <c r="P88" s="5" t="inlineStr">
        <is>
          <t>Julius Packiam</t>
        </is>
      </c>
      <c r="Q88" s="5" t="inlineStr">
        <is>
          <t>Amitabh Bhattacharya; Kausar Munir</t>
        </is>
      </c>
      <c r="R88" s="5" t="inlineStr">
        <is>
          <t>Gogo Pasha</t>
        </is>
      </c>
      <c r="S88" s="5" t="n"/>
      <c r="T88" s="5" t="inlineStr">
        <is>
          <t>Cameo</t>
        </is>
      </c>
      <c r="U88" s="20" t="n"/>
      <c r="V88" s="5" t="inlineStr">
        <is>
          <t>Magician</t>
        </is>
      </c>
      <c r="W88" s="5" t="n"/>
      <c r="X88" s="19" t="inlineStr">
        <is>
          <t>Khan makes a guest appearance as the magician Gogo Pasha in this drama set during the 1962 Sino-Indian War. Pasha shows the simple-hearted Laxman a trick in which he seems to move a bottle without touching it, and tells him that the secret is faith, which can do anything.</t>
        </is>
      </c>
      <c r="Y88" s="19" t="n"/>
      <c r="Z88" s="19" t="n"/>
      <c r="AA88" s="19" t="n"/>
      <c r="AB88" s="19" t="n"/>
      <c r="AC88" s="5" t="n"/>
      <c r="AD88" s="5" t="n"/>
      <c r="AE88" s="5" t="inlineStr">
        <is>
          <t>None</t>
        </is>
      </c>
      <c r="AF88" s="18" t="n">
        <v>0</v>
      </c>
      <c r="AG88" s="19" t="inlineStr">
        <is>
          <t>No meaningful romance</t>
        </is>
      </c>
      <c r="AH88" s="21" t="n">
        <v>100</v>
      </c>
      <c r="AI88" s="5" t="n"/>
      <c r="AJ88" s="21" t="n">
        <v>165.64</v>
      </c>
      <c r="AK88" s="21" t="n">
        <v>45.5</v>
      </c>
      <c r="AL88" s="21" t="n">
        <v>211.14</v>
      </c>
      <c r="AM88" s="5" t="inlineStr">
        <is>
          <t>INR crore</t>
        </is>
      </c>
      <c r="AN88" s="5" t="n"/>
      <c r="AO88" s="20" t="n"/>
      <c r="AP88" s="19" t="inlineStr">
        <is>
          <t>Mixed-to-negative reviews (27% on Rotten Tomatoes): Anupama Chopra called it 'cinema as a sermon'; Raja Sen (NDTV) gave it 1/5.</t>
        </is>
      </c>
      <c r="AQ88" s="19" t="n"/>
      <c r="AR88" s="5" t="inlineStr">
        <is>
          <t>SOURCE-001; SOURCE-090</t>
        </is>
      </c>
      <c r="AS88" s="5" t="inlineStr">
        <is>
          <t>Medium</t>
        </is>
      </c>
      <c r="AT88" s="5" t="inlineStr">
        <is>
          <t>The filmography spells the character Gogo Pasha; the cast list gives Magician Goga Pasha. No verdict label found.</t>
        </is>
      </c>
    </row>
    <row r="89" ht="94" customHeight="1">
      <c r="A89" s="15" t="inlineStr">
        <is>
          <t>FILM-088</t>
        </is>
      </c>
      <c r="B89" s="5" t="inlineStr">
        <is>
          <t>Jab Harry Met Sejal</t>
        </is>
      </c>
      <c r="C89" s="16" t="n">
        <v>42951</v>
      </c>
      <c r="D89" s="17" t="n">
        <v>2017</v>
      </c>
      <c r="E89" s="5" t="inlineStr">
        <is>
          <t>2010s</t>
        </is>
      </c>
      <c r="F89" s="5" t="inlineStr">
        <is>
          <t>Hindi</t>
        </is>
      </c>
      <c r="G89" s="5" t="inlineStr">
        <is>
          <t>Romantic comedy</t>
        </is>
      </c>
      <c r="H89" s="5" t="inlineStr">
        <is>
          <t>Road movie</t>
        </is>
      </c>
      <c r="I89" s="17" t="n">
        <v>144</v>
      </c>
      <c r="J89" s="5" t="inlineStr">
        <is>
          <t>Imtiaz Ali</t>
        </is>
      </c>
      <c r="K89" s="5" t="inlineStr">
        <is>
          <t>Gauri Khan</t>
        </is>
      </c>
      <c r="L89" s="5" t="inlineStr">
        <is>
          <t>Red Chillies Entertainment</t>
        </is>
      </c>
      <c r="M89" s="5" t="inlineStr">
        <is>
          <t>Imtiaz Ali</t>
        </is>
      </c>
      <c r="N89" s="5" t="n"/>
      <c r="O89" s="5" t="inlineStr">
        <is>
          <t>Pritam; Diplo</t>
        </is>
      </c>
      <c r="P89" s="5" t="inlineStr">
        <is>
          <t>Hitesh Sonik</t>
        </is>
      </c>
      <c r="Q89" s="5" t="inlineStr">
        <is>
          <t>Irshad Kamil</t>
        </is>
      </c>
      <c r="R89" s="5" t="inlineStr">
        <is>
          <t>Harinder "Harry" Singh Nehra</t>
        </is>
      </c>
      <c r="S89" s="5" t="n"/>
      <c r="T89" s="5" t="inlineStr">
        <is>
          <t>Lead</t>
        </is>
      </c>
      <c r="U89" s="18" t="n">
        <v>2</v>
      </c>
      <c r="V89" s="5" t="inlineStr">
        <is>
          <t>Tour guide in Europe</t>
        </is>
      </c>
      <c r="W89" s="5" t="inlineStr">
        <is>
          <t>Emigrant from Nurmahal, Punjab, who failed to become a singer in Canada</t>
        </is>
      </c>
      <c r="X89" s="19" t="inlineStr">
        <is>
          <t>Harry, a lonely, womanising tour guide in Europe who left his Punjab village to become a singer, reluctantly helps Sejal, a Gujarati tourist, search for her lost engagement ring across Amsterdam, Prague, Budapest and Lisbon. Their bickering turns into love, but Harry, feeling unworthy, will not say so and she flies home. He follows her to India, finds her wedding called off, and they decide to marry and visit his family.</t>
        </is>
      </c>
      <c r="Y89" s="19" t="inlineStr">
        <is>
          <t>Escaping loneliness and guilt</t>
        </is>
      </c>
      <c r="Z89" s="19" t="inlineStr">
        <is>
          <t>His sense of unworthiness and Sejal's engagement</t>
        </is>
      </c>
      <c r="AA89" s="19" t="inlineStr">
        <is>
          <t>Rootless cynic finds love and returns home</t>
        </is>
      </c>
      <c r="AB89" s="19" t="inlineStr">
        <is>
          <t>Flawed but good-hearted</t>
        </is>
      </c>
      <c r="AC89" s="5" t="inlineStr">
        <is>
          <t>Engaged to Sejal and reunited with his family</t>
        </is>
      </c>
      <c r="AD89" s="5" t="inlineStr">
        <is>
          <t>Anushka Sharma</t>
        </is>
      </c>
      <c r="AE89" s="5" t="inlineStr">
        <is>
          <t>Central</t>
        </is>
      </c>
      <c r="AF89" s="18" t="n">
        <v>10</v>
      </c>
      <c r="AG89" s="19" t="inlineStr">
        <is>
          <t>Playful conflict masking attraction</t>
        </is>
      </c>
      <c r="AH89" s="21" t="n">
        <v>90</v>
      </c>
      <c r="AI89" s="5" t="n"/>
      <c r="AJ89" s="21" t="n">
        <v>89.40000000000001</v>
      </c>
      <c r="AK89" s="21" t="n">
        <v>64.09999999999999</v>
      </c>
      <c r="AL89" s="21" t="n">
        <v>153.43</v>
      </c>
      <c r="AM89" s="5" t="inlineStr">
        <is>
          <t>INR crore</t>
        </is>
      </c>
      <c r="AN89" s="5" t="inlineStr">
        <is>
          <t>Success overseas; weak in India</t>
        </is>
      </c>
      <c r="AO89" s="20" t="n"/>
      <c r="AP89" s="19" t="inlineStr">
        <is>
          <t>Mixed-to-negative reviews criticising the direction, story and Sharma's performance but praising the music, cinematography and Khan. Anupama Chopra wrote that Khan 'is still Raj'; Hindustan Times called it lethargic. Imtiaz Ali later rated it 3 out of 10.</t>
        </is>
      </c>
      <c r="AQ89" s="19" t="inlineStr">
        <is>
          <t>IIFA Award for Best Male Playback Singer (Arijit Singh, 'Hawayein'); several Mirchi Music Awards for 'Hawayein'.</t>
        </is>
      </c>
      <c r="AR89" s="5" t="inlineStr">
        <is>
          <t>SOURCE-001; SOURCE-091</t>
        </is>
      </c>
      <c r="AS89" s="5" t="inlineStr">
        <is>
          <t>Medium</t>
        </is>
      </c>
      <c r="AT89" s="5" t="inlineStr">
        <is>
          <t>Worldwide ₹153.43 crore (India ₹89.4 crore, overseas ₹64.1 crore; US$10 million overseas). Khan's lowest opening in three years.</t>
        </is>
      </c>
    </row>
    <row r="90" ht="94" customHeight="1">
      <c r="A90" s="15" t="inlineStr">
        <is>
          <t>FILM-089</t>
        </is>
      </c>
      <c r="B90" s="5" t="inlineStr">
        <is>
          <t>Zero</t>
        </is>
      </c>
      <c r="C90" s="16" t="n">
        <v>43455</v>
      </c>
      <c r="D90" s="17" t="n">
        <v>2018</v>
      </c>
      <c r="E90" s="5" t="inlineStr">
        <is>
          <t>2010s</t>
        </is>
      </c>
      <c r="F90" s="5" t="inlineStr">
        <is>
          <t>Hindi</t>
        </is>
      </c>
      <c r="G90" s="5" t="inlineStr">
        <is>
          <t>Romantic comedy-drama</t>
        </is>
      </c>
      <c r="H90" s="5" t="n"/>
      <c r="I90" s="17" t="n">
        <v>164</v>
      </c>
      <c r="J90" s="5" t="inlineStr">
        <is>
          <t>Aanand L. Rai</t>
        </is>
      </c>
      <c r="K90" s="5" t="inlineStr">
        <is>
          <t>Gauri Khan; Aanand L. Rai</t>
        </is>
      </c>
      <c r="L90" s="5" t="inlineStr">
        <is>
          <t>Colour Yellow Productions; Red Chillies Entertainment</t>
        </is>
      </c>
      <c r="M90" s="5" t="inlineStr">
        <is>
          <t>Himanshu Sharma</t>
        </is>
      </c>
      <c r="N90" s="5" t="n"/>
      <c r="O90" s="5" t="inlineStr">
        <is>
          <t>Ajay–Atul</t>
        </is>
      </c>
      <c r="P90" s="5" t="n"/>
      <c r="Q90" s="5" t="n"/>
      <c r="R90" s="5" t="inlineStr">
        <is>
          <t>Bauua Singh</t>
        </is>
      </c>
      <c r="S90" s="5" t="n"/>
      <c r="T90" s="5" t="inlineStr">
        <is>
          <t>Lead</t>
        </is>
      </c>
      <c r="U90" s="18" t="n">
        <v>1</v>
      </c>
      <c r="V90" s="5" t="n"/>
      <c r="W90" s="5" t="inlineStr">
        <is>
          <t>Man with dwarfism from a wealthy Meerut family</t>
        </is>
      </c>
      <c r="X90" s="19" t="inlineStr">
        <is>
          <t>Bauua Singh, a brash man with dwarfism from Meerut, falls for Aafia, a scientist with cerebral palsy, but abandons her and later flees their wedding to meet the film star Babita, for whom he goes to work. Realising his wrong, he pursues Aafia to New York, learns she had been pregnant, and is rejected. He volunteers for a mission to Mars, declares his love as she arrives for the launch, and returns to Earth fifteen years later.</t>
        </is>
      </c>
      <c r="Y90" s="19" t="inlineStr">
        <is>
          <t>Proving his worth, first to himself and then to Aafia</t>
        </is>
      </c>
      <c r="Z90" s="19" t="inlineStr">
        <is>
          <t>His immaturity and Aafia's rejection</t>
        </is>
      </c>
      <c r="AA90" s="19" t="inlineStr">
        <is>
          <t>Insecure man-child redeems himself through an impossible sacrifice</t>
        </is>
      </c>
      <c r="AB90" s="19" t="inlineStr">
        <is>
          <t>Flawed</t>
        </is>
      </c>
      <c r="AC90" s="5" t="inlineStr">
        <is>
          <t>Reaches Mars, is lost in space and survives to return fifteen years later</t>
        </is>
      </c>
      <c r="AD90" s="5" t="inlineStr">
        <is>
          <t>Anushka Sharma; Katrina Kaif</t>
        </is>
      </c>
      <c r="AE90" s="5" t="inlineStr">
        <is>
          <t>Central</t>
        </is>
      </c>
      <c r="AF90" s="18" t="n">
        <v>8</v>
      </c>
      <c r="AG90" s="19" t="inlineStr">
        <is>
          <t>Love triangle</t>
        </is>
      </c>
      <c r="AH90" s="21" t="n">
        <v>200</v>
      </c>
      <c r="AI90" s="5" t="n"/>
      <c r="AJ90" s="21" t="n">
        <v>87</v>
      </c>
      <c r="AK90" s="5" t="n"/>
      <c r="AL90" s="21" t="n">
        <v>191</v>
      </c>
      <c r="AM90" s="5" t="inlineStr">
        <is>
          <t>INR crore</t>
        </is>
      </c>
      <c r="AN90" s="5" t="inlineStr">
        <is>
          <t>Highly unsuccessful</t>
        </is>
      </c>
      <c r="AO90" s="20" t="n"/>
      <c r="AP90" s="19" t="inlineStr">
        <is>
          <t>Mixed reviews (31% on Rotten Tomatoes) praising the visual effects, Khan's energy and Kaif's career-best performance but criticising the second half; Rajeev Masand gave 2/5.</t>
        </is>
      </c>
      <c r="AQ90" s="19" t="inlineStr">
        <is>
          <t>Filmfare nominations including Best Actor (Khan) and Best Supporting Actress (Kaif). Cameos by Salman Khan, Sridevi, Kajol, Rani Mukerji, Deepika Padukone and others.</t>
        </is>
      </c>
      <c r="AR90" s="5" t="inlineStr">
        <is>
          <t>SOURCE-001; SOURCE-092</t>
        </is>
      </c>
      <c r="AS90" s="5" t="inlineStr">
        <is>
          <t>Medium</t>
        </is>
      </c>
      <c r="AT90" s="5" t="inlineStr">
        <is>
          <t>Domestic gross ₹87 crore and overseas US$14 million (Box Office India); worldwide ₹191 crore.</t>
        </is>
      </c>
    </row>
    <row r="91" ht="64" customHeight="1">
      <c r="A91" s="15" t="inlineStr">
        <is>
          <t>FILM-090</t>
        </is>
      </c>
      <c r="B91" s="5" t="inlineStr">
        <is>
          <t>The Zoya Factor</t>
        </is>
      </c>
      <c r="C91" s="16" t="n">
        <v>43728</v>
      </c>
      <c r="D91" s="17" t="n">
        <v>2019</v>
      </c>
      <c r="E91" s="5" t="inlineStr">
        <is>
          <t>2010s</t>
        </is>
      </c>
      <c r="F91" s="5" t="inlineStr">
        <is>
          <t>Hindi</t>
        </is>
      </c>
      <c r="G91" s="5" t="inlineStr">
        <is>
          <t>Sports romantic drama</t>
        </is>
      </c>
      <c r="H91" s="5" t="n"/>
      <c r="I91" s="17" t="n">
        <v>134</v>
      </c>
      <c r="J91" s="5" t="inlineStr">
        <is>
          <t>Abhishek Sharma</t>
        </is>
      </c>
      <c r="K91" s="5" t="inlineStr">
        <is>
          <t>Fox Star Studios; Pooja Shetty; Aarrti Shetty</t>
        </is>
      </c>
      <c r="L91" s="5" t="inlineStr">
        <is>
          <t>Fox Star Studios; Ad-Labs Films</t>
        </is>
      </c>
      <c r="M91" s="5" t="inlineStr">
        <is>
          <t>Neha Rakesh Sharma; Pradhuman Singh Mall (screenplay); Anuja Chauhan (dialogues)</t>
        </is>
      </c>
      <c r="N91" s="5" t="inlineStr">
        <is>
          <t>Based on Anuja Chauhan's 2008 novel The Zoya Factor</t>
        </is>
      </c>
      <c r="O91" s="5" t="inlineStr">
        <is>
          <t>Shankar–Ehsaan–Loy</t>
        </is>
      </c>
      <c r="P91" s="5" t="inlineStr">
        <is>
          <t>Indrajit Sharma; Parikshit Sharma</t>
        </is>
      </c>
      <c r="Q91" s="5" t="n"/>
      <c r="R91" s="5" t="inlineStr">
        <is>
          <t>Narrator</t>
        </is>
      </c>
      <c r="S91" s="5" t="n"/>
      <c r="T91" s="5" t="inlineStr">
        <is>
          <t>Narrator</t>
        </is>
      </c>
      <c r="U91" s="20" t="n"/>
      <c r="V91" s="5" t="n"/>
      <c r="W91" s="5" t="n"/>
      <c r="X91" s="19" t="inlineStr">
        <is>
          <t>Khan narrates this sports romance about Zoya, an unlucky advertising executive who becomes the Indian cricket team's lucky charm after revealing she was born on the day India first won the World Cup, to the irritation of captain Nikhil Khoda, who believes in hard work over superstition.</t>
        </is>
      </c>
      <c r="Y91" s="19" t="n"/>
      <c r="Z91" s="19" t="n"/>
      <c r="AA91" s="19" t="n"/>
      <c r="AB91" s="19" t="n"/>
      <c r="AC91" s="5" t="n"/>
      <c r="AD91" s="5" t="n"/>
      <c r="AE91" s="5" t="inlineStr">
        <is>
          <t>None</t>
        </is>
      </c>
      <c r="AF91" s="18" t="n">
        <v>0</v>
      </c>
      <c r="AG91" s="19" t="inlineStr">
        <is>
          <t>No meaningful romance</t>
        </is>
      </c>
      <c r="AH91" s="21" t="n">
        <v>33</v>
      </c>
      <c r="AI91" s="5" t="n"/>
      <c r="AJ91" s="21" t="n">
        <v>3.71</v>
      </c>
      <c r="AK91" s="21" t="n">
        <v>3.25</v>
      </c>
      <c r="AL91" s="21" t="n">
        <v>6.96</v>
      </c>
      <c r="AM91" s="5" t="inlineStr">
        <is>
          <t>INR crore</t>
        </is>
      </c>
      <c r="AN91" s="5" t="inlineStr">
        <is>
          <t>Box-office disaster</t>
        </is>
      </c>
      <c r="AO91" s="20" t="n"/>
      <c r="AP91" s="19" t="inlineStr">
        <is>
          <t>Mixed to negative reviews (42% on Rotten Tomatoes), with praise for Dulquer Salmaan.</t>
        </is>
      </c>
      <c r="AQ91" s="19" t="n"/>
      <c r="AR91" s="5" t="inlineStr">
        <is>
          <t>SOURCE-001; SOURCE-093</t>
        </is>
      </c>
      <c r="AS91" s="5" t="inlineStr">
        <is>
          <t>Medium</t>
        </is>
      </c>
      <c r="AT91" s="5" t="inlineStr">
        <is>
          <t>UAE release 19 September 2019; India release 20 September.</t>
        </is>
      </c>
    </row>
    <row r="92" ht="79" customHeight="1">
      <c r="A92" s="15" t="inlineStr">
        <is>
          <t>FILM-091</t>
        </is>
      </c>
      <c r="B92" s="5" t="inlineStr">
        <is>
          <t>Rocketry: The Nambi Effect</t>
        </is>
      </c>
      <c r="C92" s="16" t="n">
        <v>44743</v>
      </c>
      <c r="D92" s="17" t="n">
        <v>2022</v>
      </c>
      <c r="E92" s="5" t="inlineStr">
        <is>
          <t>2020s</t>
        </is>
      </c>
      <c r="F92" s="5" t="inlineStr">
        <is>
          <t>Tamil; Hindi; English</t>
        </is>
      </c>
      <c r="G92" s="5" t="inlineStr">
        <is>
          <t>Biographical drama</t>
        </is>
      </c>
      <c r="H92" s="5" t="n"/>
      <c r="I92" s="17" t="n">
        <v>157</v>
      </c>
      <c r="J92" s="5" t="inlineStr">
        <is>
          <t>R. Madhavan</t>
        </is>
      </c>
      <c r="K92" s="5" t="inlineStr">
        <is>
          <t>Sarita Birje Madhavan; R. Madhavan; Varghese Moolan; Vijay Moolan</t>
        </is>
      </c>
      <c r="L92" s="5" t="inlineStr">
        <is>
          <t>Tricolour Films; Varghese Moolan Pictures; 27th Entertainment</t>
        </is>
      </c>
      <c r="M92" s="5" t="inlineStr">
        <is>
          <t>R. Madhavan</t>
        </is>
      </c>
      <c r="N92" s="5" t="inlineStr">
        <is>
          <t>Based on the life of the ISRO scientist Nambi Narayanan</t>
        </is>
      </c>
      <c r="O92" s="5" t="inlineStr">
        <is>
          <t>Sam C. S.</t>
        </is>
      </c>
      <c r="P92" s="5" t="n"/>
      <c r="Q92" s="5" t="n"/>
      <c r="R92" s="5" t="inlineStr">
        <is>
          <t>Himself</t>
        </is>
      </c>
      <c r="S92" s="5" t="n"/>
      <c r="T92" s="5" t="inlineStr">
        <is>
          <t>Self appearance</t>
        </is>
      </c>
      <c r="U92" s="20" t="n"/>
      <c r="V92" s="5" t="n"/>
      <c r="W92" s="5" t="n"/>
      <c r="X92" s="19" t="inlineStr">
        <is>
          <t>Khan makes a special appearance as himself in R. Madhavan's biographical drama about Nambi Narayanan, an ISRO scientist falsely accused of espionage and later exonerated. The story is framed as a televised interview in which Narayanan recounts his career; the sources consulted do not describe Khan's scene.</t>
        </is>
      </c>
      <c r="Y92" s="19" t="n"/>
      <c r="Z92" s="19" t="n"/>
      <c r="AA92" s="19" t="n"/>
      <c r="AB92" s="19" t="n"/>
      <c r="AC92" s="5" t="n"/>
      <c r="AD92" s="5" t="n"/>
      <c r="AE92" s="5" t="inlineStr">
        <is>
          <t>None</t>
        </is>
      </c>
      <c r="AF92" s="18" t="n">
        <v>0</v>
      </c>
      <c r="AG92" s="19" t="inlineStr">
        <is>
          <t>No meaningful romance</t>
        </is>
      </c>
      <c r="AH92" s="21" t="n">
        <v>25</v>
      </c>
      <c r="AI92" s="5" t="n"/>
      <c r="AJ92" s="5" t="n"/>
      <c r="AK92" s="5" t="n"/>
      <c r="AL92" s="5" t="n"/>
      <c r="AM92" s="5" t="inlineStr">
        <is>
          <t>INR crore</t>
        </is>
      </c>
      <c r="AN92" s="5" t="n"/>
      <c r="AO92" s="20" t="n"/>
      <c r="AP92" s="19" t="inlineStr">
        <is>
          <t>Positive reviews (64% on Rotten Tomatoes); Devesh Sharma (Filmfare, 4/5) said Madhavan carries the film.</t>
        </is>
      </c>
      <c r="AQ92" s="19" t="n"/>
      <c r="AR92" s="5" t="inlineStr">
        <is>
          <t>SOURCE-001; SOURCE-094</t>
        </is>
      </c>
      <c r="AS92" s="5" t="inlineStr">
        <is>
          <t>Medium</t>
        </is>
      </c>
      <c r="AT92" s="5" t="inlineStr">
        <is>
          <t>Premiered at Cannes on 19 May 2022; India release 1 July 2022. Collected about ₹8 crore in its first three days (unlabelled).</t>
        </is>
      </c>
    </row>
    <row r="93" ht="64" customHeight="1">
      <c r="A93" s="15" t="inlineStr">
        <is>
          <t>FILM-092</t>
        </is>
      </c>
      <c r="B93" s="5" t="inlineStr">
        <is>
          <t>Laal Singh Chaddha</t>
        </is>
      </c>
      <c r="C93" s="16" t="n">
        <v>44784</v>
      </c>
      <c r="D93" s="17" t="n">
        <v>2022</v>
      </c>
      <c r="E93" s="5" t="inlineStr">
        <is>
          <t>2020s</t>
        </is>
      </c>
      <c r="F93" s="5" t="inlineStr">
        <is>
          <t>Hindi</t>
        </is>
      </c>
      <c r="G93" s="5" t="inlineStr">
        <is>
          <t>Comedy-drama</t>
        </is>
      </c>
      <c r="H93" s="5" t="n"/>
      <c r="I93" s="17" t="n">
        <v>159</v>
      </c>
      <c r="J93" s="5" t="inlineStr">
        <is>
          <t>Advait Chandan</t>
        </is>
      </c>
      <c r="K93" s="5" t="inlineStr">
        <is>
          <t>Aamir Khan; Kiran Rao; Jyoti Deshpande; Ajit Andhare</t>
        </is>
      </c>
      <c r="L93" s="5" t="inlineStr">
        <is>
          <t>Aamir Khan Productions; Viacom18 Studios; Paramount Pictures</t>
        </is>
      </c>
      <c r="M93" s="5" t="inlineStr">
        <is>
          <t>Atul Kulkarni</t>
        </is>
      </c>
      <c r="N93" s="5" t="inlineStr">
        <is>
          <t>Remake of Forrest Gump (1994)</t>
        </is>
      </c>
      <c r="O93" s="5" t="inlineStr">
        <is>
          <t>Pritam</t>
        </is>
      </c>
      <c r="P93" s="5" t="inlineStr">
        <is>
          <t>Tanuj Tiku</t>
        </is>
      </c>
      <c r="Q93" s="5" t="n"/>
      <c r="R93" s="5" t="inlineStr">
        <is>
          <t>Himself</t>
        </is>
      </c>
      <c r="S93" s="5" t="n"/>
      <c r="T93" s="5" t="inlineStr">
        <is>
          <t>Self appearance</t>
        </is>
      </c>
      <c r="U93" s="20" t="n"/>
      <c r="V93" s="5" t="n"/>
      <c r="W93" s="5" t="n"/>
      <c r="X93" s="19" t="inlineStr">
        <is>
          <t>Khan makes a cameo as a young version of himself in Aamir Khan's remake of Forrest Gump. Laal, the film's guileless hero, unknowingly teaches him the dance moves that Khan later incorporates into his acting career.</t>
        </is>
      </c>
      <c r="Y93" s="19" t="n"/>
      <c r="Z93" s="19" t="n"/>
      <c r="AA93" s="19" t="n"/>
      <c r="AB93" s="19" t="n"/>
      <c r="AC93" s="5" t="n"/>
      <c r="AD93" s="5" t="n"/>
      <c r="AE93" s="5" t="inlineStr">
        <is>
          <t>None</t>
        </is>
      </c>
      <c r="AF93" s="18" t="n">
        <v>0</v>
      </c>
      <c r="AG93" s="19" t="inlineStr">
        <is>
          <t>No meaningful romance</t>
        </is>
      </c>
      <c r="AH93" s="21" t="n">
        <v>275</v>
      </c>
      <c r="AI93" s="5" t="n"/>
      <c r="AJ93" s="21" t="n">
        <v>71.09999999999999</v>
      </c>
      <c r="AK93" s="21" t="n">
        <v>60.93</v>
      </c>
      <c r="AL93" s="21" t="n">
        <v>132.03</v>
      </c>
      <c r="AM93" s="5" t="inlineStr">
        <is>
          <t>INR crore</t>
        </is>
      </c>
      <c r="AN93" s="5" t="inlineStr">
        <is>
          <t>Disaster</t>
        </is>
      </c>
      <c r="AO93" s="20" t="n"/>
      <c r="AP93" s="19" t="inlineStr">
        <is>
          <t>Mixed-to-positive reviews (69% on Rotten Tomatoes); Sonil Dedhia (News18, 4/5) singled out 'a crackling Shah Rukh Khan cameo'.</t>
        </is>
      </c>
      <c r="AQ93" s="19" t="n"/>
      <c r="AR93" s="5" t="inlineStr">
        <is>
          <t>SOURCE-001; SOURCE-095</t>
        </is>
      </c>
      <c r="AS93" s="5" t="inlineStr">
        <is>
          <t>Medium</t>
        </is>
      </c>
      <c r="AT93" s="5" t="inlineStr">
        <is>
          <t>Budget from the infobox. The Indian Express estimated losses of ₹100 crore. Listed as a cameo in the filmography; the plot identifies the character as a young Shah Rukh Khan.</t>
        </is>
      </c>
    </row>
    <row r="94" ht="94" customHeight="1">
      <c r="A94" s="15" t="inlineStr">
        <is>
          <t>FILM-093</t>
        </is>
      </c>
      <c r="B94" s="5" t="inlineStr">
        <is>
          <t>Brahmāstra: Part One – Shiva</t>
        </is>
      </c>
      <c r="C94" s="16" t="n">
        <v>44813</v>
      </c>
      <c r="D94" s="17" t="n">
        <v>2022</v>
      </c>
      <c r="E94" s="5" t="inlineStr">
        <is>
          <t>2020s</t>
        </is>
      </c>
      <c r="F94" s="5" t="inlineStr">
        <is>
          <t>Hindi</t>
        </is>
      </c>
      <c r="G94" s="5" t="inlineStr">
        <is>
          <t>Fantasy action adventure</t>
        </is>
      </c>
      <c r="H94" s="5" t="n"/>
      <c r="I94" s="17" t="n">
        <v>167</v>
      </c>
      <c r="J94" s="5" t="inlineStr">
        <is>
          <t>Ayan Mukerji</t>
        </is>
      </c>
      <c r="K94" s="5" t="inlineStr">
        <is>
          <t>Karan Johar; Apoorva Mehta; Hiroo Yash Johar; Namit Malhotra; Ayan Mukerji; Ranbir Kapoor</t>
        </is>
      </c>
      <c r="L94" s="5" t="inlineStr">
        <is>
          <t>Dharma Productions; Prime Focus Studios; Starlight Pictures; Magic Wand Films</t>
        </is>
      </c>
      <c r="M94" s="5" t="inlineStr">
        <is>
          <t>Ayan Mukerji; Hussain Dalal (dialogues)</t>
        </is>
      </c>
      <c r="N94" s="5" t="n"/>
      <c r="O94" s="5" t="inlineStr">
        <is>
          <t>Pritam</t>
        </is>
      </c>
      <c r="P94" s="5" t="n"/>
      <c r="Q94" s="5" t="n"/>
      <c r="R94" s="5" t="inlineStr">
        <is>
          <t>Mohan Bhargav</t>
        </is>
      </c>
      <c r="S94" s="5" t="n"/>
      <c r="T94" s="5" t="inlineStr">
        <is>
          <t>Extended special appearance</t>
        </is>
      </c>
      <c r="U94" s="20" t="n"/>
      <c r="V94" s="5" t="inlineStr">
        <is>
          <t>Scientist and member of the Brahmānsh</t>
        </is>
      </c>
      <c r="W94" s="5" t="n"/>
      <c r="X94" s="19" t="inlineStr">
        <is>
          <t>Mohan Bhargav, a Delhi scientist and member of the Brahmānsh secret society, guards a piece of the Brahmāstra. Attacked by Zor and Raftar, he fights back with the Vānarāstra but is subdued by Junoon, who forces him to reveal where the second piece is kept; he throws himself from a balcony before he can reveal the society's hideout. Director Ayan Mukerji has confirmed he is the Mohan Bhargav of Swades.</t>
        </is>
      </c>
      <c r="Y94" s="19" t="inlineStr">
        <is>
          <t>Protecting the Brahmāstra</t>
        </is>
      </c>
      <c r="Z94" s="19" t="inlineStr">
        <is>
          <t>Junoon's gang</t>
        </is>
      </c>
      <c r="AA94" s="19" t="n"/>
      <c r="AB94" s="19" t="inlineStr">
        <is>
          <t>Heroic</t>
        </is>
      </c>
      <c r="AC94" s="5" t="inlineStr">
        <is>
          <t>Dies after throwing himself from a balcony</t>
        </is>
      </c>
      <c r="AD94" s="5" t="n"/>
      <c r="AE94" s="5" t="inlineStr">
        <is>
          <t>None</t>
        </is>
      </c>
      <c r="AF94" s="18" t="n">
        <v>0</v>
      </c>
      <c r="AG94" s="19" t="inlineStr">
        <is>
          <t>No meaningful romance</t>
        </is>
      </c>
      <c r="AH94" s="5" t="inlineStr">
        <is>
          <t>₹375–400 crore</t>
        </is>
      </c>
      <c r="AI94" s="5" t="n"/>
      <c r="AJ94" s="21" t="n">
        <v>320</v>
      </c>
      <c r="AK94" s="21" t="n">
        <v>111</v>
      </c>
      <c r="AL94" s="5" t="inlineStr">
        <is>
          <t>₹401.7–431 crore</t>
        </is>
      </c>
      <c r="AM94" s="5" t="inlineStr">
        <is>
          <t>INR crore</t>
        </is>
      </c>
      <c r="AN94" s="5" t="inlineStr">
        <is>
          <t>Hit (Box Office India)</t>
        </is>
      </c>
      <c r="AO94" s="20" t="n"/>
      <c r="AP94" s="19" t="inlineStr">
        <is>
          <t>Mixed reviews (49% on Rotten Tomatoes) praising the visual effects but criticising the screenplay and dialogue; Pooja Biraia Jaiswal (The Week, 1/5) said Mukerji wasted Khan, Nagarjuna and Bachchan.</t>
        </is>
      </c>
      <c r="AQ94" s="19" t="inlineStr">
        <is>
          <t>First instalment of the planned Astraverse trilogy.</t>
        </is>
      </c>
      <c r="AR94" s="5" t="inlineStr">
        <is>
          <t>SOURCE-001; SOURCE-096; SOURCE-054</t>
        </is>
      </c>
      <c r="AS94" s="5" t="inlineStr">
        <is>
          <t>Medium</t>
        </is>
      </c>
      <c r="AT94" s="5" t="inlineStr">
        <is>
          <t>Producer list comes from a truncated infobox field. Worldwide gross given as an estimated range in the infobox. The Swades connection is stated in the Swades article.</t>
        </is>
      </c>
    </row>
    <row r="95" ht="94" customHeight="1">
      <c r="A95" s="15" t="inlineStr">
        <is>
          <t>FILM-094</t>
        </is>
      </c>
      <c r="B95" s="5" t="inlineStr">
        <is>
          <t>Pathaan</t>
        </is>
      </c>
      <c r="C95" s="16" t="n">
        <v>44951</v>
      </c>
      <c r="D95" s="17" t="n">
        <v>2023</v>
      </c>
      <c r="E95" s="5" t="inlineStr">
        <is>
          <t>2020s</t>
        </is>
      </c>
      <c r="F95" s="5" t="inlineStr">
        <is>
          <t>Hindi</t>
        </is>
      </c>
      <c r="G95" s="5" t="inlineStr">
        <is>
          <t>Spy action thriller</t>
        </is>
      </c>
      <c r="H95" s="5" t="n"/>
      <c r="I95" s="17" t="n">
        <v>146</v>
      </c>
      <c r="J95" s="5" t="inlineStr">
        <is>
          <t>Siddharth Anand</t>
        </is>
      </c>
      <c r="K95" s="5" t="inlineStr">
        <is>
          <t>Aditya Chopra</t>
        </is>
      </c>
      <c r="L95" s="5" t="inlineStr">
        <is>
          <t>Yash Raj Films</t>
        </is>
      </c>
      <c r="M95" s="5" t="inlineStr">
        <is>
          <t>Shridhar Raghavan (screenplay); Siddharth Anand (story)</t>
        </is>
      </c>
      <c r="N95" s="5" t="n"/>
      <c r="O95" s="5" t="inlineStr">
        <is>
          <t>Vishal–Shekhar</t>
        </is>
      </c>
      <c r="P95" s="5" t="inlineStr">
        <is>
          <t>Sanchit Balhara; Ankit Balhara</t>
        </is>
      </c>
      <c r="Q95" s="5" t="n"/>
      <c r="R95" s="5" t="inlineStr">
        <is>
          <t>Pathaan</t>
        </is>
      </c>
      <c r="S95" s="5" t="n"/>
      <c r="T95" s="5" t="inlineStr">
        <is>
          <t>Lead</t>
        </is>
      </c>
      <c r="U95" s="18" t="n">
        <v>1</v>
      </c>
      <c r="V95" s="5" t="inlineStr">
        <is>
          <t>RAW field agent</t>
        </is>
      </c>
      <c r="W95" s="5" t="n"/>
      <c r="X95" s="19" t="inlineStr">
        <is>
          <t>Pathaan, a RAW agent recovering from a mission, forms a unit of retired agents and pursues Jim, a former RAW agent turned mercenary who plans to release a mutated smallpox virus on India. He allies with the ISI agent Rubai, who betrays him in Moscow; rescued from a prison train by Tiger, he later tracks the virus with Rubai to Siberia and Afghanistan, kills Jim in a mid-air fight over Delhi and is reinstated as head of the unit.</t>
        </is>
      </c>
      <c r="Y95" s="19" t="inlineStr">
        <is>
          <t>Protecting India</t>
        </is>
      </c>
      <c r="Z95" s="19" t="inlineStr">
        <is>
          <t>Jim's bioterror plot</t>
        </is>
      </c>
      <c r="AA95" s="19" t="inlineStr">
        <is>
          <t>Sidelined agent is vindicated and reinstated</t>
        </is>
      </c>
      <c r="AB95" s="19" t="inlineStr">
        <is>
          <t>Heroic</t>
        </is>
      </c>
      <c r="AC95" s="5" t="inlineStr">
        <is>
          <t>Kills Jim and becomes head of JOCR</t>
        </is>
      </c>
      <c r="AD95" s="5" t="inlineStr">
        <is>
          <t>Deepika Padukone</t>
        </is>
      </c>
      <c r="AE95" s="5" t="inlineStr">
        <is>
          <t>Implied</t>
        </is>
      </c>
      <c r="AF95" s="18" t="n">
        <v>2</v>
      </c>
      <c r="AG95" s="19" t="inlineStr">
        <is>
          <t>Romance subordinate to another genre</t>
        </is>
      </c>
      <c r="AH95" s="21" t="n">
        <v>250</v>
      </c>
      <c r="AI95" s="5" t="n"/>
      <c r="AJ95" s="5" t="n"/>
      <c r="AK95" s="5" t="n"/>
      <c r="AL95" s="21" t="n">
        <v>1050.3</v>
      </c>
      <c r="AM95" s="5" t="inlineStr">
        <is>
          <t>INR crore</t>
        </is>
      </c>
      <c r="AN95" s="5" t="n"/>
      <c r="AO95" s="20" t="n"/>
      <c r="AP95" s="19" t="inlineStr">
        <is>
          <t>Generally positive reviews (85% on Rotten Tomatoes): Taran Adarsh (4.5/5) called it a 'complete entertainer'; Sukanya Verma (Rediff.com, 4/5) praised Khan's 'weathered intensity, grizzly charisma and trademark wit'.</t>
        </is>
      </c>
      <c r="AQ95" s="19" t="inlineStr">
        <is>
          <t>First Hindi film to gross ₹100 crore worldwide on its opening day and the first original Hindi film to net over ₹400 crore domestically. Fourth instalment of the YRF Spy Universe.</t>
        </is>
      </c>
      <c r="AR95" s="5" t="inlineStr">
        <is>
          <t>SOURCE-001; SOURCE-097</t>
        </is>
      </c>
      <c r="AS95" s="5" t="inlineStr">
        <is>
          <t>Medium</t>
        </is>
      </c>
      <c r="AT95" s="5" t="inlineStr">
        <is>
          <t>Worldwide gross is the infobox estimate of ₹1,050.30 crore. No Romances row: the summary describes Pathaan and Rubai's alliance and betrayal but no stated romance. No verdict label found.</t>
        </is>
      </c>
    </row>
    <row r="96" ht="94" customHeight="1">
      <c r="A96" s="15" t="inlineStr">
        <is>
          <t>FILM-095</t>
        </is>
      </c>
      <c r="B96" s="5" t="inlineStr">
        <is>
          <t>Jawan</t>
        </is>
      </c>
      <c r="C96" s="16" t="n">
        <v>45176</v>
      </c>
      <c r="D96" s="17" t="n">
        <v>2023</v>
      </c>
      <c r="E96" s="5" t="inlineStr">
        <is>
          <t>2020s</t>
        </is>
      </c>
      <c r="F96" s="5" t="inlineStr">
        <is>
          <t>Hindi</t>
        </is>
      </c>
      <c r="G96" s="5" t="inlineStr">
        <is>
          <t>Action thriller</t>
        </is>
      </c>
      <c r="H96" s="5" t="inlineStr">
        <is>
          <t>Vigilante</t>
        </is>
      </c>
      <c r="I96" s="17" t="n">
        <v>169</v>
      </c>
      <c r="J96" s="5" t="inlineStr">
        <is>
          <t>Atlee</t>
        </is>
      </c>
      <c r="K96" s="5" t="inlineStr">
        <is>
          <t>Gauri Khan</t>
        </is>
      </c>
      <c r="L96" s="5" t="inlineStr">
        <is>
          <t>Red Chillies Entertainment</t>
        </is>
      </c>
      <c r="M96" s="5" t="inlineStr">
        <is>
          <t>Atlee; S. Ramanagirivasan</t>
        </is>
      </c>
      <c r="N96" s="5" t="n"/>
      <c r="O96" s="5" t="inlineStr">
        <is>
          <t>Anirudh Ravichander</t>
        </is>
      </c>
      <c r="P96" s="5" t="inlineStr">
        <is>
          <t>Anirudh Ravichander</t>
        </is>
      </c>
      <c r="Q96" s="5" t="n"/>
      <c r="R96" s="5" t="inlineStr">
        <is>
          <t>Azad Rathore</t>
        </is>
      </c>
      <c r="S96" s="5" t="inlineStr">
        <is>
          <t>Double role: his father, Captain Vikram Rathore</t>
        </is>
      </c>
      <c r="T96" s="5" t="inlineStr">
        <is>
          <t>Lead</t>
        </is>
      </c>
      <c r="U96" s="18" t="n">
        <v>1</v>
      </c>
      <c r="V96" s="5" t="inlineStr">
        <is>
          <t>IPS officer and women's-prison jailer (Azad); army commando (Vikram)</t>
        </is>
      </c>
      <c r="W96" s="5" t="inlineStr">
        <is>
          <t>Born in prison to a mother later executed; father framed as a traitor</t>
        </is>
      </c>
      <c r="X96" s="19" t="inlineStr">
        <is>
          <t>Azad, a prison jailer, leads a gang of women inmates in heists that expose corruption, from farmer suicides to a hospital's oxygen shortage, while marrying Narmada, the officer hunting him. He is the son of Captain Vikram Rathore, framed as a traitor by the arms dealer Kalee and presumed dead, and of Aishwarya, executed after giving birth in prison. Azad finds his amnesiac father alive, and together they defeat and hang Kalee.</t>
        </is>
      </c>
      <c r="Y96" s="19" t="inlineStr">
        <is>
          <t>Clearing his father's name and delivering justice to the oppressed</t>
        </is>
      </c>
      <c r="Z96" s="19" t="inlineStr">
        <is>
          <t>The arms dealer Kalee Gaikwad and a corrupt system</t>
        </is>
      </c>
      <c r="AA96" s="19" t="inlineStr">
        <is>
          <t>Vigilante son fulfils his mother's charge and finds his father</t>
        </is>
      </c>
      <c r="AB96" s="19" t="inlineStr">
        <is>
          <t>Heroic</t>
        </is>
      </c>
      <c r="AC96" s="5" t="inlineStr">
        <is>
          <t>Kalee is hanged; Azad takes on a new mission</t>
        </is>
      </c>
      <c r="AD96" s="5" t="inlineStr">
        <is>
          <t>Nayanthara; Deepika Padukone</t>
        </is>
      </c>
      <c r="AE96" s="5" t="inlineStr">
        <is>
          <t>Minor</t>
        </is>
      </c>
      <c r="AF96" s="18" t="n">
        <v>3</v>
      </c>
      <c r="AG96" s="19" t="inlineStr">
        <is>
          <t>Romance subordinate to another genre</t>
        </is>
      </c>
      <c r="AH96" s="21" t="n">
        <v>300</v>
      </c>
      <c r="AI96" s="5" t="n"/>
      <c r="AJ96" s="21" t="n">
        <v>761.98</v>
      </c>
      <c r="AK96" s="21" t="n">
        <v>386.34</v>
      </c>
      <c r="AL96" s="21" t="n">
        <v>1148.32</v>
      </c>
      <c r="AM96" s="5" t="inlineStr">
        <is>
          <t>INR crore</t>
        </is>
      </c>
      <c r="AN96" s="5" t="n"/>
      <c r="AO96" s="20" t="n"/>
      <c r="AP96" s="19" t="inlineStr">
        <is>
          <t>The article reports mixed reviews, though it scored 89% on Rotten Tomatoes. Nandini Ramnath (Scroll.in) said Khan's screen image 'helps sell a conceit that might have crashed with any other actor'; Uday Bhatia (Mint Lounge) called it a 'chaotic mess'.</t>
        </is>
      </c>
      <c r="AQ96" s="19" t="inlineStr">
        <is>
          <t>Record opening-day net of ₹75.4 crore in India across versions; became the highest net-grossing Hindi film in India, overtaking Pathaan. Filmfare nominations including Best Film and Best Actor. Atlee's Hindi debut.</t>
        </is>
      </c>
      <c r="AR96" s="5" t="inlineStr">
        <is>
          <t>SOURCE-001; SOURCE-098</t>
        </is>
      </c>
      <c r="AS96" s="5" t="inlineStr">
        <is>
          <t>Medium</t>
        </is>
      </c>
      <c r="AT96" s="5" t="inlineStr">
        <is>
          <t>Worldwide gross over ₹1,148.32 crore as of 10 November 2023 (infobox ₹1,150 crore). No verdict label found.</t>
        </is>
      </c>
    </row>
    <row r="97" ht="49" customHeight="1">
      <c r="A97" s="15" t="inlineStr">
        <is>
          <t>FILM-096</t>
        </is>
      </c>
      <c r="B97" s="5" t="inlineStr">
        <is>
          <t>Tiger 3</t>
        </is>
      </c>
      <c r="C97" s="16" t="n">
        <v>45242</v>
      </c>
      <c r="D97" s="17" t="n">
        <v>2023</v>
      </c>
      <c r="E97" s="5" t="inlineStr">
        <is>
          <t>2020s</t>
        </is>
      </c>
      <c r="F97" s="5" t="inlineStr">
        <is>
          <t>Hindi</t>
        </is>
      </c>
      <c r="G97" s="5" t="inlineStr">
        <is>
          <t>Spy action thriller</t>
        </is>
      </c>
      <c r="H97" s="5" t="n"/>
      <c r="I97" s="17" t="n">
        <v>156</v>
      </c>
      <c r="J97" s="5" t="inlineStr">
        <is>
          <t>Maneesh Sharma</t>
        </is>
      </c>
      <c r="K97" s="5" t="inlineStr">
        <is>
          <t>Aditya Chopra</t>
        </is>
      </c>
      <c r="L97" s="5" t="inlineStr">
        <is>
          <t>Yash Raj Films</t>
        </is>
      </c>
      <c r="M97" s="5" t="inlineStr">
        <is>
          <t>Shridhar Raghavan (screenplay); Aditya Chopra (story)</t>
        </is>
      </c>
      <c r="N97" s="5" t="n"/>
      <c r="O97" s="5" t="inlineStr">
        <is>
          <t>Pritam</t>
        </is>
      </c>
      <c r="P97" s="5" t="inlineStr">
        <is>
          <t>Tanuj Tiku</t>
        </is>
      </c>
      <c r="Q97" s="5" t="n"/>
      <c r="R97" s="5" t="inlineStr">
        <is>
          <t>Pathaan</t>
        </is>
      </c>
      <c r="S97" s="5" t="n"/>
      <c r="T97" s="5" t="inlineStr">
        <is>
          <t>Cameo</t>
        </is>
      </c>
      <c r="U97" s="20" t="n"/>
      <c r="V97" s="5" t="n"/>
      <c r="W97" s="5" t="n"/>
      <c r="X97" s="19" t="inlineStr">
        <is>
          <t>Khan reprises Pathaan in a cameo in the fifth YRF Spy Universe film, helping Tiger escape after he is sentenced to death. Taran Adarsh singled out the cameo in his review.</t>
        </is>
      </c>
      <c r="Y97" s="19" t="n"/>
      <c r="Z97" s="19" t="n"/>
      <c r="AA97" s="19" t="n"/>
      <c r="AB97" s="19" t="n"/>
      <c r="AC97" s="5" t="n"/>
      <c r="AD97" s="5" t="n"/>
      <c r="AE97" s="5" t="inlineStr">
        <is>
          <t>None</t>
        </is>
      </c>
      <c r="AF97" s="18" t="n">
        <v>0</v>
      </c>
      <c r="AG97" s="19" t="inlineStr">
        <is>
          <t>No meaningful romance</t>
        </is>
      </c>
      <c r="AH97" s="21" t="n">
        <v>300</v>
      </c>
      <c r="AI97" s="5" t="n"/>
      <c r="AJ97" s="21" t="n">
        <v>345.78</v>
      </c>
      <c r="AK97" s="21" t="n">
        <v>120.55</v>
      </c>
      <c r="AL97" s="21" t="n">
        <v>466.63</v>
      </c>
      <c r="AM97" s="5" t="inlineStr">
        <is>
          <t>INR crore</t>
        </is>
      </c>
      <c r="AN97" s="5" t="n"/>
      <c r="AO97" s="20" t="n"/>
      <c r="AP97" s="19" t="inlineStr">
        <is>
          <t>Mixed reviews (55% on Rotten Tomatoes); Taran Adarsh (4/5) appreciated Khan's cameo.</t>
        </is>
      </c>
      <c r="AQ97" s="19" t="inlineStr">
        <is>
          <t>Record Diwali opening day for a Hindi film (₹94 crore worldwide).</t>
        </is>
      </c>
      <c r="AR97" s="5" t="inlineStr">
        <is>
          <t>SOURCE-001; SOURCE-099</t>
        </is>
      </c>
      <c r="AS97" s="5" t="inlineStr">
        <is>
          <t>Medium</t>
        </is>
      </c>
      <c r="AT97" s="5" t="inlineStr">
        <is>
          <t>Gross figures as of 15 December 2023.</t>
        </is>
      </c>
    </row>
    <row r="98" ht="109" customHeight="1">
      <c r="A98" s="15" t="inlineStr">
        <is>
          <t>FILM-097</t>
        </is>
      </c>
      <c r="B98" s="5" t="inlineStr">
        <is>
          <t>Dunki</t>
        </is>
      </c>
      <c r="C98" s="16" t="n">
        <v>45281</v>
      </c>
      <c r="D98" s="17" t="n">
        <v>2023</v>
      </c>
      <c r="E98" s="5" t="inlineStr">
        <is>
          <t>2020s</t>
        </is>
      </c>
      <c r="F98" s="5" t="inlineStr">
        <is>
          <t>Hindi</t>
        </is>
      </c>
      <c r="G98" s="5" t="inlineStr">
        <is>
          <t>Comedy-drama</t>
        </is>
      </c>
      <c r="H98" s="5" t="inlineStr">
        <is>
          <t>Immigration drama</t>
        </is>
      </c>
      <c r="I98" s="17" t="n">
        <v>161</v>
      </c>
      <c r="J98" s="5" t="inlineStr">
        <is>
          <t>Rajkumar Hirani</t>
        </is>
      </c>
      <c r="K98" s="5" t="inlineStr">
        <is>
          <t>Gauri Khan; Rajkumar Hirani</t>
        </is>
      </c>
      <c r="L98" s="5" t="inlineStr">
        <is>
          <t>Jio Studios; Red Chillies Entertainment; Rajkumar Hirani Films</t>
        </is>
      </c>
      <c r="M98" s="5" t="inlineStr">
        <is>
          <t>Rajkumar Hirani; Abhijat Joshi; Kanika Dhillon</t>
        </is>
      </c>
      <c r="N98" s="5" t="n"/>
      <c r="O98" s="5" t="inlineStr">
        <is>
          <t>Pritam</t>
        </is>
      </c>
      <c r="P98" s="5" t="inlineStr">
        <is>
          <t>Aman Pant</t>
        </is>
      </c>
      <c r="Q98" s="5" t="inlineStr">
        <is>
          <t>Javed Akhtar; Swanand Kirkire; IP Singh</t>
        </is>
      </c>
      <c r="R98" s="5" t="inlineStr">
        <is>
          <t>Hardayal "Hardy" Singh Dhillon</t>
        </is>
      </c>
      <c r="S98" s="5" t="n"/>
      <c r="T98" s="5" t="inlineStr">
        <is>
          <t>Lead</t>
        </is>
      </c>
      <c r="U98" s="18" t="n">
        <v>2</v>
      </c>
      <c r="V98" s="5" t="inlineStr">
        <is>
          <t>Former Indian Army soldier</t>
        </is>
      </c>
      <c r="W98" s="5" t="n"/>
      <c r="X98" s="19" t="inlineStr">
        <is>
          <t>Hardy, an ex-soldier, comes to a Punjab village to repay a debt to Manu's late brother and vows to get her and her friends to England. When visas fail he leads them on the perilous illegal 'donkey flight', but refuses to claim false persecution in a London court and is deported while the others stay. Twenty-five years later he brings the terminally ill Manu back to India through a ruse, confesses his love and proposes before she dies.</t>
        </is>
      </c>
      <c r="Y98" s="19" t="inlineStr">
        <is>
          <t>Repaying a debt and keeping his promise to Manu</t>
        </is>
      </c>
      <c r="Z98" s="19" t="inlineStr">
        <is>
          <t>Visa barriers and his refusal to disown India</t>
        </is>
      </c>
      <c r="AA98" s="19" t="inlineStr">
        <is>
          <t>Principled soldier loses and finally brings home the woman he loves</t>
        </is>
      </c>
      <c r="AB98" s="19" t="inlineStr">
        <is>
          <t>Heroic</t>
        </is>
      </c>
      <c r="AC98" s="5" t="inlineStr">
        <is>
          <t>Manu accepts his proposal and dies</t>
        </is>
      </c>
      <c r="AD98" s="5" t="inlineStr">
        <is>
          <t>Taapsee Pannu</t>
        </is>
      </c>
      <c r="AE98" s="5" t="inlineStr">
        <is>
          <t>Major</t>
        </is>
      </c>
      <c r="AF98" s="18" t="n">
        <v>6</v>
      </c>
      <c r="AG98" s="19" t="inlineStr">
        <is>
          <t>Tragic lovers</t>
        </is>
      </c>
      <c r="AH98" s="21" t="n">
        <v>85</v>
      </c>
      <c r="AI98" s="5" t="n"/>
      <c r="AJ98" s="21" t="n">
        <v>262.25</v>
      </c>
      <c r="AK98" s="21" t="n">
        <v>208.35</v>
      </c>
      <c r="AL98" s="21" t="n">
        <v>470.6</v>
      </c>
      <c r="AM98" s="5" t="inlineStr">
        <is>
          <t>INR crore</t>
        </is>
      </c>
      <c r="AN98" s="5" t="n"/>
      <c r="AO98" s="20" t="inlineStr">
        <is>
          <t>5 (Hindi, 2023)</t>
        </is>
      </c>
      <c r="AP98" s="19" t="inlineStr">
        <is>
          <t>Mixed reviews (48% on Rotten Tomatoes); critics praised Khan and Pannu, but Uday Bhatia (Mint Lounge) said the film uses migration as an occasion for grandstanding.</t>
        </is>
      </c>
      <c r="AQ98" s="19" t="inlineStr">
        <is>
          <t>Filmfare Best Supporting Actor for Vicky Kaushal; Khan nominated for Best Actor.</t>
        </is>
      </c>
      <c r="AR98" s="5" t="inlineStr">
        <is>
          <t>SOURCE-001; SOURCE-100</t>
        </is>
      </c>
      <c r="AS98" s="5" t="inlineStr">
        <is>
          <t>Medium</t>
        </is>
      </c>
      <c r="AT98" s="5" t="inlineStr">
        <is>
          <t>India ₹262.25 crore (Hindi nett ₹212.42 crore); overseas ₹208.35 crore; worldwide ₹470.6 crore. No verdict label found.</t>
        </is>
      </c>
    </row>
  </sheetData>
  <autoFilter ref="A1:AT98"/>
  <conditionalFormatting sqref="AF2:AF298">
    <cfRule type="colorScale" priority="1">
      <colorScale>
        <cfvo type="num" val="0"/>
        <cfvo type="num" val="5"/>
        <cfvo type="num" val="10"/>
        <color rgb="00FFFFFF"/>
        <color rgb="00FCE7B2"/>
        <color rgb="00E07B39"/>
      </colorScale>
    </cfRule>
  </conditionalFormatting>
  <dataValidations count="5">
    <dataValidation sqref="T2:T298" showDropDown="0" showInputMessage="0" showErrorMessage="1" allowBlank="1" errorTitle="Role Type" error="Choose a value from the list." type="list">
      <formula1>"Lead,Co-lead,Ensemble lead,Supporting,Antagonist,Extended special appearance,Cameo,Self appearance,Voice role,Narrator,Child role"</formula1>
    </dataValidation>
    <dataValidation sqref="AE2:AE298" showDropDown="0" showInputMessage="0" showErrorMessage="1" allowBlank="1" errorTitle="Romance Presence" error="Choose a value from the list." type="list">
      <formula1>"None,Implied,Minor,Secondary,Major,Central"</formula1>
    </dataValidation>
    <dataValidation sqref="AF2:AF298" showDropDown="0" showInputMessage="0" showErrorMessage="1" allowBlank="1" errorTitle="Romance Centrality Score" error="Enter a score from 0 to 10." type="decimal" operator="between">
      <formula1>0</formula1>
      <formula2>10</formula2>
    </dataValidation>
    <dataValidation sqref="AG2:AG298" showDropDown="0" showInputMessage="0" showErrorMessage="1" allowBlank="1" errorTitle="Overall Relationship Classification" error="Choose a value from the list." type="list">
      <formula1>Overview!$AN$2:$AN$20</formula1>
    </dataValidation>
    <dataValidation sqref="AS2:AS298"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0" customWidth="1" min="5" max="5"/>
    <col width="20" customWidth="1" min="6" max="6"/>
    <col width="20" customWidth="1" min="7" max="7"/>
    <col width="18" customWidth="1" min="8" max="8"/>
    <col width="14" customWidth="1" min="9" max="9"/>
    <col width="30" customWidth="1" min="10" max="10"/>
    <col width="22" customWidth="1" min="11" max="11"/>
    <col width="36" customWidth="1" min="12" max="12"/>
    <col width="18" customWidth="1" min="13" max="13"/>
    <col width="36" customWidth="1" min="14" max="14"/>
    <col width="36" customWidth="1" min="15" max="15"/>
    <col width="36" customWidth="1" min="16" max="16"/>
    <col width="10" customWidth="1" min="17" max="17"/>
    <col width="40" customWidth="1" min="18" max="18"/>
    <col width="10" customWidth="1" min="19" max="19"/>
    <col width="24" customWidth="1" min="20" max="20"/>
    <col width="40" customWidth="1" min="21" max="21"/>
    <col width="10" customWidth="1" min="22" max="22"/>
    <col width="40" customWidth="1" min="23" max="23"/>
    <col width="10" customWidth="1" min="24" max="24"/>
    <col width="10" customWidth="1" min="25" max="25"/>
    <col width="10" customWidth="1" min="26" max="26"/>
    <col width="10" customWidth="1" min="27" max="27"/>
    <col width="10" customWidth="1" min="28" max="28"/>
    <col width="36" customWidth="1" min="29" max="29"/>
    <col width="13" customWidth="1" min="30" max="30"/>
    <col width="13" customWidth="1" min="31" max="31"/>
    <col width="14" customWidth="1" min="32" max="32"/>
    <col width="14" customWidth="1" min="33" max="33"/>
    <col width="14" customWidth="1" min="34" max="34"/>
    <col width="13" customWidth="1" min="35" max="35"/>
    <col width="14" customWidth="1" min="36" max="36"/>
    <col width="36" customWidth="1" min="37" max="37"/>
    <col width="36" customWidth="1" min="38" max="38"/>
    <col width="30" customWidth="1" min="39" max="39"/>
    <col width="14" customWidth="1" min="40" max="40"/>
    <col width="16" customWidth="1" min="41" max="41"/>
    <col width="30" customWidth="1" min="42" max="42"/>
    <col width="60" customWidth="1" min="43" max="43"/>
    <col width="50" customWidth="1" min="44" max="44"/>
    <col width="22" customWidth="1" min="45" max="45"/>
    <col width="12" customWidth="1" min="46" max="46"/>
  </cols>
  <sheetData>
    <row r="1" ht="51" customHeight="1">
      <c r="A1" s="12" t="inlineStr">
        <is>
          <t>Pairing ID</t>
        </is>
      </c>
      <c r="B1" s="12" t="inlineStr">
        <is>
          <t>Film ID</t>
        </is>
      </c>
      <c r="C1" s="12" t="inlineStr">
        <is>
          <t>Film</t>
        </is>
      </c>
      <c r="D1" s="12" t="inlineStr">
        <is>
          <t>Release Year</t>
        </is>
      </c>
      <c r="E1" s="12" t="inlineStr">
        <is>
          <t>Actor’s Character</t>
        </is>
      </c>
      <c r="F1" s="12" t="inlineStr">
        <is>
          <t>Actress</t>
        </is>
      </c>
      <c r="G1" s="12" t="inlineStr">
        <is>
          <t>Actress’s Character</t>
        </is>
      </c>
      <c r="H1" s="12" t="inlineStr">
        <is>
          <t>Actress Role Prominence</t>
        </is>
      </c>
      <c r="I1" s="12" t="inlineStr">
        <is>
          <t>Principal Female Lead</t>
        </is>
      </c>
      <c r="J1" s="13" t="inlineStr">
        <is>
          <t>Relationship Category</t>
        </is>
      </c>
      <c r="K1" s="12" t="inlineStr">
        <is>
          <t>Initial Relationship</t>
        </is>
      </c>
      <c r="L1" s="12" t="inlineStr">
        <is>
          <t>How They Meet</t>
        </is>
      </c>
      <c r="M1" s="12" t="inlineStr">
        <is>
          <t>Who Initiates</t>
        </is>
      </c>
      <c r="N1" s="13" t="inlineStr">
        <is>
          <t>Courtship Pattern</t>
        </is>
      </c>
      <c r="O1" s="13" t="inlineStr">
        <is>
          <t>Emotional Dynamic</t>
        </is>
      </c>
      <c r="P1" s="13" t="inlineStr">
        <is>
          <t>Pair’s Principal Conflict</t>
        </is>
      </c>
      <c r="Q1" s="14" t="inlineStr">
        <is>
          <t>Pair Friction Score</t>
        </is>
      </c>
      <c r="R1" s="13" t="inlineStr">
        <is>
          <t>Pair Friction Explanation</t>
        </is>
      </c>
      <c r="S1" s="14" t="inlineStr">
        <is>
          <t>External Opposition Score</t>
        </is>
      </c>
      <c r="T1" s="12" t="inlineStr">
        <is>
          <t>External Opposition Source</t>
        </is>
      </c>
      <c r="U1" s="13" t="inlineStr">
        <is>
          <t>External Opposition Explanation</t>
        </is>
      </c>
      <c r="V1" s="14" t="inlineStr">
        <is>
          <t>Lover-Boy Score</t>
        </is>
      </c>
      <c r="W1" s="13" t="inlineStr">
        <is>
          <t>Lover-Boy Explanation</t>
        </is>
      </c>
      <c r="X1" s="14" t="inlineStr">
        <is>
          <t>Romance Centrality Score</t>
        </is>
      </c>
      <c r="Y1" s="14" t="inlineStr">
        <is>
          <t>Relationship Health Score</t>
        </is>
      </c>
      <c r="Z1" s="14" t="inlineStr">
        <is>
          <t>Mutuality Score</t>
        </is>
      </c>
      <c r="AA1" s="14" t="inlineStr">
        <is>
          <t>Female Agency Score</t>
        </is>
      </c>
      <c r="AB1" s="14" t="inlineStr">
        <is>
          <t>Chemistry Score</t>
        </is>
      </c>
      <c r="AC1" s="13" t="inlineStr">
        <is>
          <t>Chemistry Explanation</t>
        </is>
      </c>
      <c r="AD1" s="12" t="inlineStr">
        <is>
          <t>Playful Banter</t>
        </is>
      </c>
      <c r="AE1" s="12" t="inlineStr">
        <is>
          <t>Serious Conflict</t>
        </is>
      </c>
      <c r="AF1" s="12" t="inlineStr">
        <is>
          <t>Jealousy or Possessiveness</t>
        </is>
      </c>
      <c r="AG1" s="12" t="inlineStr">
        <is>
          <t>Deception or Mistaken Identity</t>
        </is>
      </c>
      <c r="AH1" s="12" t="inlineStr">
        <is>
          <t>Separation or Estrangement</t>
        </is>
      </c>
      <c r="AI1" s="12" t="inlineStr">
        <is>
          <t>Sacrifice</t>
        </is>
      </c>
      <c r="AJ1" s="12" t="inlineStr">
        <is>
          <t>Couple Functions as Team</t>
        </is>
      </c>
      <c r="AK1" s="13" t="inlineStr">
        <is>
          <t>Romantic Transformation of Actor’s Character</t>
        </is>
      </c>
      <c r="AL1" s="13" t="inlineStr">
        <is>
          <t>Transformation of Female Character</t>
        </is>
      </c>
      <c r="AM1" s="12" t="inlineStr">
        <is>
          <t>Relationship Outcome</t>
        </is>
      </c>
      <c r="AN1" s="12" t="inlineStr">
        <is>
          <t>Marriage or Long-Term Union</t>
        </is>
      </c>
      <c r="AO1" s="12" t="inlineStr">
        <is>
          <t>Happy, Tragic or Unresolved Ending</t>
        </is>
      </c>
      <c r="AP1" s="12" t="inlineStr">
        <is>
          <t>Major Romantic Songs</t>
        </is>
      </c>
      <c r="AQ1" s="13" t="inlineStr">
        <is>
          <t>Relationship Analysis</t>
        </is>
      </c>
      <c r="AR1" s="13" t="inlineStr">
        <is>
          <t>Contemporary Critical Reading</t>
        </is>
      </c>
      <c r="AS1" s="12" t="inlineStr">
        <is>
          <t>Source IDs</t>
        </is>
      </c>
      <c r="AT1" s="12" t="inlineStr">
        <is>
          <t>Confidence Grade</t>
        </is>
      </c>
    </row>
    <row r="2" ht="109" customHeight="1">
      <c r="A2" s="15" t="inlineStr">
        <is>
          <t>PAIR-001</t>
        </is>
      </c>
      <c r="B2" s="20" t="inlineStr">
        <is>
          <t>FILM-001</t>
        </is>
      </c>
      <c r="C2" s="5" t="inlineStr">
        <is>
          <t>Deewana</t>
        </is>
      </c>
      <c r="D2" s="17" t="n">
        <v>1992</v>
      </c>
      <c r="E2" s="5" t="inlineStr">
        <is>
          <t>Raja Sahai</t>
        </is>
      </c>
      <c r="F2" s="5" t="inlineStr">
        <is>
          <t>Divya Bharti</t>
        </is>
      </c>
      <c r="G2" s="5" t="inlineStr">
        <is>
          <t>Kajal</t>
        </is>
      </c>
      <c r="H2" s="5" t="inlineStr">
        <is>
          <t>Female lead</t>
        </is>
      </c>
      <c r="I2" s="5" t="inlineStr">
        <is>
          <t>Yes</t>
        </is>
      </c>
      <c r="J2" s="19" t="inlineStr">
        <is>
          <t>United couple versus external world</t>
        </is>
      </c>
      <c r="K2" s="5" t="inlineStr">
        <is>
          <t>Strangers</t>
        </is>
      </c>
      <c r="L2" s="5" t="inlineStr">
        <is>
          <t>Raja knocks down Kajal's mother-in-law Lakshmi Devi with his motorcycle, takes her home and meets Kajal.</t>
        </is>
      </c>
      <c r="M2" s="5" t="inlineStr">
        <is>
          <t>Raja</t>
        </is>
      </c>
      <c r="N2" s="19" t="inlineStr">
        <is>
          <t>Raja declares his love; Kajal cuts him short and reveals she is a widow. He returns with his suit, she keeps resisting, and he wins over her mother-in-law, who persuades Kajal to accept. Kajal realises she loves him only after he is hospitalised in an accident.</t>
        </is>
      </c>
      <c r="O2" s="19" t="inlineStr">
        <is>
          <t>His ardent persistence against her grief and reluctance, turning to mutual love after his accident</t>
        </is>
      </c>
      <c r="P2" s="19" t="inlineStr">
        <is>
          <t>Kajal's refusal to remarry and Raja's refusal to accept it.</t>
        </is>
      </c>
      <c r="Q2" s="18" t="n">
        <v>4</v>
      </c>
      <c r="R2" s="19" t="inlineStr">
        <is>
          <t>Kajal repeatedly rejects Raja, a sustained but non-hostile disagreement. Once she admits her love there is no documented conflict, and she chooses to stay with him when Ravi returns.</t>
        </is>
      </c>
      <c r="S2" s="18" t="n">
        <v>8</v>
      </c>
      <c r="T2" s="5" t="inlineStr">
        <is>
          <t>Family; Existing relationship; Villain</t>
        </is>
      </c>
      <c r="U2" s="19" t="inlineStr">
        <is>
          <t>Raja's father opposes a widow bride and throws him out; Kajal's first husband Ravi returns alive; Dhirendra kidnaps the couple and straps a bomb to Kajal, ending in Dhirendra's and Ravi's deaths.</t>
        </is>
      </c>
      <c r="V2" s="18" t="n">
        <v>9</v>
      </c>
      <c r="W2" s="19" t="inlineStr">
        <is>
          <t>Romance is Raja's overriding motive: he gives up his family's wealth to marry Kajal. A contemporary review described the role as 'a young man obsessed with love', and it launched Khan's romantic career.</t>
        </is>
      </c>
      <c r="X2" s="18" t="n">
        <v>9</v>
      </c>
      <c r="Y2" s="18" t="n">
        <v>5</v>
      </c>
      <c r="Z2" s="18" t="n">
        <v>6</v>
      </c>
      <c r="AA2" s="18" t="n">
        <v>4</v>
      </c>
      <c r="AB2" s="18" t="n">
        <v>7</v>
      </c>
      <c r="AC2" s="19" t="inlineStr">
        <is>
          <t>Anupama Chopra (2007) wrote that Bharti matched Khan's manic intensity 'emotion to emotion', and contemporary reviews singled out both performances. Interpretive score.</t>
        </is>
      </c>
      <c r="AD2" s="5" t="inlineStr">
        <is>
          <t>Unclear</t>
        </is>
      </c>
      <c r="AE2" s="5" t="inlineStr">
        <is>
          <t>Partial</t>
        </is>
      </c>
      <c r="AF2" s="5" t="inlineStr">
        <is>
          <t>Unclear</t>
        </is>
      </c>
      <c r="AG2" s="5" t="inlineStr">
        <is>
          <t>No</t>
        </is>
      </c>
      <c r="AH2" s="5" t="inlineStr">
        <is>
          <t>No</t>
        </is>
      </c>
      <c r="AI2" s="5" t="inlineStr">
        <is>
          <t>Yes</t>
        </is>
      </c>
      <c r="AJ2" s="5" t="inlineStr">
        <is>
          <t>Partial</t>
        </is>
      </c>
      <c r="AK2" s="19" t="inlineStr">
        <is>
          <t>From carefree rich son to a self-supporting husband who runs a garage.</t>
        </is>
      </c>
      <c r="AL2" s="19" t="inlineStr">
        <is>
          <t>From grieving widow to a woman who accepts remarriage and chooses her second husband over her returned first husband.</t>
        </is>
      </c>
      <c r="AM2" s="5" t="inlineStr">
        <is>
          <t>Married; they survive Dhirendra's plot and honour Ravi's sacrifice.</t>
        </is>
      </c>
      <c r="AN2" s="5" t="inlineStr">
        <is>
          <t>Yes</t>
        </is>
      </c>
      <c r="AO2" s="5" t="inlineStr">
        <is>
          <t>Happy</t>
        </is>
      </c>
      <c r="AP2" s="5" t="n"/>
      <c r="AQ2" s="19" t="inlineStr">
        <is>
          <t>Deewana presents Raja's persistence as devotion that overcomes the stigma of widow remarriage. His refusal to take no for an answer is rewarded, and Kajal's consent comes through her mother-in-law's persuasion before she feels love herself. Ravi's return tests the marriage, but Kajal's loyalty is not in doubt, so the real obstacles are external: a disapproving father and a greedy villain.</t>
        </is>
      </c>
      <c r="AR2" s="19" t="inlineStr">
        <is>
          <t>Contemporary reviewers saw a fresh take on the lover obsessed with love, and the film is regarded as an early treatment of widow remarriage. A modern reading credits the progressive theme but notes that the heroine's refusals are overridden by male persistence and family persuasion.</t>
        </is>
      </c>
      <c r="AS2" s="5" t="inlineStr">
        <is>
          <t>SOURCE-004</t>
        </is>
      </c>
      <c r="AT2" s="5" t="inlineStr">
        <is>
          <t>Medium</t>
        </is>
      </c>
    </row>
    <row r="3" ht="94" customHeight="1">
      <c r="A3" s="15" t="inlineStr">
        <is>
          <t>PAIR-002</t>
        </is>
      </c>
      <c r="B3" s="20" t="inlineStr">
        <is>
          <t>FILM-002</t>
        </is>
      </c>
      <c r="C3" s="5" t="inlineStr">
        <is>
          <t>Chamatkar</t>
        </is>
      </c>
      <c r="D3" s="17" t="n">
        <v>1992</v>
      </c>
      <c r="E3" s="5" t="inlineStr">
        <is>
          <t>Sundar Shrivastav</t>
        </is>
      </c>
      <c r="F3" s="5" t="inlineStr">
        <is>
          <t>Urmila Matondkar</t>
        </is>
      </c>
      <c r="G3" s="5" t="inlineStr">
        <is>
          <t>Mala Kumar</t>
        </is>
      </c>
      <c r="H3" s="5" t="inlineStr">
        <is>
          <t>Female lead</t>
        </is>
      </c>
      <c r="I3" s="5" t="inlineStr">
        <is>
          <t>Yes</t>
        </is>
      </c>
      <c r="J3" s="19" t="inlineStr">
        <is>
          <t>Romance subordinate to another genre</t>
        </is>
      </c>
      <c r="K3" s="5" t="inlineStr">
        <is>
          <t>Not documented</t>
        </is>
      </c>
      <c r="L3" s="5" t="inlineStr">
        <is>
          <t>Not documented beyond Sundar's job as cricket coach at the school run by Mala's grandfather, Mr. Kaul.</t>
        </is>
      </c>
      <c r="M3" s="5" t="inlineStr">
        <is>
          <t>Unclear</t>
        </is>
      </c>
      <c r="N3" s="19" t="inlineStr">
        <is>
          <t>Marco aids the romance and uses his ghostly powers to keep Kunta's goons from interfering.</t>
        </is>
      </c>
      <c r="O3" s="19" t="inlineStr">
        <is>
          <t>Gradual mutual attraction encouraged by Marco</t>
        </is>
      </c>
      <c r="P3" s="19" t="inlineStr">
        <is>
          <t>None documented.</t>
        </is>
      </c>
      <c r="Q3" s="18" t="n">
        <v>1</v>
      </c>
      <c r="R3" s="19" t="inlineStr">
        <is>
          <t>No conflict between the couple is recorded; low score carries Low confidence.</t>
        </is>
      </c>
      <c r="S3" s="18" t="n">
        <v>5</v>
      </c>
      <c r="T3" s="5" t="inlineStr">
        <is>
          <t>Villain</t>
        </is>
      </c>
      <c r="U3" s="19" t="inlineStr">
        <is>
          <t>Kunta's gang meddles in the couple's affairs and later abducts both and tries to bury them alive.</t>
        </is>
      </c>
      <c r="V3" s="18" t="n">
        <v>4</v>
      </c>
      <c r="W3" s="19" t="inlineStr">
        <is>
          <t>Sundar is mainly a comic hero redeeming Marco and saving the school; romance is a secondary strand.</t>
        </is>
      </c>
      <c r="X3" s="18" t="n">
        <v>3</v>
      </c>
      <c r="Y3" s="18" t="n">
        <v>7</v>
      </c>
      <c r="Z3" s="18" t="n">
        <v>6</v>
      </c>
      <c r="AA3" s="18" t="n">
        <v>5</v>
      </c>
      <c r="AB3" s="18" t="n">
        <v>5</v>
      </c>
      <c r="AC3" s="19" t="inlineStr">
        <is>
          <t>Interpretive reading; no fetched review assesses this pairing. The courtship is engineered by Marco's ghost, so the comic weight sits between Khan and Naseeruddin Shah; Khan and Matondkar play a pleasant but undeveloped attraction around it.</t>
        </is>
      </c>
      <c r="AD3" s="5" t="inlineStr">
        <is>
          <t>Unclear</t>
        </is>
      </c>
      <c r="AE3" s="5" t="inlineStr">
        <is>
          <t>No</t>
        </is>
      </c>
      <c r="AF3" s="5" t="inlineStr">
        <is>
          <t>Unclear</t>
        </is>
      </c>
      <c r="AG3" s="5" t="inlineStr">
        <is>
          <t>No</t>
        </is>
      </c>
      <c r="AH3" s="5" t="inlineStr">
        <is>
          <t>No</t>
        </is>
      </c>
      <c r="AI3" s="5" t="inlineStr">
        <is>
          <t>No</t>
        </is>
      </c>
      <c r="AJ3" s="5" t="inlineStr">
        <is>
          <t>Yes</t>
        </is>
      </c>
      <c r="AK3" s="19" t="inlineStr">
        <is>
          <t>Not documented as romantic; his growth comes from the mission.</t>
        </is>
      </c>
      <c r="AL3" s="19" t="inlineStr">
        <is>
          <t>Learns Marco is her father and persuades him to spare Kunta.</t>
        </is>
      </c>
      <c r="AM3" s="5" t="inlineStr">
        <is>
          <t>Sundar and Mala marry, with Marco's ghost attending.</t>
        </is>
      </c>
      <c r="AN3" s="5" t="inlineStr">
        <is>
          <t>Yes</t>
        </is>
      </c>
      <c r="AO3" s="5" t="inlineStr">
        <is>
          <t>Happy</t>
        </is>
      </c>
      <c r="AP3" s="5" t="n"/>
      <c r="AQ3" s="19" t="inlineStr">
        <is>
          <t>The romance is a by-product of the ghost-comedy plot: Marco engineers and protects the courtship, making the heroine's father its sponsor rather than its obstacle. Mala's one decisive act, calling Marco 'father' to stop him killing Kunta, gives her moral weight beyond the love story.</t>
        </is>
      </c>
      <c r="AR3" s="19" t="inlineStr">
        <is>
          <t>No contemporary reading of the pair was found. A modern reading sees a conventional, low-conflict romance serving a redemption fantasy.</t>
        </is>
      </c>
      <c r="AS3" s="5" t="inlineStr">
        <is>
          <t>SOURCE-005</t>
        </is>
      </c>
      <c r="AT3" s="5" t="inlineStr">
        <is>
          <t>Low</t>
        </is>
      </c>
    </row>
    <row r="4" ht="94" customHeight="1">
      <c r="A4" s="15" t="inlineStr">
        <is>
          <t>PAIR-003</t>
        </is>
      </c>
      <c r="B4" s="20" t="inlineStr">
        <is>
          <t>FILM-003</t>
        </is>
      </c>
      <c r="C4" s="5" t="inlineStr">
        <is>
          <t>Raju Ban Gaya Gentleman</t>
        </is>
      </c>
      <c r="D4" s="17" t="n">
        <v>1992</v>
      </c>
      <c r="E4" s="5" t="inlineStr">
        <is>
          <t>Raj "Raju" Mathur</t>
        </is>
      </c>
      <c r="F4" s="5" t="inlineStr">
        <is>
          <t>Juhi Chawla</t>
        </is>
      </c>
      <c r="G4" s="5" t="inlineStr">
        <is>
          <t>Renu Singh</t>
        </is>
      </c>
      <c r="H4" s="5" t="inlineStr">
        <is>
          <t>Female lead</t>
        </is>
      </c>
      <c r="I4" s="5" t="inlineStr">
        <is>
          <t>Yes</t>
        </is>
      </c>
      <c r="J4" s="19" t="inlineStr">
        <is>
          <t>Love triangle</t>
        </is>
      </c>
      <c r="K4" s="5" t="inlineStr">
        <is>
          <t>Strangers</t>
        </is>
      </c>
      <c r="L4" s="5" t="inlineStr">
        <is>
          <t>Renu, a secretary at a construction company, finds the jobless Raju a trainee position there.</t>
        </is>
      </c>
      <c r="M4" s="5" t="inlineStr">
        <is>
          <t>Unclear</t>
        </is>
      </c>
      <c r="N4" s="19" t="inlineStr">
        <is>
          <t>They fall in love while working at the same company; the plot summary gives no courtship detail.</t>
        </is>
      </c>
      <c r="O4" s="19" t="inlineStr">
        <is>
          <t>Renu supports Raju's rise, then is sidelined as he is drawn into Sapna's glamorous world</t>
        </is>
      </c>
      <c r="P4" s="19" t="inlineStr">
        <is>
          <t>Raju's attraction to wealth and glamour pulls him away from Renu.</t>
        </is>
      </c>
      <c r="Q4" s="18" t="n">
        <v>3</v>
      </c>
      <c r="R4" s="19" t="inlineStr">
        <is>
          <t>The strain comes from Raju's drift into the rich lifestyle, not open quarrels; no argument between them is recorded.</t>
        </is>
      </c>
      <c r="S4" s="18" t="n">
        <v>4</v>
      </c>
      <c r="T4" s="5" t="inlineStr">
        <is>
          <t>Class; Other</t>
        </is>
      </c>
      <c r="U4" s="19" t="inlineStr">
        <is>
          <t>Sapna's wealth and affection draw Raju away, and conspirators collapse a bridge under his supervision, disgracing him.</t>
        </is>
      </c>
      <c r="V4" s="18" t="n">
        <v>5</v>
      </c>
      <c r="W4" s="19" t="inlineStr">
        <is>
          <t>Raju is an ambitious newcomer whose main arc is career and moral choice; his love for Renu is the value he returns to.</t>
        </is>
      </c>
      <c r="X4" s="18" t="n">
        <v>6</v>
      </c>
      <c r="Y4" s="18" t="n">
        <v>7</v>
      </c>
      <c r="Z4" s="18" t="n">
        <v>7</v>
      </c>
      <c r="AA4" s="18" t="n">
        <v>5</v>
      </c>
      <c r="AB4" s="18" t="n">
        <v>7</v>
      </c>
      <c r="AC4" s="19" t="inlineStr">
        <is>
          <t>Interpretive reading; no fetched review assesses this pairing. The first Khan and Chawla film plays sincere, unhurried affection against the film's satire of ambition, and the ease between them is why the pair were cast together repeatedly afterwards.</t>
        </is>
      </c>
      <c r="AD4" s="5" t="inlineStr">
        <is>
          <t>Unclear</t>
        </is>
      </c>
      <c r="AE4" s="5" t="inlineStr">
        <is>
          <t>Partial</t>
        </is>
      </c>
      <c r="AF4" s="5" t="inlineStr">
        <is>
          <t>Unclear</t>
        </is>
      </c>
      <c r="AG4" s="5" t="inlineStr">
        <is>
          <t>No</t>
        </is>
      </c>
      <c r="AH4" s="5" t="inlineStr">
        <is>
          <t>Yes</t>
        </is>
      </c>
      <c r="AI4" s="5" t="inlineStr">
        <is>
          <t>Partial</t>
        </is>
      </c>
      <c r="AJ4" s="5" t="inlineStr">
        <is>
          <t>Partial</t>
        </is>
      </c>
      <c r="AK4" s="19" t="inlineStr">
        <is>
          <t>Rejects the glamorous world and chooses Renu and a modest life.</t>
        </is>
      </c>
      <c r="AL4" s="19" t="inlineStr">
        <is>
          <t>Not documented.</t>
        </is>
      </c>
      <c r="AM4" s="5" t="inlineStr">
        <is>
          <t>Reunited when Raju turns back to Renu as he is about to leave.</t>
        </is>
      </c>
      <c r="AN4" s="5" t="inlineStr">
        <is>
          <t>Unclear</t>
        </is>
      </c>
      <c r="AO4" s="5" t="inlineStr">
        <is>
          <t>Happy</t>
        </is>
      </c>
      <c r="AP4" s="5" t="n"/>
      <c r="AQ4" s="19" t="inlineStr">
        <is>
          <t>The romance is the moral compass of a fable modelled partly on Shree 420 and Anari: Renu stands for sincere, modest love and Sapna for the lure of wealth. Raju's return to Renu resolves his temptation by class rather than any conflict between the lovers.</t>
        </is>
      </c>
      <c r="AR4" s="19" t="inlineStr">
        <is>
          <t>No contemporary reading of the pair was found. A modern reading notes that Renu's role is largely to wait while the hero completes his moral education.</t>
        </is>
      </c>
      <c r="AS4" s="5" t="inlineStr">
        <is>
          <t>SOURCE-006</t>
        </is>
      </c>
      <c r="AT4" s="5" t="inlineStr">
        <is>
          <t>Low</t>
        </is>
      </c>
    </row>
    <row r="5" ht="79" customHeight="1">
      <c r="A5" s="15" t="inlineStr">
        <is>
          <t>PAIR-004</t>
        </is>
      </c>
      <c r="B5" s="20" t="inlineStr">
        <is>
          <t>FILM-003</t>
        </is>
      </c>
      <c r="C5" s="5" t="inlineStr">
        <is>
          <t>Raju Ban Gaya Gentleman</t>
        </is>
      </c>
      <c r="D5" s="17" t="n">
        <v>1992</v>
      </c>
      <c r="E5" s="5" t="inlineStr">
        <is>
          <t>Raj "Raju" Mathur</t>
        </is>
      </c>
      <c r="F5" s="5" t="inlineStr">
        <is>
          <t>Amrita Singh</t>
        </is>
      </c>
      <c r="G5" s="5" t="inlineStr">
        <is>
          <t>Sapna L. Chhabria</t>
        </is>
      </c>
      <c r="H5" s="5" t="inlineStr">
        <is>
          <t>Second female lead</t>
        </is>
      </c>
      <c r="I5" s="5" t="inlineStr">
        <is>
          <t>Partial</t>
        </is>
      </c>
      <c r="J5" s="19" t="inlineStr">
        <is>
          <t>Unrequited love</t>
        </is>
      </c>
      <c r="K5" s="5" t="inlineStr">
        <is>
          <t>Boss's daughter</t>
        </is>
      </c>
      <c r="L5" s="5" t="inlineStr">
        <is>
          <t>Raju attracts Sapna's attention as he becomes successful at her father's company.</t>
        </is>
      </c>
      <c r="M5" s="5" t="inlineStr">
        <is>
          <t>Sapna</t>
        </is>
      </c>
      <c r="N5" s="19" t="inlineStr">
        <is>
          <t>They spend more and more time together as Raju is caught up in her rich, glamorous lifestyle.</t>
        </is>
      </c>
      <c r="O5" s="19" t="inlineStr">
        <is>
          <t>Sapna falls in love; Raju is dazzled by her world but loves Renu</t>
        </is>
      </c>
      <c r="P5" s="19" t="inlineStr">
        <is>
          <t>Raju's love for Renu.</t>
        </is>
      </c>
      <c r="Q5" s="18" t="n">
        <v>3</v>
      </c>
      <c r="R5" s="19" t="inlineStr">
        <is>
          <t>No quarrel is recorded; the break comes when Sapna discovers that Raju loves Renu.</t>
        </is>
      </c>
      <c r="S5" s="18" t="n">
        <v>3</v>
      </c>
      <c r="T5" s="5" t="inlineStr">
        <is>
          <t>Existing relationship</t>
        </is>
      </c>
      <c r="U5" s="19" t="inlineStr">
        <is>
          <t>Raju's prior love for Renu is the only obstacle; no outside party opposes the pair.</t>
        </is>
      </c>
      <c r="V5" s="18" t="n">
        <v>2</v>
      </c>
      <c r="W5" s="19" t="inlineStr">
        <is>
          <t>Raju's involvement with Sapna expresses his temptation by wealth, not romantic devotion.</t>
        </is>
      </c>
      <c r="X5" s="18" t="n">
        <v>3</v>
      </c>
      <c r="Y5" s="18" t="n">
        <v>5</v>
      </c>
      <c r="Z5" s="18" t="n">
        <v>2</v>
      </c>
      <c r="AA5" s="18" t="n">
        <v>4</v>
      </c>
      <c r="AB5" s="18" t="n">
        <v>3</v>
      </c>
      <c r="AC5" s="19" t="inlineStr">
        <is>
          <t>Interpretive reading; no fetched review assesses this pairing. Sapna is written as temptation rather than partner, so the two share courtship by transaction; the film gives Amrita Singh little to answer Khan with.</t>
        </is>
      </c>
      <c r="AD5" s="5" t="inlineStr">
        <is>
          <t>Unclear</t>
        </is>
      </c>
      <c r="AE5" s="5" t="inlineStr">
        <is>
          <t>No</t>
        </is>
      </c>
      <c r="AF5" s="5" t="inlineStr">
        <is>
          <t>Unclear</t>
        </is>
      </c>
      <c r="AG5" s="5" t="inlineStr">
        <is>
          <t>Unclear</t>
        </is>
      </c>
      <c r="AH5" s="5" t="inlineStr">
        <is>
          <t>Yes</t>
        </is>
      </c>
      <c r="AI5" s="5" t="inlineStr">
        <is>
          <t>No</t>
        </is>
      </c>
      <c r="AJ5" s="5" t="inlineStr">
        <is>
          <t>No</t>
        </is>
      </c>
      <c r="AK5" s="19" t="inlineStr">
        <is>
          <t>His disillusionment with her world drives his return to Renu.</t>
        </is>
      </c>
      <c r="AL5" s="19" t="inlineStr">
        <is>
          <t>Heartbroken on learning Raju loves Renu.</t>
        </is>
      </c>
      <c r="AM5" s="5" t="inlineStr">
        <is>
          <t>Sapna is heartbroken; no relationship forms.</t>
        </is>
      </c>
      <c r="AN5" s="5" t="inlineStr">
        <is>
          <t>No</t>
        </is>
      </c>
      <c r="AO5" s="5" t="inlineStr">
        <is>
          <t>Unresolved</t>
        </is>
      </c>
      <c r="AP5" s="5" t="n"/>
      <c r="AQ5" s="19" t="inlineStr">
        <is>
          <t>Sapna is the wealthy temptation in the film's moral triangle. Her love is sincere but one-sided, and the film uses her heartbreak to mark the cost of Raju's drift rather than to develop her as a character.</t>
        </is>
      </c>
      <c r="AR5" s="19" t="inlineStr">
        <is>
          <t>No contemporary reading of the pair was found. A modern reading sees a familiar class binary in which the rich woman loses.</t>
        </is>
      </c>
      <c r="AS5" s="5" t="inlineStr">
        <is>
          <t>SOURCE-006</t>
        </is>
      </c>
      <c r="AT5" s="5" t="inlineStr">
        <is>
          <t>Low</t>
        </is>
      </c>
    </row>
    <row r="6" ht="64" customHeight="1">
      <c r="A6" s="15" t="inlineStr">
        <is>
          <t>PAIR-005</t>
        </is>
      </c>
      <c r="B6" s="20" t="inlineStr">
        <is>
          <t>FILM-004</t>
        </is>
      </c>
      <c r="C6" s="5" t="inlineStr">
        <is>
          <t>Dil Aashna Hai</t>
        </is>
      </c>
      <c r="D6" s="17" t="n">
        <v>1992</v>
      </c>
      <c r="E6" s="5" t="inlineStr">
        <is>
          <t>Karan Singh</t>
        </is>
      </c>
      <c r="F6" s="5" t="inlineStr">
        <is>
          <t>Divya Bharti</t>
        </is>
      </c>
      <c r="G6" s="5" t="inlineStr">
        <is>
          <t>Laila / Sitara</t>
        </is>
      </c>
      <c r="H6" s="5" t="inlineStr">
        <is>
          <t>Female lead and central protagonist</t>
        </is>
      </c>
      <c r="I6" s="5" t="inlineStr">
        <is>
          <t>Yes</t>
        </is>
      </c>
      <c r="J6" s="19" t="inlineStr">
        <is>
          <t>Frictionless idealized romance</t>
        </is>
      </c>
      <c r="K6" s="5" t="inlineStr">
        <is>
          <t>Not documented</t>
        </is>
      </c>
      <c r="L6" s="5" t="inlineStr">
        <is>
          <t>Not documented; Laila is a cabaret dancer at Digvijay Singh's hotel.</t>
        </is>
      </c>
      <c r="M6" s="5" t="inlineStr">
        <is>
          <t>Karan</t>
        </is>
      </c>
      <c r="N6" s="19" t="inlineStr">
        <is>
          <t>Karan falls in love with Laila and helps her search for her birth mother, tracing three college friends and staging invitations to bring them together.</t>
        </is>
      </c>
      <c r="O6" s="19" t="inlineStr">
        <is>
          <t>Supportive partner to a heroine on a personal quest</t>
        </is>
      </c>
      <c r="P6" s="19" t="inlineStr">
        <is>
          <t>None documented.</t>
        </is>
      </c>
      <c r="Q6" s="18" t="n">
        <v>1</v>
      </c>
      <c r="R6" s="19" t="inlineStr">
        <is>
          <t>No conflict between the couple is recorded; low score carries Low confidence.</t>
        </is>
      </c>
      <c r="S6" s="18" t="n">
        <v>4</v>
      </c>
      <c r="T6" s="5" t="inlineStr">
        <is>
          <t>Villain; Other</t>
        </is>
      </c>
      <c r="U6" s="19" t="inlineStr">
        <is>
          <t>Digvijay Singh throws Laila out of his hotel, she is publicly insulted over her origins, and thugs sent by Digvijay Singh and Govardhan Das kidnap her.</t>
        </is>
      </c>
      <c r="V6" s="18" t="n">
        <v>6</v>
      </c>
      <c r="W6" s="19" t="inlineStr">
        <is>
          <t>Karan is a devoted romantic hero, but his narrative function is helper and rescuer in Laila's search for her mother.</t>
        </is>
      </c>
      <c r="X6" s="18" t="n">
        <v>4</v>
      </c>
      <c r="Y6" s="18" t="n">
        <v>8</v>
      </c>
      <c r="Z6" s="20" t="n"/>
      <c r="AA6" s="18" t="n">
        <v>7</v>
      </c>
      <c r="AB6" s="18" t="n">
        <v>7</v>
      </c>
      <c r="AC6" s="19" t="inlineStr">
        <is>
          <t>Wikipedia's reception section says Khan's chemistry with Divya Bharti 'was also appreciated'; no individual review was fetched. Interpretive score.</t>
        </is>
      </c>
      <c r="AD6" s="5" t="inlineStr">
        <is>
          <t>Unclear</t>
        </is>
      </c>
      <c r="AE6" s="5" t="inlineStr">
        <is>
          <t>No</t>
        </is>
      </c>
      <c r="AF6" s="5" t="inlineStr">
        <is>
          <t>Unclear</t>
        </is>
      </c>
      <c r="AG6" s="5" t="inlineStr">
        <is>
          <t>No</t>
        </is>
      </c>
      <c r="AH6" s="5" t="inlineStr">
        <is>
          <t>No</t>
        </is>
      </c>
      <c r="AI6" s="5" t="inlineStr">
        <is>
          <t>Unclear</t>
        </is>
      </c>
      <c r="AJ6" s="5" t="inlineStr">
        <is>
          <t>Yes</t>
        </is>
      </c>
      <c r="AK6" s="19" t="inlineStr">
        <is>
          <t>Not documented.</t>
        </is>
      </c>
      <c r="AL6" s="19" t="inlineStr">
        <is>
          <t>Laila learns her origins and is acknowledged by her mother.</t>
        </is>
      </c>
      <c r="AM6" s="5" t="inlineStr">
        <is>
          <t>Karan rescues Laila; the summary does not mention a marriage.</t>
        </is>
      </c>
      <c r="AN6" s="5" t="inlineStr">
        <is>
          <t>Unclear</t>
        </is>
      </c>
      <c r="AO6" s="5" t="inlineStr">
        <is>
          <t>Happy</t>
        </is>
      </c>
      <c r="AP6" s="5" t="n"/>
      <c r="AQ6" s="19" t="inlineStr">
        <is>
          <t>The love story supports the heroine's quest: Karan does the practical work of finding Laila's mother and rescuing her, while the dramatic weight belongs to Laila and the three women. Mutuality is not scored because Laila's feelings are not described.</t>
        </is>
      </c>
      <c r="AR6" s="19" t="inlineStr">
        <is>
          <t>Reception notes the appreciated Khan–Bharti chemistry and the film's progressive theme. A modern reading finds a healthy, supportive pairing that is thinly developed.</t>
        </is>
      </c>
      <c r="AS6" s="5" t="inlineStr">
        <is>
          <t>SOURCE-007</t>
        </is>
      </c>
      <c r="AT6" s="5" t="inlineStr">
        <is>
          <t>Low</t>
        </is>
      </c>
    </row>
    <row r="7" ht="64" customHeight="1">
      <c r="A7" s="15" t="inlineStr">
        <is>
          <t>PAIR-006</t>
        </is>
      </c>
      <c r="B7" s="20" t="inlineStr">
        <is>
          <t>FILM-005</t>
        </is>
      </c>
      <c r="C7" s="5" t="inlineStr">
        <is>
          <t>King Uncle</t>
        </is>
      </c>
      <c r="D7" s="17" t="n">
        <v>1993</v>
      </c>
      <c r="E7" s="5" t="inlineStr">
        <is>
          <t>Anil Bansal</t>
        </is>
      </c>
      <c r="F7" s="5" t="inlineStr">
        <is>
          <t>Nagma</t>
        </is>
      </c>
      <c r="G7" s="5" t="inlineStr">
        <is>
          <t>Kavita</t>
        </is>
      </c>
      <c r="H7" s="5" t="inlineStr">
        <is>
          <t>Supporting female role</t>
        </is>
      </c>
      <c r="I7" s="5" t="inlineStr">
        <is>
          <t>Partial</t>
        </is>
      </c>
      <c r="J7" s="19" t="inlineStr">
        <is>
          <t>United couple versus external world</t>
        </is>
      </c>
      <c r="K7" s="5" t="inlineStr">
        <is>
          <t>Not documented</t>
        </is>
      </c>
      <c r="L7" s="5" t="inlineStr">
        <is>
          <t>Not documented.</t>
        </is>
      </c>
      <c r="M7" s="5" t="inlineStr">
        <is>
          <t>Unclear</t>
        </is>
      </c>
      <c r="N7" s="19" t="inlineStr">
        <is>
          <t>Not documented beyond Anil marrying Kavita, a poor girl, in defiance of his brother.</t>
        </is>
      </c>
      <c r="O7" s="19" t="inlineStr">
        <is>
          <t>Not documented</t>
        </is>
      </c>
      <c r="P7" s="19" t="inlineStr">
        <is>
          <t>None documented.</t>
        </is>
      </c>
      <c r="Q7" s="18" t="n">
        <v>1</v>
      </c>
      <c r="R7" s="19" t="inlineStr">
        <is>
          <t>No conflict between the couple is recorded; low score carries Low confidence.</t>
        </is>
      </c>
      <c r="S7" s="18" t="n">
        <v>5</v>
      </c>
      <c r="T7" s="5" t="inlineStr">
        <is>
          <t>Family; Class</t>
        </is>
      </c>
      <c r="U7" s="19" t="inlineStr">
        <is>
          <t>Ashok, who hates poor people, opposes the match; Anil marries Kavita anyway and leaves the family home until the brothers reconcile.</t>
        </is>
      </c>
      <c r="V7" s="18" t="n">
        <v>4</v>
      </c>
      <c r="W7" s="19" t="inlineStr">
        <is>
          <t>Marrying Kavita is Anil's act of rebellion against his brother; the film centres on Ashok and Munna, so romance is a subplot.</t>
        </is>
      </c>
      <c r="X7" s="18" t="n">
        <v>2</v>
      </c>
      <c r="Y7" s="18" t="n">
        <v>7</v>
      </c>
      <c r="Z7" s="20" t="n"/>
      <c r="AA7" s="20" t="n"/>
      <c r="AB7" s="20" t="n"/>
      <c r="AC7" s="19" t="inlineStr">
        <is>
          <t>Not scored: no fetched source evaluates the pairing.</t>
        </is>
      </c>
      <c r="AD7" s="5" t="inlineStr">
        <is>
          <t>Unclear</t>
        </is>
      </c>
      <c r="AE7" s="5" t="inlineStr">
        <is>
          <t>No</t>
        </is>
      </c>
      <c r="AF7" s="5" t="inlineStr">
        <is>
          <t>Unclear</t>
        </is>
      </c>
      <c r="AG7" s="5" t="inlineStr">
        <is>
          <t>No</t>
        </is>
      </c>
      <c r="AH7" s="5" t="inlineStr">
        <is>
          <t>No</t>
        </is>
      </c>
      <c r="AI7" s="5" t="inlineStr">
        <is>
          <t>Yes</t>
        </is>
      </c>
      <c r="AJ7" s="5" t="inlineStr">
        <is>
          <t>Unclear</t>
        </is>
      </c>
      <c r="AK7" s="19" t="inlineStr">
        <is>
          <t>Leaves his wealthy home to marry for love.</t>
        </is>
      </c>
      <c r="AL7" s="19" t="inlineStr">
        <is>
          <t>Not documented.</t>
        </is>
      </c>
      <c r="AM7" s="5" t="inlineStr">
        <is>
          <t>Married; welcomed back when Ashok reforms.</t>
        </is>
      </c>
      <c r="AN7" s="5" t="inlineStr">
        <is>
          <t>Yes</t>
        </is>
      </c>
      <c r="AO7" s="5" t="inlineStr">
        <is>
          <t>Happy</t>
        </is>
      </c>
      <c r="AP7" s="5" t="n"/>
      <c r="AQ7" s="19" t="inlineStr">
        <is>
          <t>The marriage dramatises Ashok's contempt for the poor: Anil's choice of a poor wife is the family rupture that Munna's influence later heals. Kavita is described only by her class, so mutuality and agency are not scored.</t>
        </is>
      </c>
      <c r="AR7" s="19" t="inlineStr">
        <is>
          <t>No reading of the pair was found. A modern reading notes that the wife serves mainly as proof of the hero's egalitarian choice.</t>
        </is>
      </c>
      <c r="AS7" s="5" t="inlineStr">
        <is>
          <t>SOURCE-008</t>
        </is>
      </c>
      <c r="AT7" s="5" t="inlineStr">
        <is>
          <t>Low</t>
        </is>
      </c>
    </row>
    <row r="8" ht="94" customHeight="1">
      <c r="A8" s="15" t="inlineStr">
        <is>
          <t>PAIR-007</t>
        </is>
      </c>
      <c r="B8" s="20" t="inlineStr">
        <is>
          <t>FILM-006</t>
        </is>
      </c>
      <c r="C8" s="5" t="inlineStr">
        <is>
          <t>Maya Memsaab</t>
        </is>
      </c>
      <c r="D8" s="17" t="n">
        <v>1993</v>
      </c>
      <c r="E8" s="5" t="inlineStr">
        <is>
          <t>Lalit Kumar</t>
        </is>
      </c>
      <c r="F8" s="5" t="inlineStr">
        <is>
          <t>Deepa Sahi</t>
        </is>
      </c>
      <c r="G8" s="5" t="inlineStr">
        <is>
          <t>Maya Das</t>
        </is>
      </c>
      <c r="H8" s="5" t="inlineStr">
        <is>
          <t>Title role</t>
        </is>
      </c>
      <c r="I8" s="5" t="inlineStr">
        <is>
          <t>Yes</t>
        </is>
      </c>
      <c r="J8" s="19" t="inlineStr">
        <is>
          <t>Forbidden love</t>
        </is>
      </c>
      <c r="K8" s="5" t="inlineStr">
        <is>
          <t>Not documented</t>
        </is>
      </c>
      <c r="L8" s="5" t="inlineStr">
        <is>
          <t>Lalit enters Maya's life after her affair with Rudra.</t>
        </is>
      </c>
      <c r="M8" s="5" t="inlineStr">
        <is>
          <t>Unclear</t>
        </is>
      </c>
      <c r="N8" s="19" t="inlineStr">
        <is>
          <t>A passionate affair with a married woman whose husband is absorbed in his patients.</t>
        </is>
      </c>
      <c r="O8" s="19" t="inlineStr">
        <is>
          <t>Passionate but unfulfilling for Maya, who longs for more than physical desire</t>
        </is>
      </c>
      <c r="P8" s="19" t="inlineStr">
        <is>
          <t>Maya's dissatisfaction and her financial ruin.</t>
        </is>
      </c>
      <c r="Q8" s="18" t="n">
        <v>5</v>
      </c>
      <c r="R8" s="19" t="inlineStr">
        <is>
          <t>The affair does not satisfy Maya, and Lalit deserts her when her debts catch up with her: a serious rupture, though no open hostility is described.</t>
        </is>
      </c>
      <c r="S8" s="18" t="n">
        <v>4</v>
      </c>
      <c r="T8" s="5" t="inlineStr">
        <is>
          <t>Existing relationship; Other</t>
        </is>
      </c>
      <c r="U8" s="19" t="inlineStr">
        <is>
          <t>Maya's marriage to Charu keeps the affair clandestine, and the court order seizing her house brings it to an end.</t>
        </is>
      </c>
      <c r="V8" s="18" t="n">
        <v>3</v>
      </c>
      <c r="W8" s="19" t="inlineStr">
        <is>
          <t>Lalit is a passionate young lover, but he is one of Maya's affairs and abandons her; the role lacks the devotion of the lover-boy archetype.</t>
        </is>
      </c>
      <c r="X8" s="18" t="n">
        <v>6</v>
      </c>
      <c r="Y8" s="18" t="n">
        <v>2</v>
      </c>
      <c r="Z8" s="18" t="n">
        <v>4</v>
      </c>
      <c r="AA8" s="18" t="n">
        <v>8</v>
      </c>
      <c r="AB8" s="18" t="n">
        <v>5</v>
      </c>
      <c r="AC8" s="19" t="inlineStr">
        <is>
          <t>Interpretive reading; no fetched review assesses this pairing. The affair is filmed through Maya's longing, with Lalit as its young object; Mehta's stylised, distanced treatment makes the intimacy erotic in staging but cool in interaction.</t>
        </is>
      </c>
      <c r="AD8" s="5" t="inlineStr">
        <is>
          <t>Unclear</t>
        </is>
      </c>
      <c r="AE8" s="5" t="inlineStr">
        <is>
          <t>Partial</t>
        </is>
      </c>
      <c r="AF8" s="5" t="inlineStr">
        <is>
          <t>Unclear</t>
        </is>
      </c>
      <c r="AG8" s="5" t="inlineStr">
        <is>
          <t>Yes</t>
        </is>
      </c>
      <c r="AH8" s="5" t="inlineStr">
        <is>
          <t>Yes</t>
        </is>
      </c>
      <c r="AI8" s="5" t="inlineStr">
        <is>
          <t>No</t>
        </is>
      </c>
      <c r="AJ8" s="5" t="inlineStr">
        <is>
          <t>No</t>
        </is>
      </c>
      <c r="AK8" s="19" t="inlineStr">
        <is>
          <t>None documented; he leaves when Maya is ruined.</t>
        </is>
      </c>
      <c r="AL8" s="19" t="inlineStr">
        <is>
          <t>Maya's search for fulfilment through affairs and possessions ends in ruin and disappearance.</t>
        </is>
      </c>
      <c r="AM8" s="5" t="inlineStr">
        <is>
          <t>Lalit deserts Maya; she drinks a mystical potion and vanishes.</t>
        </is>
      </c>
      <c r="AN8" s="5" t="inlineStr">
        <is>
          <t>No</t>
        </is>
      </c>
      <c r="AO8" s="5" t="inlineStr">
        <is>
          <t>Tragic</t>
        </is>
      </c>
      <c r="AP8" s="5" t="n"/>
      <c r="AQ8" s="19" t="inlineStr">
        <is>
          <t>In this Madame Bovary adaptation the affair is one episode in Maya's search for fulfilment, and the film is organised around her desire rather than Lalit's. His desertion confirms a pattern of men who fail her. It is Khan's earliest role as an adulterous lover, far from the romantic-hero image he would build.</t>
        </is>
      </c>
      <c r="AR8" s="19" t="inlineStr">
        <is>
          <t>No contemporary reading of the pair was found. A modern reading sees a film that centres female desire and dissatisfaction, with the young lover as an unreliable escape.</t>
        </is>
      </c>
      <c r="AS8" s="5" t="inlineStr">
        <is>
          <t>SOURCE-009</t>
        </is>
      </c>
      <c r="AT8" s="5" t="inlineStr">
        <is>
          <t>Low</t>
        </is>
      </c>
    </row>
    <row r="9" ht="94" customHeight="1">
      <c r="A9" s="15" t="inlineStr">
        <is>
          <t>PAIR-008</t>
        </is>
      </c>
      <c r="B9" s="20" t="inlineStr">
        <is>
          <t>FILM-008</t>
        </is>
      </c>
      <c r="C9" s="5" t="inlineStr">
        <is>
          <t>Baazigar</t>
        </is>
      </c>
      <c r="D9" s="17" t="n">
        <v>1993</v>
      </c>
      <c r="E9" s="5" t="inlineStr">
        <is>
          <t>Ajay Sharma</t>
        </is>
      </c>
      <c r="F9" s="5" t="inlineStr">
        <is>
          <t>Shilpa Shetty</t>
        </is>
      </c>
      <c r="G9" s="5" t="inlineStr">
        <is>
          <t>Seema Chopra</t>
        </is>
      </c>
      <c r="H9" s="5" t="inlineStr">
        <is>
          <t>Second female lead (acting debut)</t>
        </is>
      </c>
      <c r="I9" s="5" t="inlineStr">
        <is>
          <t>Partial</t>
        </is>
      </c>
      <c r="J9" s="19" t="inlineStr">
        <is>
          <t>Unequal or coercive relationship</t>
        </is>
      </c>
      <c r="K9" s="5" t="inlineStr">
        <is>
          <t>Secret lovers</t>
        </is>
      </c>
      <c r="L9" s="5" t="inlineStr">
        <is>
          <t>Not documented.</t>
        </is>
      </c>
      <c r="M9" s="5" t="inlineStr">
        <is>
          <t>Ajay</t>
        </is>
      </c>
      <c r="N9" s="19" t="inlineStr">
        <is>
          <t>Ajay conducts a secret relationship with Seema as part of his plan against her father.</t>
        </is>
      </c>
      <c r="O9" s="19" t="inlineStr">
        <is>
          <t>Seema's love exploited by Ajay's revenge plot</t>
        </is>
      </c>
      <c r="P9" s="19" t="inlineStr">
        <is>
          <t>Her father's pressure to marry someone else, which Ajay answers by killing her.</t>
        </is>
      </c>
      <c r="Q9" s="18" t="n">
        <v>10</v>
      </c>
      <c r="R9" s="19" t="inlineStr">
        <is>
          <t>Ajay tricks Seema into writing a suicide note and pushes her off a building: the relationship is fundamentally destructive.</t>
        </is>
      </c>
      <c r="S9" s="18" t="n">
        <v>4</v>
      </c>
      <c r="T9" s="5" t="inlineStr">
        <is>
          <t>Family</t>
        </is>
      </c>
      <c r="U9" s="19" t="inlineStr">
        <is>
          <t>Madan Chopra pressures Seema to marry someone else.</t>
        </is>
      </c>
      <c r="V9" s="18" t="n">
        <v>1</v>
      </c>
      <c r="W9" s="19" t="inlineStr">
        <is>
          <t>The romance is a tool of Ajay's revenge; he has no romantic identity with Seema.</t>
        </is>
      </c>
      <c r="X9" s="18" t="n">
        <v>3</v>
      </c>
      <c r="Y9" s="18" t="n">
        <v>0</v>
      </c>
      <c r="Z9" s="18" t="n">
        <v>1</v>
      </c>
      <c r="AA9" s="18" t="n">
        <v>2</v>
      </c>
      <c r="AB9" s="18" t="n">
        <v>6</v>
      </c>
      <c r="AC9" s="19" t="inlineStr">
        <is>
          <t>Interpretive reading; no fetched review assesses this pairing. The twist depends on the romance being convincing, and Khan and Shetty play the secret courtship with enough sweetness that the rooftop murder lands as betrayal.</t>
        </is>
      </c>
      <c r="AD9" s="5" t="inlineStr">
        <is>
          <t>Unclear</t>
        </is>
      </c>
      <c r="AE9" s="5" t="inlineStr">
        <is>
          <t>Yes</t>
        </is>
      </c>
      <c r="AF9" s="5" t="inlineStr">
        <is>
          <t>No</t>
        </is>
      </c>
      <c r="AG9" s="5" t="inlineStr">
        <is>
          <t>Yes</t>
        </is>
      </c>
      <c r="AH9" s="5" t="inlineStr">
        <is>
          <t>No</t>
        </is>
      </c>
      <c r="AI9" s="5" t="inlineStr">
        <is>
          <t>No</t>
        </is>
      </c>
      <c r="AJ9" s="5" t="inlineStr">
        <is>
          <t>No</t>
        </is>
      </c>
      <c r="AK9" s="19" t="inlineStr">
        <is>
          <t>None; the murder confirms his path of revenge.</t>
        </is>
      </c>
      <c r="AL9" s="19" t="inlineStr">
        <is>
          <t>None; she is killed.</t>
        </is>
      </c>
      <c r="AM9" s="5" t="inlineStr">
        <is>
          <t>Ajay murders Seema and stages it as suicide.</t>
        </is>
      </c>
      <c r="AN9" s="5" t="inlineStr">
        <is>
          <t>No</t>
        </is>
      </c>
      <c r="AO9" s="5" t="inlineStr">
        <is>
          <t>Tragic</t>
        </is>
      </c>
      <c r="AP9" s="5" t="n"/>
      <c r="AQ9" s="19" t="inlineStr">
        <is>
          <t>Baazigar inverts the romantic-hero template: the attentive lover is a killer, and Seema's secret romance is the means of her death. The thriller depends on the audience recognising romantic trust as the weakness he exploits.</t>
        </is>
      </c>
      <c r="AR9" s="19" t="inlineStr">
        <is>
          <t>No contemporary reading of the pair was found. A modern reading sees a coercive, murderous relationship; the film invites partial sympathy for Ajay through his family's ruin.</t>
        </is>
      </c>
      <c r="AS9" s="5" t="inlineStr">
        <is>
          <t>SOURCE-011</t>
        </is>
      </c>
      <c r="AT9" s="5" t="inlineStr">
        <is>
          <t>Medium</t>
        </is>
      </c>
    </row>
    <row r="10" ht="94" customHeight="1">
      <c r="A10" s="15" t="inlineStr">
        <is>
          <t>PAIR-009</t>
        </is>
      </c>
      <c r="B10" s="20" t="inlineStr">
        <is>
          <t>FILM-008</t>
        </is>
      </c>
      <c r="C10" s="5" t="inlineStr">
        <is>
          <t>Baazigar</t>
        </is>
      </c>
      <c r="D10" s="17" t="n">
        <v>1993</v>
      </c>
      <c r="E10" s="5" t="inlineStr">
        <is>
          <t>Ajay Sharma</t>
        </is>
      </c>
      <c r="F10" s="5" t="inlineStr">
        <is>
          <t>Kajol</t>
        </is>
      </c>
      <c r="G10" s="5" t="inlineStr">
        <is>
          <t>Priya Chopra</t>
        </is>
      </c>
      <c r="H10" s="5" t="inlineStr">
        <is>
          <t>Female lead</t>
        </is>
      </c>
      <c r="I10" s="5" t="inlineStr">
        <is>
          <t>Yes</t>
        </is>
      </c>
      <c r="J10" s="19" t="inlineStr">
        <is>
          <t>Relationship damaged by mistrust</t>
        </is>
      </c>
      <c r="K10" s="5" t="inlineStr">
        <is>
          <t>Strangers</t>
        </is>
      </c>
      <c r="L10" s="5" t="inlineStr">
        <is>
          <t>Posing as Vicky Malhotra, Ajay lets Madan Chopra win a car race in Madras to gain the family's trust; Priya gradually falls for him.</t>
        </is>
      </c>
      <c r="M10" s="5" t="inlineStr">
        <is>
          <t>Ajay</t>
        </is>
      </c>
      <c r="N10" s="19" t="inlineStr">
        <is>
          <t>Courtship under a false identity, leading to an engagement arranged by Chopra.</t>
        </is>
      </c>
      <c r="O10" s="19" t="inlineStr">
        <is>
          <t>Priya's love turns to suspicion as her investigation into Seema's death closes in on her fiancé</t>
        </is>
      </c>
      <c r="P10" s="19" t="inlineStr">
        <is>
          <t>Priya's growing suspicion that her fiancé killed her sister.</t>
        </is>
      </c>
      <c r="Q10" s="18" t="n">
        <v>8</v>
      </c>
      <c r="R10" s="19" t="inlineStr">
        <is>
          <t>The relationship rests on a false identity and murder; Priya's suspicion and confrontation make it a serious rupture, softened only by her sympathy once he reveals his motive.</t>
        </is>
      </c>
      <c r="S10" s="18" t="n">
        <v>6</v>
      </c>
      <c r="T10" s="5" t="inlineStr">
        <is>
          <t>Family; Crime</t>
        </is>
      </c>
      <c r="U10" s="19" t="inlineStr">
        <is>
          <t>The feud between Ajay and Priya's father and the police investigation led by Inspector Karan make any future impossible; Chopra's final fight kills Ajay.</t>
        </is>
      </c>
      <c r="V10" s="18" t="n">
        <v>2</v>
      </c>
      <c r="W10" s="19" t="inlineStr">
        <is>
          <t>Ajay courts Priya as part of his revenge; romance is a disguise, not his motive.</t>
        </is>
      </c>
      <c r="X10" s="18" t="n">
        <v>5</v>
      </c>
      <c r="Y10" s="18" t="n">
        <v>1</v>
      </c>
      <c r="Z10" s="18" t="n">
        <v>3</v>
      </c>
      <c r="AA10" s="18" t="n">
        <v>7</v>
      </c>
      <c r="AB10" s="18" t="n">
        <v>7</v>
      </c>
      <c r="AC10" s="19" t="inlineStr">
        <is>
          <t>Interpretive reading; no fetched review assesses this pairing. The first Khan and Kajol film already shows the playful, quick rapport that later made them the era's defining screen couple, here shadowed by the audience's knowledge of his motive.</t>
        </is>
      </c>
      <c r="AD10" s="5" t="inlineStr">
        <is>
          <t>Unclear</t>
        </is>
      </c>
      <c r="AE10" s="5" t="inlineStr">
        <is>
          <t>Yes</t>
        </is>
      </c>
      <c r="AF10" s="5" t="inlineStr">
        <is>
          <t>No</t>
        </is>
      </c>
      <c r="AG10" s="5" t="inlineStr">
        <is>
          <t>Yes</t>
        </is>
      </c>
      <c r="AH10" s="5" t="inlineStr">
        <is>
          <t>Yes</t>
        </is>
      </c>
      <c r="AI10" s="5" t="inlineStr">
        <is>
          <t>No</t>
        </is>
      </c>
      <c r="AJ10" s="5" t="inlineStr">
        <is>
          <t>No</t>
        </is>
      </c>
      <c r="AK10" s="19" t="inlineStr">
        <is>
          <t>None documented; revenge remains his priority.</t>
        </is>
      </c>
      <c r="AL10" s="19" t="inlineStr">
        <is>
          <t>From trusting fiancée to an investigator who uncovers the truth and ends with sympathy for Ajay.</t>
        </is>
      </c>
      <c r="AM10" s="5" t="inlineStr">
        <is>
          <t>Ajay dies in his mother's arms as Priya watches.</t>
        </is>
      </c>
      <c r="AN10" s="5" t="inlineStr">
        <is>
          <t>No</t>
        </is>
      </c>
      <c r="AO10" s="5" t="inlineStr">
        <is>
          <t>Tragic</t>
        </is>
      </c>
      <c r="AP10" s="5" t="n"/>
      <c r="AQ10" s="19" t="inlineStr">
        <is>
          <t>Priya is the film's detective as much as its heroine: her investigation with Inspector Karan drives the second half and exposes the man she loves. Her sympathy after learning of Chopra's crimes lets the film end on tragic ambivalence rather than simple villainy.</t>
        </is>
      </c>
      <c r="AR10" s="19" t="inlineStr">
        <is>
          <t>No contemporary reading of the pair was found. A modern reading notes that the heroine's agency comes from seeing through the romance rather than from the romance itself.</t>
        </is>
      </c>
      <c r="AS10" s="5" t="inlineStr">
        <is>
          <t>SOURCE-011</t>
        </is>
      </c>
      <c r="AT10" s="5" t="inlineStr">
        <is>
          <t>Medium</t>
        </is>
      </c>
    </row>
    <row r="11" ht="109" customHeight="1">
      <c r="A11" s="15" t="inlineStr">
        <is>
          <t>PAIR-010</t>
        </is>
      </c>
      <c r="B11" s="20" t="inlineStr">
        <is>
          <t>FILM-009</t>
        </is>
      </c>
      <c r="C11" s="5" t="inlineStr">
        <is>
          <t>Darr</t>
        </is>
      </c>
      <c r="D11" s="17" t="n">
        <v>1993</v>
      </c>
      <c r="E11" s="5" t="inlineStr">
        <is>
          <t>Rahul Mehra</t>
        </is>
      </c>
      <c r="F11" s="5" t="inlineStr">
        <is>
          <t>Juhi Chawla</t>
        </is>
      </c>
      <c r="G11" s="5" t="inlineStr">
        <is>
          <t>Kiran Awasthi (later Malhotra)</t>
        </is>
      </c>
      <c r="H11" s="5" t="inlineStr">
        <is>
          <t>Female lead</t>
        </is>
      </c>
      <c r="I11" s="5" t="inlineStr">
        <is>
          <t>Yes</t>
        </is>
      </c>
      <c r="J11" s="19" t="inlineStr">
        <is>
          <t>Obsessive pursuit</t>
        </is>
      </c>
      <c r="K11" s="5" t="inlineStr">
        <is>
          <t>Former college classmates</t>
        </is>
      </c>
      <c r="L11" s="5" t="inlineStr">
        <is>
          <t>They were classmates; the film opens with Rahul already obsessed with her.</t>
        </is>
      </c>
      <c r="M11" s="5" t="inlineStr">
        <is>
          <t>Rahul</t>
        </is>
      </c>
      <c r="N11" s="19" t="inlineStr">
        <is>
          <t>Anonymous phone calls, uninvited visits on her birthday and at Holi, befriending her fiancé, attempted murder, vandalising the couple's home and finally an attempt to force her into marriage.</t>
        </is>
      </c>
      <c r="O11" s="19" t="inlineStr">
        <is>
          <t>Kiran's fear and refusal against Rahul's escalating possessiveness</t>
        </is>
      </c>
      <c r="P11" s="19" t="inlineStr">
        <is>
          <t>Kiran rejects Rahul and loves Sunil; Rahul refuses to accept it.</t>
        </is>
      </c>
      <c r="Q11" s="18" t="n">
        <v>10</v>
      </c>
      <c r="R11" s="19" t="inlineStr">
        <is>
          <t>There is no relationship, only stalking, violence and an attempted forced marriage; Kiran consistently rejects Rahul's claim on her.</t>
        </is>
      </c>
      <c r="S11" s="18" t="n">
        <v>7</v>
      </c>
      <c r="T11" s="5" t="inlineStr">
        <is>
          <t>Existing relationship; Family</t>
        </is>
      </c>
      <c r="U11" s="19" t="inlineStr">
        <is>
          <t>Kiran's engagement and marriage to Sunil, her brother's family and police protection stand between Rahul and Kiran; Sunil finally shoots him.</t>
        </is>
      </c>
      <c r="V11" s="18" t="n">
        <v>3</v>
      </c>
      <c r="W11" s="19" t="inlineStr">
        <is>
          <t>Obsessive love is Rahul's overwhelming motive, but the film frames him as a stalker and villain, not a romantic hero; the intensity is captured by romance centrality instead.</t>
        </is>
      </c>
      <c r="X11" s="18" t="n">
        <v>9</v>
      </c>
      <c r="Y11" s="18" t="n">
        <v>0</v>
      </c>
      <c r="Z11" s="18" t="n">
        <v>0</v>
      </c>
      <c r="AA11" s="18" t="n">
        <v>6</v>
      </c>
      <c r="AB11" s="18" t="n">
        <v>6</v>
      </c>
      <c r="AC11" s="19" t="inlineStr">
        <is>
          <t>Interpretive reading; no fetched review assesses this pairing; the article reports that Khan's obsessive lover was widely appreciated. The pair share pursuit rather than romance, and the charge comes from Khan's performance against Chawla's credible fear rather than from mutual interplay.</t>
        </is>
      </c>
      <c r="AD11" s="5" t="inlineStr">
        <is>
          <t>No</t>
        </is>
      </c>
      <c r="AE11" s="5" t="inlineStr">
        <is>
          <t>Yes</t>
        </is>
      </c>
      <c r="AF11" s="5" t="inlineStr">
        <is>
          <t>Yes</t>
        </is>
      </c>
      <c r="AG11" s="5" t="inlineStr">
        <is>
          <t>Yes</t>
        </is>
      </c>
      <c r="AH11" s="5" t="inlineStr">
        <is>
          <t>Not applicable</t>
        </is>
      </c>
      <c r="AI11" s="5" t="inlineStr">
        <is>
          <t>No</t>
        </is>
      </c>
      <c r="AJ11" s="5" t="inlineStr">
        <is>
          <t>No</t>
        </is>
      </c>
      <c r="AK11" s="19" t="inlineStr">
        <is>
          <t>Dying, he expresses shame and begs Kiran not to hate him.</t>
        </is>
      </c>
      <c r="AL11" s="19" t="inlineStr">
        <is>
          <t>From fear to resistance: she rejects his authority, locks herself away and feigns agreement to survive.</t>
        </is>
      </c>
      <c r="AM11" s="5" t="inlineStr">
        <is>
          <t>Sunil shoots Rahul dead; Kiran and Sunil return to India.</t>
        </is>
      </c>
      <c r="AN11" s="5" t="inlineStr">
        <is>
          <t>No</t>
        </is>
      </c>
      <c r="AO11" s="5" t="inlineStr">
        <is>
          <t>Tragic</t>
        </is>
      </c>
      <c r="AP11" s="5" t="n"/>
      <c r="AQ11" s="19" t="inlineStr">
        <is>
          <t>Darr splits the romantic hero in two: Sunil is the sanctioned lover and Rahul the obsessive one, and the film's force comes from giving the obsessive lover the charisma and the stammered 'I love you, K-k-k-Kiran'. The pair never forms a relationship; Kiran's story is one of surviving pursuit.</t>
        </is>
      </c>
      <c r="AR11" s="19" t="inlineStr">
        <is>
          <t>Khan's portrayal of an obsessive lover was widely appreciated by critics and audiences, and his stammered line became iconic. A modern reading treats the role as a portrait of stalking and coercion whose star appeal risks romanticising the stalker.</t>
        </is>
      </c>
      <c r="AS11" s="5" t="inlineStr">
        <is>
          <t>SOURCE-012</t>
        </is>
      </c>
      <c r="AT11" s="5" t="inlineStr">
        <is>
          <t>Medium</t>
        </is>
      </c>
    </row>
    <row r="12" ht="94" customHeight="1">
      <c r="A12" s="15" t="inlineStr">
        <is>
          <t>PAIR-011</t>
        </is>
      </c>
      <c r="B12" s="20" t="inlineStr">
        <is>
          <t>FILM-010</t>
        </is>
      </c>
      <c r="C12" s="5" t="inlineStr">
        <is>
          <t>Kabhi Haan Kabhi Naa</t>
        </is>
      </c>
      <c r="D12" s="17" t="n">
        <v>1994</v>
      </c>
      <c r="E12" s="5" t="inlineStr">
        <is>
          <t>Sunil</t>
        </is>
      </c>
      <c r="F12" s="5" t="inlineStr">
        <is>
          <t>Suchitra Krishnamoorthi</t>
        </is>
      </c>
      <c r="G12" s="5" t="inlineStr">
        <is>
          <t>Anna Gonsalves</t>
        </is>
      </c>
      <c r="H12" s="5" t="inlineStr">
        <is>
          <t>Female lead (Hindi film debut)</t>
        </is>
      </c>
      <c r="I12" s="5" t="inlineStr">
        <is>
          <t>Yes</t>
        </is>
      </c>
      <c r="J12" s="19" t="inlineStr">
        <is>
          <t>Unrequited love</t>
        </is>
      </c>
      <c r="K12" s="5" t="inlineStr">
        <is>
          <t>Bandmates and friends</t>
        </is>
      </c>
      <c r="L12" s="5" t="inlineStr">
        <is>
          <t>They already play in the same six-member band; Anna rejoins it after time away.</t>
        </is>
      </c>
      <c r="M12" s="5" t="inlineStr">
        <is>
          <t>Sunil</t>
        </is>
      </c>
      <c r="N12" s="19" t="inlineStr">
        <is>
          <t>Sunil tries to reform himself to win Anna; seeing her closeness to Chris, he lies to break them up. After being exposed he regains the band's trust, consoles Anna when Chris's parents arrange another match, and briefly becomes her fiancé.</t>
        </is>
      </c>
      <c r="O12" s="19" t="inlineStr">
        <is>
          <t>Sunil's devoted but self-serving love against Anna's steady love for Chris</t>
        </is>
      </c>
      <c r="P12" s="19" t="inlineStr">
        <is>
          <t>Sunil's lies to separate Anna and Chris.</t>
        </is>
      </c>
      <c r="Q12" s="18" t="n">
        <v>6</v>
      </c>
      <c r="R12" s="19" t="inlineStr">
        <is>
          <t>Sunil's deliberate lies provoke Anna's fury: she slaps him and refuses to speak to him. The rift heals, but her love for Chris keeps them at odds with his hopes.</t>
        </is>
      </c>
      <c r="S12" s="18" t="n">
        <v>5</v>
      </c>
      <c r="T12" s="5" t="inlineStr">
        <is>
          <t>Existing relationship</t>
        </is>
      </c>
      <c r="U12" s="19" t="inlineStr">
        <is>
          <t>Anna and Chris love each other; Anna's father briefly favours Sunil only after Chris's parents fix another marriage.</t>
        </is>
      </c>
      <c r="V12" s="18" t="n">
        <v>8</v>
      </c>
      <c r="W12" s="19" t="inlineStr">
        <is>
          <t>Winning Anna is Sunil's defining motive alongside music, and his arc ends in romantic self-sacrifice; he is the film's romantic hero even though he loses.</t>
        </is>
      </c>
      <c r="X12" s="18" t="n">
        <v>8</v>
      </c>
      <c r="Y12" s="18" t="n">
        <v>5</v>
      </c>
      <c r="Z12" s="18" t="n">
        <v>2</v>
      </c>
      <c r="AA12" s="18" t="n">
        <v>6</v>
      </c>
      <c r="AB12" s="18" t="n">
        <v>6</v>
      </c>
      <c r="AC12" s="19" t="inlineStr">
        <is>
          <t>Interpretive reading; no fetched review assesses this pairing. The friendship scenes are warm and teasing, but Anna's affection is for Chris, so the rapport is real only as companionship and the film's appeal rests on Khan's lovable loser.</t>
        </is>
      </c>
      <c r="AD12" s="5" t="inlineStr">
        <is>
          <t>Unclear</t>
        </is>
      </c>
      <c r="AE12" s="5" t="inlineStr">
        <is>
          <t>Yes</t>
        </is>
      </c>
      <c r="AF12" s="5" t="inlineStr">
        <is>
          <t>Yes</t>
        </is>
      </c>
      <c r="AG12" s="5" t="inlineStr">
        <is>
          <t>Yes</t>
        </is>
      </c>
      <c r="AH12" s="5" t="inlineStr">
        <is>
          <t>Yes</t>
        </is>
      </c>
      <c r="AI12" s="5" t="inlineStr">
        <is>
          <t>Yes</t>
        </is>
      </c>
      <c r="AJ12" s="5" t="inlineStr">
        <is>
          <t>No</t>
        </is>
      </c>
      <c r="AK12" s="19" t="inlineStr">
        <is>
          <t>From a jealous schemer to a man who reunites Anna with Chris at the cost of his own hopes.</t>
        </is>
      </c>
      <c r="AL12" s="19" t="inlineStr">
        <is>
          <t>Not documented beyond her consistent choice of Chris.</t>
        </is>
      </c>
      <c r="AM12" s="5" t="inlineStr">
        <is>
          <t>Anna marries Chris; Sunil is heartbroken, then meets a new girl.</t>
        </is>
      </c>
      <c r="AN12" s="5" t="inlineStr">
        <is>
          <t>No</t>
        </is>
      </c>
      <c r="AO12" s="5" t="inlineStr">
        <is>
          <t>Unresolved</t>
        </is>
      </c>
      <c r="AP12" s="5" t="n"/>
      <c r="AQ12" s="19" t="inlineStr">
        <is>
          <t>The film tells a conventional triangle from the losing lover's side. Sunil's lies make him the obstacle to Anna and Chris, yet the film keeps him sympathetic and resolves his arc through self-sacrifice: he reunites the couple and wavers only once, over the dropped ring. It sets out the lovable loser who wins the audience rather than the girl.</t>
        </is>
      </c>
      <c r="AR12" s="19" t="inlineStr">
        <is>
          <t>Sampada Sharma (The Indian Express) observed that told conventionally this would be Chris and Anna's love story with Sunil as the villain; Kundan Shah instead makes him the hero, with subtle, circumstantial humour. A modern reading credits the film for letting the hero lose while noting that his deception is forgiven because it is charming.</t>
        </is>
      </c>
      <c r="AS12" s="5" t="inlineStr">
        <is>
          <t>SOURCE-013</t>
        </is>
      </c>
      <c r="AT12" s="5" t="inlineStr">
        <is>
          <t>Medium</t>
        </is>
      </c>
    </row>
    <row r="13" ht="109" customHeight="1">
      <c r="A13" s="15" t="inlineStr">
        <is>
          <t>PAIR-012</t>
        </is>
      </c>
      <c r="B13" s="20" t="inlineStr">
        <is>
          <t>FILM-011</t>
        </is>
      </c>
      <c r="C13" s="5" t="inlineStr">
        <is>
          <t>Anjaam</t>
        </is>
      </c>
      <c r="D13" s="17" t="n">
        <v>1994</v>
      </c>
      <c r="E13" s="5" t="inlineStr">
        <is>
          <t>Vijay Agnihotri</t>
        </is>
      </c>
      <c r="F13" s="5" t="inlineStr">
        <is>
          <t>Madhuri Dixit</t>
        </is>
      </c>
      <c r="G13" s="5" t="inlineStr">
        <is>
          <t>Shivani Chopra</t>
        </is>
      </c>
      <c r="H13" s="5" t="inlineStr">
        <is>
          <t>Female lead and protagonist</t>
        </is>
      </c>
      <c r="I13" s="5" t="inlineStr">
        <is>
          <t>Yes</t>
        </is>
      </c>
      <c r="J13" s="19" t="inlineStr">
        <is>
          <t>Obsessive pursuit</t>
        </is>
      </c>
      <c r="K13" s="5" t="inlineStr">
        <is>
          <t>Strangers</t>
        </is>
      </c>
      <c r="L13" s="5" t="inlineStr">
        <is>
          <t>Vijay, a wealthy industrialist, meets Shivani, an Air India air hostess, and is instantly infatuated.</t>
        </is>
      </c>
      <c r="M13" s="5" t="inlineStr">
        <is>
          <t>Vijay</t>
        </is>
      </c>
      <c r="N13" s="19" t="inlineStr">
        <is>
          <t>He tries to hire her as a model, pursues her and seeks her hand; after her marriage he befriends and employs her husband, uses her photographs in advertisements, kills her husband, frames her for attempted murder and repeatedly demands that she say she loves him.</t>
        </is>
      </c>
      <c r="O13" s="19" t="inlineStr">
        <is>
          <t>Vijay's possessive entitlement against Shivani's refusal and eventual vengeance</t>
        </is>
      </c>
      <c r="P13" s="19" t="inlineStr">
        <is>
          <t>Shivani's rejection and Vijay's violent obsession.</t>
        </is>
      </c>
      <c r="Q13" s="18" t="n">
        <v>10</v>
      </c>
      <c r="R13" s="19" t="inlineStr">
        <is>
          <t>There is no relationship, only persecution: Vijay kills her husband, beats and frames her, and causes her sister's and daughter's deaths; she finally kills him.</t>
        </is>
      </c>
      <c r="S13" s="18" t="n">
        <v>5</v>
      </c>
      <c r="T13" s="5" t="inlineStr">
        <is>
          <t>Existing relationship</t>
        </is>
      </c>
      <c r="U13" s="19" t="inlineStr">
        <is>
          <t>Shivani's marriage to Ashok stands between Vijay and his goal; Inspector Arjun, bribed by Vijay, works for him rather than against him.</t>
        </is>
      </c>
      <c r="V13" s="18" t="n">
        <v>2</v>
      </c>
      <c r="W13" s="19" t="inlineStr">
        <is>
          <t>Obsession drives Vijay, but the film makes him its antagonist; he has none of the lover boy's devotion or openness.</t>
        </is>
      </c>
      <c r="X13" s="18" t="n">
        <v>9</v>
      </c>
      <c r="Y13" s="18" t="n">
        <v>0</v>
      </c>
      <c r="Z13" s="18" t="n">
        <v>0</v>
      </c>
      <c r="AA13" s="18" t="n">
        <v>9</v>
      </c>
      <c r="AB13" s="18" t="n">
        <v>6</v>
      </c>
      <c r="AC13" s="19" t="inlineStr">
        <is>
          <t>Interpretive reading; no fetched review assesses this pairing. The interaction is antagonism, not romance; Dixit's loathing and Khan's mania make the confrontations forceful, but there is no attraction for the audience to believe in from her side.</t>
        </is>
      </c>
      <c r="AD13" s="5" t="inlineStr">
        <is>
          <t>No</t>
        </is>
      </c>
      <c r="AE13" s="5" t="inlineStr">
        <is>
          <t>Yes</t>
        </is>
      </c>
      <c r="AF13" s="5" t="inlineStr">
        <is>
          <t>Yes</t>
        </is>
      </c>
      <c r="AG13" s="5" t="inlineStr">
        <is>
          <t>Yes</t>
        </is>
      </c>
      <c r="AH13" s="5" t="inlineStr">
        <is>
          <t>Not applicable</t>
        </is>
      </c>
      <c r="AI13" s="5" t="inlineStr">
        <is>
          <t>No</t>
        </is>
      </c>
      <c r="AJ13" s="5" t="inlineStr">
        <is>
          <t>No</t>
        </is>
      </c>
      <c r="AK13" s="19" t="inlineStr">
        <is>
          <t>Paralysed after the accident, he is nursed back to health by Shivani and still demands her love.</t>
        </is>
      </c>
      <c r="AL13" s="19" t="inlineStr">
        <is>
          <t>From air hostess and mother to a hardened avenger who kills her persecutors and dies taking Vijay with her.</t>
        </is>
      </c>
      <c r="AM13" s="5" t="inlineStr">
        <is>
          <t>Shivani stabs Vijay and lets go on a cliff edge, and both fall to their deaths.</t>
        </is>
      </c>
      <c r="AN13" s="5" t="inlineStr">
        <is>
          <t>No</t>
        </is>
      </c>
      <c r="AO13" s="5" t="inlineStr">
        <is>
          <t>Tragic</t>
        </is>
      </c>
      <c r="AP13" s="5" t="n"/>
      <c r="AQ13" s="19" t="inlineStr">
        <is>
          <t>Anjaam pushes the Darr template further by making the pursued woman the protagonist and giving her the revenge plot. Vijay's obsession destroys her husband, sister, daughter and unborn child, and the film treats her violence as justice. Of Khan's early negative roles, this is the one least sympathetic to the obsessive lover.</t>
        </is>
      </c>
      <c r="AR13" s="19" t="inlineStr">
        <is>
          <t>The film is described as being about a woman facing the brunt of her obsessive lover and the atrocities committed against women, with Dixit as protagonist and Khan as antagonist. A modern reading sees an explicit critique of male entitlement, delivered through lurid revenge melodrama.</t>
        </is>
      </c>
      <c r="AS13" s="5" t="inlineStr">
        <is>
          <t>SOURCE-014</t>
        </is>
      </c>
      <c r="AT13" s="5" t="inlineStr">
        <is>
          <t>Medium</t>
        </is>
      </c>
    </row>
    <row r="14" ht="94" customHeight="1">
      <c r="A14" s="15" t="inlineStr">
        <is>
          <t>PAIR-013</t>
        </is>
      </c>
      <c r="B14" s="20" t="inlineStr">
        <is>
          <t>FILM-012</t>
        </is>
      </c>
      <c r="C14" s="5" t="inlineStr">
        <is>
          <t>Karan Arjun</t>
        </is>
      </c>
      <c r="D14" s="17" t="n">
        <v>1995</v>
      </c>
      <c r="E14" s="5" t="inlineStr">
        <is>
          <t>Arjun Singh</t>
        </is>
      </c>
      <c r="F14" s="5" t="inlineStr">
        <is>
          <t>Kajol</t>
        </is>
      </c>
      <c r="G14" s="5" t="inlineStr">
        <is>
          <t>Sonia Saxena</t>
        </is>
      </c>
      <c r="H14" s="5" t="inlineStr">
        <is>
          <t>Female lead</t>
        </is>
      </c>
      <c r="I14" s="5" t="inlineStr">
        <is>
          <t>Yes</t>
        </is>
      </c>
      <c r="J14" s="19" t="inlineStr">
        <is>
          <t>United couple versus external world</t>
        </is>
      </c>
      <c r="K14" s="5" t="inlineStr">
        <is>
          <t>Not documented</t>
        </is>
      </c>
      <c r="L14" s="5" t="inlineStr">
        <is>
          <t>Not documented; Vijay falls in love with the wealthy Sonia.</t>
        </is>
      </c>
      <c r="M14" s="5" t="inlineStr">
        <is>
          <t>Unclear</t>
        </is>
      </c>
      <c r="N14" s="19" t="inlineStr">
        <is>
          <t>Mutual love, opposed by Sonia's arranged marriage to Suraj, son of the villain Durjan Singh.</t>
        </is>
      </c>
      <c r="O14" s="19" t="inlineStr">
        <is>
          <t>Mutual devotion; Vijay acts as her rescuer</t>
        </is>
      </c>
      <c r="P14" s="19" t="inlineStr">
        <is>
          <t>None documented.</t>
        </is>
      </c>
      <c r="Q14" s="18" t="n">
        <v>1</v>
      </c>
      <c r="R14" s="19" t="inlineStr">
        <is>
          <t>Sonia loves Vijay as he loves her; no conflict between them is recorded.</t>
        </is>
      </c>
      <c r="S14" s="18" t="n">
        <v>9</v>
      </c>
      <c r="T14" s="5" t="inlineStr">
        <is>
          <t>Villain; Family; Class; Existing relationship</t>
        </is>
      </c>
      <c r="U14" s="19" t="inlineStr">
        <is>
          <t>Sonia's wedding is fixed to Suraj, who tries to kill Vijay; her father Govind is Durjan's criminal partner, Sonia is forcibly taken to Durjan's house, and a supposed elopement is a trap.</t>
        </is>
      </c>
      <c r="V14" s="18" t="n">
        <v>5</v>
      </c>
      <c r="W14" s="19" t="inlineStr">
        <is>
          <t>Vijay is a romantic hero, but the reincarnation-revenge plot dominates his role once he remembers being Arjun.</t>
        </is>
      </c>
      <c r="X14" s="18" t="n">
        <v>4</v>
      </c>
      <c r="Y14" s="18" t="n">
        <v>8</v>
      </c>
      <c r="Z14" s="18" t="n">
        <v>8</v>
      </c>
      <c r="AA14" s="18" t="n">
        <v>3</v>
      </c>
      <c r="AB14" s="18" t="n">
        <v>6</v>
      </c>
      <c r="AC14" s="19" t="inlineStr">
        <is>
          <t>Interpretive reading; no fetched review assesses this pairing. The romance is brief and song-led, and Khan and Kajol play it with easy charm, but the reincarnation plot and the brothers' bond take most of the screen time.</t>
        </is>
      </c>
      <c r="AD14" s="5" t="inlineStr">
        <is>
          <t>Unclear</t>
        </is>
      </c>
      <c r="AE14" s="5" t="inlineStr">
        <is>
          <t>No</t>
        </is>
      </c>
      <c r="AF14" s="5" t="inlineStr">
        <is>
          <t>Unclear</t>
        </is>
      </c>
      <c r="AG14" s="5" t="inlineStr">
        <is>
          <t>No</t>
        </is>
      </c>
      <c r="AH14" s="5" t="inlineStr">
        <is>
          <t>Yes</t>
        </is>
      </c>
      <c r="AI14" s="5" t="inlineStr">
        <is>
          <t>Unclear</t>
        </is>
      </c>
      <c r="AJ14" s="5" t="inlineStr">
        <is>
          <t>Partial</t>
        </is>
      </c>
      <c r="AK14" s="19" t="inlineStr">
        <is>
          <t>Travelling to rescue Sonia from her forced marriage brings back his memory of his past life as Arjun.</t>
        </is>
      </c>
      <c r="AL14" s="19" t="inlineStr">
        <is>
          <t>Not documented.</t>
        </is>
      </c>
      <c r="AM14" s="5" t="inlineStr">
        <is>
          <t>Vijay marries Sonia after Durjan is killed.</t>
        </is>
      </c>
      <c r="AN14" s="5" t="inlineStr">
        <is>
          <t>Yes</t>
        </is>
      </c>
      <c r="AO14" s="5" t="inlineStr">
        <is>
          <t>Happy</t>
        </is>
      </c>
      <c r="AP14" s="5" t="n"/>
      <c r="AQ14" s="19" t="inlineStr">
        <is>
          <t>The romance is the device that returns Vijay to his village and his past: his journey to save Sonia triggers his memory of being Arjun. Sonia is the prize held by the villain's family, and the relationship itself contains no conflict.</t>
        </is>
      </c>
      <c r="AR14" s="19" t="inlineStr">
        <is>
          <t>No reading of the pair was found. A modern reading sees a conventional rescue romance subordinate to the revenge saga.</t>
        </is>
      </c>
      <c r="AS14" s="5" t="inlineStr">
        <is>
          <t>SOURCE-015</t>
        </is>
      </c>
      <c r="AT14" s="5" t="inlineStr">
        <is>
          <t>Low</t>
        </is>
      </c>
    </row>
    <row r="15" ht="94" customHeight="1">
      <c r="A15" s="15" t="inlineStr">
        <is>
          <t>PAIR-014</t>
        </is>
      </c>
      <c r="B15" s="20" t="inlineStr">
        <is>
          <t>FILM-014</t>
        </is>
      </c>
      <c r="C15" s="5" t="inlineStr">
        <is>
          <t>Guddu</t>
        </is>
      </c>
      <c r="D15" s="17" t="n">
        <v>1995</v>
      </c>
      <c r="E15" s="5" t="inlineStr">
        <is>
          <t>Guddu Bahadur</t>
        </is>
      </c>
      <c r="F15" s="5" t="inlineStr">
        <is>
          <t>Manisha Koirala</t>
        </is>
      </c>
      <c r="G15" s="5" t="inlineStr">
        <is>
          <t>Salina Gupta</t>
        </is>
      </c>
      <c r="H15" s="5" t="inlineStr">
        <is>
          <t>Female lead</t>
        </is>
      </c>
      <c r="I15" s="5" t="inlineStr">
        <is>
          <t>Yes</t>
        </is>
      </c>
      <c r="J15" s="19" t="inlineStr">
        <is>
          <t>United couple versus external world</t>
        </is>
      </c>
      <c r="K15" s="5" t="inlineStr">
        <is>
          <t>Lovers at the film's start</t>
        </is>
      </c>
      <c r="L15" s="5" t="inlineStr">
        <is>
          <t>Not documented; they are already in love when the story begins.</t>
        </is>
      </c>
      <c r="M15" s="5" t="inlineStr">
        <is>
          <t>Unclear</t>
        </is>
      </c>
      <c r="N15" s="19" t="inlineStr">
        <is>
          <t>An established romance tested by a car accident that blinds Salina and a brain tumour that Guddu hides.</t>
        </is>
      </c>
      <c r="O15" s="19" t="inlineStr">
        <is>
          <t>Guilt and self-sacrifice on both sides: he blames himself, she stays away so as not to burden him</t>
        </is>
      </c>
      <c r="P15" s="19" t="inlineStr">
        <is>
          <t>Salina's refusal to meet Guddu after the accident.</t>
        </is>
      </c>
      <c r="Q15" s="18" t="n">
        <v>3</v>
      </c>
      <c r="R15" s="19" t="inlineStr">
        <is>
          <t>Salina avoids Guddu out of love rather than blame, a painful but non-hostile withdrawal.</t>
        </is>
      </c>
      <c r="S15" s="18" t="n">
        <v>7</v>
      </c>
      <c r="T15" s="5" t="inlineStr">
        <is>
          <t>Illness; Family</t>
        </is>
      </c>
      <c r="U15" s="19" t="inlineStr">
        <is>
          <t>Salina's guardians blame Guddu and keep him away; Guddu's brain tumour and his father's refusal to let him donate his eyes lead to a court case and both men's hospitalisation.</t>
        </is>
      </c>
      <c r="V15" s="18" t="n">
        <v>9</v>
      </c>
      <c r="W15" s="19" t="inlineStr">
        <is>
          <t>Guddu's devotion defines the role: facing death, he fights his father in court for the right to give Salina his eyes.</t>
        </is>
      </c>
      <c r="X15" s="18" t="n">
        <v>8</v>
      </c>
      <c r="Y15" s="18" t="n">
        <v>8</v>
      </c>
      <c r="Z15" s="18" t="n">
        <v>8</v>
      </c>
      <c r="AA15" s="18" t="n">
        <v>4</v>
      </c>
      <c r="AB15" s="18" t="n">
        <v>5</v>
      </c>
      <c r="AC15" s="19" t="inlineStr">
        <is>
          <t>Interpretive reading; no fetched review assesses this pairing. The devotional melodrama asks the pair to express love through sacrifice and illness, which leaves little room for lighter interplay between Khan and Koirala.</t>
        </is>
      </c>
      <c r="AD15" s="5" t="inlineStr">
        <is>
          <t>Unclear</t>
        </is>
      </c>
      <c r="AE15" s="5" t="inlineStr">
        <is>
          <t>No</t>
        </is>
      </c>
      <c r="AF15" s="5" t="inlineStr">
        <is>
          <t>No</t>
        </is>
      </c>
      <c r="AG15" s="5" t="inlineStr">
        <is>
          <t>No</t>
        </is>
      </c>
      <c r="AH15" s="5" t="inlineStr">
        <is>
          <t>Yes</t>
        </is>
      </c>
      <c r="AI15" s="5" t="inlineStr">
        <is>
          <t>Yes</t>
        </is>
      </c>
      <c r="AJ15" s="5" t="inlineStr">
        <is>
          <t>No</t>
        </is>
      </c>
      <c r="AK15" s="19" t="inlineStr">
        <is>
          <t>Guilt over the accident becomes a willingness to give up his eyes for Salina.</t>
        </is>
      </c>
      <c r="AL15" s="19" t="inlineStr">
        <is>
          <t>Regains her sight through the eyes of Guddu's mother, Kavita.</t>
        </is>
      </c>
      <c r="AM15" s="5" t="inlineStr">
        <is>
          <t>They marry and have twins.</t>
        </is>
      </c>
      <c r="AN15" s="5" t="inlineStr">
        <is>
          <t>Yes</t>
        </is>
      </c>
      <c r="AO15" s="5" t="inlineStr">
        <is>
          <t>Happy</t>
        </is>
      </c>
      <c r="AP15" s="5" t="n"/>
      <c r="AQ15" s="19" t="inlineStr">
        <is>
          <t>Guddu is a devotional melodrama in which love is proved through bodily sacrifice. The hero fights his father for the right to donate his eyes, and his mother's fatal fast delivers the miracle. The couple never quarrels; guilt, guardians and illness impose the separation.</t>
        </is>
      </c>
      <c r="AR15" s="19" t="inlineStr">
        <is>
          <t>No reading of the pair was found. A modern reading sees sincere melodrama that equates devotion with self-sacrifice.</t>
        </is>
      </c>
      <c r="AS15" s="5" t="inlineStr">
        <is>
          <t>SOURCE-017</t>
        </is>
      </c>
      <c r="AT15" s="5" t="inlineStr">
        <is>
          <t>Low</t>
        </is>
      </c>
    </row>
    <row r="16" ht="109" customHeight="1">
      <c r="A16" s="15" t="inlineStr">
        <is>
          <t>PAIR-015</t>
        </is>
      </c>
      <c r="B16" s="20" t="inlineStr">
        <is>
          <t>FILM-016</t>
        </is>
      </c>
      <c r="C16" s="5" t="inlineStr">
        <is>
          <t>Dilwale Dulhania Le Jayenge</t>
        </is>
      </c>
      <c r="D16" s="17" t="n">
        <v>1995</v>
      </c>
      <c r="E16" s="5" t="inlineStr">
        <is>
          <t>Raj Malhotra</t>
        </is>
      </c>
      <c r="F16" s="5" t="inlineStr">
        <is>
          <t>Kajol</t>
        </is>
      </c>
      <c r="G16" s="5" t="inlineStr">
        <is>
          <t>Simran Singh</t>
        </is>
      </c>
      <c r="H16" s="5" t="inlineStr">
        <is>
          <t>Female lead</t>
        </is>
      </c>
      <c r="I16" s="5" t="inlineStr">
        <is>
          <t>Yes</t>
        </is>
      </c>
      <c r="J16" s="19" t="inlineStr">
        <is>
          <t>United couple versus external world</t>
        </is>
      </c>
      <c r="K16" s="5" t="inlineStr">
        <is>
          <t>Strangers</t>
        </is>
      </c>
      <c r="L16" s="5" t="inlineStr">
        <is>
          <t>At the start of a backpacking trip across Europe, Raj helps a late Simran board a moving train.</t>
        </is>
      </c>
      <c r="M16" s="5" t="inlineStr">
        <is>
          <t>Raj</t>
        </is>
      </c>
      <c r="N16" s="19" t="inlineStr">
        <is>
          <t>Raj's flirting annoys Simran, but their groups keep meeting until the two miss a train and travel alone; they open up, and Simran falls in love. Raj follows her to Punjab, poses as her fiancé's friend and wins over her family while refusing to elope.</t>
        </is>
      </c>
      <c r="O16" s="19" t="inlineStr">
        <is>
          <t>Playful flirtation becomes deep mutual love; Raj's patience against Simran's filial duty</t>
        </is>
      </c>
      <c r="P16" s="19" t="inlineStr">
        <is>
          <t>Initial annoyance at Raj's flirting; later, Raj's refusal to elope without her father's blessing.</t>
        </is>
      </c>
      <c r="Q16" s="18" t="n">
        <v>3</v>
      </c>
      <c r="R16" s="19" t="inlineStr">
        <is>
          <t>Early irritation is playful, and from the journey onward the couple is aligned; the only strain is their powerlessness before Simran's father.</t>
        </is>
      </c>
      <c r="S16" s="18" t="n">
        <v>8</v>
      </c>
      <c r="T16" s="5" t="inlineStr">
        <is>
          <t>Family; Existing relationship; Distance</t>
        </is>
      </c>
      <c r="U16" s="19" t="inlineStr">
        <is>
          <t>Simran has been betrothed since childhood to Kuljeet; her father Baldev dictates her life, violently throws Raj out when he learns the truth, and Kuljeet's men ambush Raj at the station.</t>
        </is>
      </c>
      <c r="V16" s="18" t="n">
        <v>10</v>
      </c>
      <c r="W16" s="19" t="inlineStr">
        <is>
          <t>The defining lover-boy role: romance organises Raj's every action, from following Simran to India to insisting on her father's consent; a reviewer said Khan redefined 'the Lover for the 1990s'.</t>
        </is>
      </c>
      <c r="X16" s="18" t="n">
        <v>10</v>
      </c>
      <c r="Y16" s="18" t="n">
        <v>8</v>
      </c>
      <c r="Z16" s="18" t="n">
        <v>9</v>
      </c>
      <c r="AA16" s="18" t="n">
        <v>4</v>
      </c>
      <c r="AB16" s="18" t="n">
        <v>9</v>
      </c>
      <c r="AC16" s="19" t="inlineStr">
        <is>
          <t>Anupama Chopra (NDTV) credited 'the magic of Shah Rukh Khan and Kajol who created a template for modern love, which was hip and cool but resolutely Indian'. Interpretive score.</t>
        </is>
      </c>
      <c r="AD16" s="5" t="inlineStr">
        <is>
          <t>Yes</t>
        </is>
      </c>
      <c r="AE16" s="5" t="inlineStr">
        <is>
          <t>Partial</t>
        </is>
      </c>
      <c r="AF16" s="5" t="inlineStr">
        <is>
          <t>No</t>
        </is>
      </c>
      <c r="AG16" s="5" t="inlineStr">
        <is>
          <t>Yes</t>
        </is>
      </c>
      <c r="AH16" s="5" t="inlineStr">
        <is>
          <t>Yes</t>
        </is>
      </c>
      <c r="AI16" s="5" t="inlineStr">
        <is>
          <t>Partial</t>
        </is>
      </c>
      <c r="AJ16" s="5" t="inlineStr">
        <is>
          <t>Partial</t>
        </is>
      </c>
      <c r="AK16" s="19" t="inlineStr">
        <is>
          <t>From a brash, flirtatious young man with an unsettled view of life to a devoted suitor who will marry only with the family's blessing.</t>
        </is>
      </c>
      <c r="AL16" s="19" t="inlineStr">
        <is>
          <t>From a dutiful daughter who silently endures Kuljeet to a woman who begs her father to let her be with the man she loves.</t>
        </is>
      </c>
      <c r="AM16" s="5" t="inlineStr">
        <is>
          <t>Baldev relents at the station and Simran runs to board Raj's train.</t>
        </is>
      </c>
      <c r="AN16" s="5" t="inlineStr">
        <is>
          <t>Yes</t>
        </is>
      </c>
      <c r="AO16" s="5" t="inlineStr">
        <is>
          <t>Happy</t>
        </is>
      </c>
      <c r="AP16" s="5" t="n"/>
      <c r="AQ16" s="19" t="inlineStr">
        <is>
          <t>DDLJ fuses the diaspora hero's modern mobility with filial obedience: Raj wins Simran not by eloping but by earning her father's consent, and the film makes that refusal its moral centre. The lovers are aligned from the European journey onward, so nearly all conflict is external, from Baldev's childhood promise to Kuljeet's violence. Simran's choices are limited to pleading, which invites a modern reading of the romance as both liberating and conservative.</t>
        </is>
      </c>
      <c r="AR16" s="19" t="inlineStr">
        <is>
          <t>Anupama Chopra saw a romance of innocence in which Raj 'understands the importance of an Indian woman's honor' and a milestone that shaped 1990s Hindi cinema. A modern reading notes that the heroine's happiness depends on her father's permission and that the hero's respect for tradition is part of his appeal.</t>
        </is>
      </c>
      <c r="AS16" s="5" t="inlineStr">
        <is>
          <t>SOURCE-019</t>
        </is>
      </c>
      <c r="AT16" s="5" t="inlineStr">
        <is>
          <t>High</t>
        </is>
      </c>
    </row>
    <row r="17" ht="79" customHeight="1">
      <c r="A17" s="15" t="inlineStr">
        <is>
          <t>PAIR-016</t>
        </is>
      </c>
      <c r="B17" s="20" t="inlineStr">
        <is>
          <t>FILM-017</t>
        </is>
      </c>
      <c r="C17" s="5" t="inlineStr">
        <is>
          <t>Ram Jaane</t>
        </is>
      </c>
      <c r="D17" s="17" t="n">
        <v>1995</v>
      </c>
      <c r="E17" s="5" t="inlineStr">
        <is>
          <t>Ram Jaane</t>
        </is>
      </c>
      <c r="F17" s="5" t="inlineStr">
        <is>
          <t>Juhi Chawla</t>
        </is>
      </c>
      <c r="G17" s="5" t="inlineStr">
        <is>
          <t>Bela</t>
        </is>
      </c>
      <c r="H17" s="5" t="inlineStr">
        <is>
          <t>Female lead</t>
        </is>
      </c>
      <c r="I17" s="5" t="inlineStr">
        <is>
          <t>Yes</t>
        </is>
      </c>
      <c r="J17" s="19" t="inlineStr">
        <is>
          <t>Unrequited love</t>
        </is>
      </c>
      <c r="K17" s="5" t="inlineStr">
        <is>
          <t>Childhood friends</t>
        </is>
      </c>
      <c r="L17" s="5" t="inlineStr">
        <is>
          <t>Childhood friends, reunited when Ram Jaane is taken to the Apna Ghar home after prison.</t>
        </is>
      </c>
      <c r="M17" s="5" t="inlineStr">
        <is>
          <t>Ram Jaane</t>
        </is>
      </c>
      <c r="N17" s="19" t="inlineStr">
        <is>
          <t>Ram Jaane believes Bela loves him and asks her to run away with him; she refuses. At Murli's request she tries to reform him and comes to dislike his criminal ways.</t>
        </is>
      </c>
      <c r="O17" s="19" t="inlineStr">
        <is>
          <t>His mistaken belief in her love against her loyalty to Murli</t>
        </is>
      </c>
      <c r="P17" s="19" t="inlineStr">
        <is>
          <t>Bela loves Murli and rejects Ram Jaane's criminal life.</t>
        </is>
      </c>
      <c r="Q17" s="18" t="n">
        <v>6</v>
      </c>
      <c r="R17" s="19" t="inlineStr">
        <is>
          <t>Bela refuses to elope and grows to dislike Ram Jaane's criminality, a recurring clash of values rather than open hostility.</t>
        </is>
      </c>
      <c r="S17" s="18" t="n">
        <v>5</v>
      </c>
      <c r="T17" s="5" t="inlineStr">
        <is>
          <t>Existing relationship; Crime</t>
        </is>
      </c>
      <c r="U17" s="19" t="inlineStr">
        <is>
          <t>Bela and Murli secretly love each other, and Ram Jaane's crimes lead to his death sentence.</t>
        </is>
      </c>
      <c r="V17" s="18" t="n">
        <v>4</v>
      </c>
      <c r="W17" s="19" t="inlineStr">
        <is>
          <t>Ram Jaane is a gangster whose love for Bela is one strand of a crime-and-redemption story.</t>
        </is>
      </c>
      <c r="X17" s="18" t="n">
        <v>4</v>
      </c>
      <c r="Y17" s="18" t="n">
        <v>4</v>
      </c>
      <c r="Z17" s="18" t="n">
        <v>2</v>
      </c>
      <c r="AA17" s="18" t="n">
        <v>6</v>
      </c>
      <c r="AB17" s="18" t="n">
        <v>5</v>
      </c>
      <c r="AC17" s="19" t="inlineStr">
        <is>
          <t>Interpretive reading; no fetched review assesses this pairing. Bela's kindness is read by Ram Jaane as love, so the two play at cross-purposes; Chawla's warmth registers, but the pairing is built to be one-sided.</t>
        </is>
      </c>
      <c r="AD17" s="5" t="inlineStr">
        <is>
          <t>Unclear</t>
        </is>
      </c>
      <c r="AE17" s="5" t="inlineStr">
        <is>
          <t>Yes</t>
        </is>
      </c>
      <c r="AF17" s="5" t="inlineStr">
        <is>
          <t>Unclear</t>
        </is>
      </c>
      <c r="AG17" s="5" t="inlineStr">
        <is>
          <t>Partial</t>
        </is>
      </c>
      <c r="AH17" s="5" t="inlineStr">
        <is>
          <t>Yes</t>
        </is>
      </c>
      <c r="AI17" s="5" t="inlineStr">
        <is>
          <t>Yes</t>
        </is>
      </c>
      <c r="AJ17" s="5" t="inlineStr">
        <is>
          <t>No</t>
        </is>
      </c>
      <c r="AK17" s="19" t="inlineStr">
        <is>
          <t>Before his execution he writes to Bela that he feels guilty and had deliberately arranged for her to return to Murli.</t>
        </is>
      </c>
      <c r="AL17" s="19" t="inlineStr">
        <is>
          <t>Tries to reform Ram Jaane and comes to reject his criminality.</t>
        </is>
      </c>
      <c r="AM17" s="5" t="inlineStr">
        <is>
          <t>Ram Jaane is executed; Bela remains with Murli.</t>
        </is>
      </c>
      <c r="AN17" s="5" t="inlineStr">
        <is>
          <t>No</t>
        </is>
      </c>
      <c r="AO17" s="5" t="inlineStr">
        <is>
          <t>Tragic</t>
        </is>
      </c>
      <c r="AP17" s="5" t="n"/>
      <c r="AQ17" s="19" t="inlineStr">
        <is>
          <t>Bela is less a love interest than a moral test in the story of a nameless boy turned criminal. Ram Jaane misreads her attention as love, and his final letter recasts his loss as a deliberate sacrifice, the same redemptive gesture as feigning fear on the gallows.</t>
        </is>
      </c>
      <c r="AR17" s="19" t="inlineStr">
        <is>
          <t>No reading of the pair was found. A modern reading sees the heroine as an instrument of the hero's redemption rather than a partner.</t>
        </is>
      </c>
      <c r="AS17" s="5" t="inlineStr">
        <is>
          <t>SOURCE-020</t>
        </is>
      </c>
      <c r="AT17" s="5" t="inlineStr">
        <is>
          <t>Low</t>
        </is>
      </c>
    </row>
    <row r="18" ht="79" customHeight="1">
      <c r="A18" s="15" t="inlineStr">
        <is>
          <t>PAIR-017</t>
        </is>
      </c>
      <c r="B18" s="20" t="inlineStr">
        <is>
          <t>FILM-018</t>
        </is>
      </c>
      <c r="C18" s="5" t="inlineStr">
        <is>
          <t>Trimurti</t>
        </is>
      </c>
      <c r="D18" s="17" t="n">
        <v>1995</v>
      </c>
      <c r="E18" s="5" t="inlineStr">
        <is>
          <t>Romi Singh</t>
        </is>
      </c>
      <c r="F18" s="5" t="inlineStr">
        <is>
          <t>Anjali Jathar</t>
        </is>
      </c>
      <c r="G18" s="5" t="inlineStr">
        <is>
          <t>Radha Chaudhary</t>
        </is>
      </c>
      <c r="H18" s="5" t="inlineStr">
        <is>
          <t>Supporting female role</t>
        </is>
      </c>
      <c r="I18" s="5" t="inlineStr">
        <is>
          <t>Partial</t>
        </is>
      </c>
      <c r="J18" s="19" t="inlineStr">
        <is>
          <t>United couple versus external world</t>
        </is>
      </c>
      <c r="K18" s="5" t="inlineStr">
        <is>
          <t>Not documented</t>
        </is>
      </c>
      <c r="L18" s="5" t="inlineStr">
        <is>
          <t>Not documented.</t>
        </is>
      </c>
      <c r="M18" s="5" t="inlineStr">
        <is>
          <t>Unclear</t>
        </is>
      </c>
      <c r="N18" s="19" t="inlineStr">
        <is>
          <t>Romi and Radha, who is from a wealthier family, love each other so much that they resolve to die if they cannot marry; Romi nearly takes poison before his brother agrees to ask for her hand.</t>
        </is>
      </c>
      <c r="O18" s="19" t="inlineStr">
        <is>
          <t>Intense mutual devotion against class barriers</t>
        </is>
      </c>
      <c r="P18" s="19" t="inlineStr">
        <is>
          <t>None documented.</t>
        </is>
      </c>
      <c r="Q18" s="18" t="n">
        <v>1</v>
      </c>
      <c r="R18" s="19" t="inlineStr">
        <is>
          <t>No conflict between the couple is recorded; low score carries Low confidence.</t>
        </is>
      </c>
      <c r="S18" s="18" t="n">
        <v>7</v>
      </c>
      <c r="T18" s="5" t="inlineStr">
        <is>
          <t>Class; Family</t>
        </is>
      </c>
      <c r="U18" s="19" t="inlineStr">
        <is>
          <t>Radha's family humiliates Shakti when he asks for her hand, and the class gap drives Romi to run away from home.</t>
        </is>
      </c>
      <c r="V18" s="18" t="n">
        <v>7</v>
      </c>
      <c r="W18" s="19" t="inlineStr">
        <is>
          <t>Romi is described as a romantic at heart and is ready to die for love, but the brothers' revenge plot takes over the film.</t>
        </is>
      </c>
      <c r="X18" s="18" t="n">
        <v>3</v>
      </c>
      <c r="Y18" s="18" t="n">
        <v>5</v>
      </c>
      <c r="Z18" s="18" t="n">
        <v>8</v>
      </c>
      <c r="AA18" s="20" t="n"/>
      <c r="AB18" s="20" t="n"/>
      <c r="AC18" s="19" t="inlineStr">
        <is>
          <t>Not scored: no fetched source evaluates the pairing.</t>
        </is>
      </c>
      <c r="AD18" s="5" t="inlineStr">
        <is>
          <t>Unclear</t>
        </is>
      </c>
      <c r="AE18" s="5" t="inlineStr">
        <is>
          <t>No</t>
        </is>
      </c>
      <c r="AF18" s="5" t="inlineStr">
        <is>
          <t>Unclear</t>
        </is>
      </c>
      <c r="AG18" s="5" t="inlineStr">
        <is>
          <t>No</t>
        </is>
      </c>
      <c r="AH18" s="5" t="inlineStr">
        <is>
          <t>Unclear</t>
        </is>
      </c>
      <c r="AI18" s="5" t="inlineStr">
        <is>
          <t>Partial</t>
        </is>
      </c>
      <c r="AJ18" s="5" t="inlineStr">
        <is>
          <t>Unclear</t>
        </is>
      </c>
      <c r="AK18" s="19" t="inlineStr">
        <is>
          <t>Humiliation over the rejected proposal pushes him to leave home and seek wealth.</t>
        </is>
      </c>
      <c r="AL18" s="19" t="inlineStr">
        <is>
          <t>Not documented.</t>
        </is>
      </c>
      <c r="AM18" s="5" t="inlineStr">
        <is>
          <t>Not documented in the plot summary.</t>
        </is>
      </c>
      <c r="AN18" s="5" t="inlineStr">
        <is>
          <t>Unclear</t>
        </is>
      </c>
      <c r="AO18" s="5" t="inlineStr">
        <is>
          <t>Unresolved</t>
        </is>
      </c>
      <c r="AP18" s="5" t="n"/>
      <c r="AQ18" s="19" t="inlineStr">
        <is>
          <t>Romi's love for Radha supplies the class humiliation that sends him away from home and into Khokha Singh's employ. The summary drops the romance once the brothers' revenge plot takes over, so its resolution is unknown; agency is not scored.</t>
        </is>
      </c>
      <c r="AR18" s="19" t="inlineStr">
        <is>
          <t>No reading of the pair was found. A modern reading notes the suicide pact as melodramatic proof of love.</t>
        </is>
      </c>
      <c r="AS18" s="5" t="inlineStr">
        <is>
          <t>SOURCE-021</t>
        </is>
      </c>
      <c r="AT18" s="5" t="inlineStr">
        <is>
          <t>Low</t>
        </is>
      </c>
    </row>
    <row r="19" ht="64" customHeight="1">
      <c r="A19" s="15" t="inlineStr">
        <is>
          <t>PAIR-018</t>
        </is>
      </c>
      <c r="B19" s="20" t="inlineStr">
        <is>
          <t>FILM-019</t>
        </is>
      </c>
      <c r="C19" s="5" t="inlineStr">
        <is>
          <t>English Babu Desi Mem</t>
        </is>
      </c>
      <c r="D19" s="17" t="n">
        <v>1996</v>
      </c>
      <c r="E19" s="5" t="inlineStr">
        <is>
          <t>Hari Mayur</t>
        </is>
      </c>
      <c r="F19" s="5" t="inlineStr">
        <is>
          <t>Rajeshwari Sachdev</t>
        </is>
      </c>
      <c r="G19" s="5" t="inlineStr">
        <is>
          <t>Katariya</t>
        </is>
      </c>
      <c r="H19" s="5" t="inlineStr">
        <is>
          <t>Supporting female role</t>
        </is>
      </c>
      <c r="I19" s="5" t="inlineStr">
        <is>
          <t>No</t>
        </is>
      </c>
      <c r="J19" s="19" t="inlineStr">
        <is>
          <t>Tragic lovers</t>
        </is>
      </c>
      <c r="K19" s="5" t="inlineStr">
        <is>
          <t>Strangers</t>
        </is>
      </c>
      <c r="L19" s="5" t="inlineStr">
        <is>
          <t>Hari washes ashore in Mumbai after his plane crashes and is found by Katariya and her little sister Bijuriya.</t>
        </is>
      </c>
      <c r="M19" s="5" t="inlineStr">
        <is>
          <t>Unclear</t>
        </is>
      </c>
      <c r="N19" s="19" t="inlineStr">
        <is>
          <t>Katariya nurses Hari back to health, and he marries her after deciding to begin a new life in India.</t>
        </is>
      </c>
      <c r="O19" s="19" t="inlineStr">
        <is>
          <t>Gratitude and affection turning to love</t>
        </is>
      </c>
      <c r="P19" s="19" t="inlineStr">
        <is>
          <t>None documented.</t>
        </is>
      </c>
      <c r="Q19" s="18" t="n">
        <v>0</v>
      </c>
      <c r="R19" s="19" t="inlineStr">
        <is>
          <t>No conflict between the couple is recorded; low score carries Low confidence.</t>
        </is>
      </c>
      <c r="S19" s="18" t="n">
        <v>8</v>
      </c>
      <c r="T19" s="5" t="inlineStr">
        <is>
          <t>Family; Fate</t>
        </is>
      </c>
      <c r="U19" s="19" t="inlineStr">
        <is>
          <t>Hari had fled a marriage arranged by his father, and a fire during a Diwali celebration kills both him and Katariya soon after their son is born.</t>
        </is>
      </c>
      <c r="V19" s="18" t="n">
        <v>5</v>
      </c>
      <c r="W19" s="19" t="inlineStr">
        <is>
          <t>Hari's defining trait is his love of India; the marriage expresses that choice as much as romantic devotion.</t>
        </is>
      </c>
      <c r="X19" s="18" t="n">
        <v>3</v>
      </c>
      <c r="Y19" s="18" t="n">
        <v>8</v>
      </c>
      <c r="Z19" s="18" t="n">
        <v>7</v>
      </c>
      <c r="AA19" s="18" t="n">
        <v>4</v>
      </c>
      <c r="AB19" s="20" t="n"/>
      <c r="AC19" s="19" t="inlineStr">
        <is>
          <t>Not scored: no fetched source evaluates the pairing.</t>
        </is>
      </c>
      <c r="AD19" s="5" t="inlineStr">
        <is>
          <t>Unclear</t>
        </is>
      </c>
      <c r="AE19" s="5" t="inlineStr">
        <is>
          <t>No</t>
        </is>
      </c>
      <c r="AF19" s="5" t="inlineStr">
        <is>
          <t>No</t>
        </is>
      </c>
      <c r="AG19" s="5" t="inlineStr">
        <is>
          <t>Partial</t>
        </is>
      </c>
      <c r="AH19" s="5" t="inlineStr">
        <is>
          <t>No</t>
        </is>
      </c>
      <c r="AI19" s="5" t="inlineStr">
        <is>
          <t>Unclear</t>
        </is>
      </c>
      <c r="AJ19" s="5" t="inlineStr">
        <is>
          <t>Unclear</t>
        </is>
      </c>
      <c r="AK19" s="19" t="inlineStr">
        <is>
          <t>Takes the chance of being declared dead to start a new life in India.</t>
        </is>
      </c>
      <c r="AL19" s="19" t="inlineStr">
        <is>
          <t>Not documented.</t>
        </is>
      </c>
      <c r="AM19" s="5" t="inlineStr">
        <is>
          <t>Both die after the Diwali fire, shortly after the birth of their son Nandu.</t>
        </is>
      </c>
      <c r="AN19" s="5" t="inlineStr">
        <is>
          <t>Yes</t>
        </is>
      </c>
      <c r="AO19" s="5" t="inlineStr">
        <is>
          <t>Tragic</t>
        </is>
      </c>
      <c r="AP19" s="5" t="n"/>
      <c r="AQ19" s="19" t="inlineStr">
        <is>
          <t>Hari's marriage is backstory for the custody plot: it embodies his love of India against his father's plan to marry him to an Englishwoman, and its tragic end leaves Nandu for Bijuriya to raise. The deception is Hari's concealment of his survival from his family.</t>
        </is>
      </c>
      <c r="AR19" s="19" t="inlineStr">
        <is>
          <t>No reading of the pair was found.</t>
        </is>
      </c>
      <c r="AS19" s="5" t="inlineStr">
        <is>
          <t>SOURCE-022</t>
        </is>
      </c>
      <c r="AT19" s="5" t="inlineStr">
        <is>
          <t>Low</t>
        </is>
      </c>
    </row>
    <row r="20" ht="94" customHeight="1">
      <c r="A20" s="15" t="inlineStr">
        <is>
          <t>PAIR-019</t>
        </is>
      </c>
      <c r="B20" s="20" t="inlineStr">
        <is>
          <t>FILM-019</t>
        </is>
      </c>
      <c r="C20" s="5" t="inlineStr">
        <is>
          <t>English Babu Desi Mem</t>
        </is>
      </c>
      <c r="D20" s="17" t="n">
        <v>1996</v>
      </c>
      <c r="E20" s="5" t="inlineStr">
        <is>
          <t>Vikram Mayur</t>
        </is>
      </c>
      <c r="F20" s="5" t="inlineStr">
        <is>
          <t>Sonali Bendre</t>
        </is>
      </c>
      <c r="G20" s="5" t="inlineStr">
        <is>
          <t>Bijuriya</t>
        </is>
      </c>
      <c r="H20" s="5" t="inlineStr">
        <is>
          <t>Female lead</t>
        </is>
      </c>
      <c r="I20" s="5" t="inlineStr">
        <is>
          <t>Yes</t>
        </is>
      </c>
      <c r="J20" s="19" t="inlineStr">
        <is>
          <t>Rivals to lovers</t>
        </is>
      </c>
      <c r="K20" s="5" t="inlineStr">
        <is>
          <t>Opponents in a custody dispute</t>
        </is>
      </c>
      <c r="L20" s="5" t="inlineStr">
        <is>
          <t>A lawsuit brings Vikram to Mumbai, where Bijuriya has raised his orphaned nephew Nandu.</t>
        </is>
      </c>
      <c r="M20" s="5" t="inlineStr">
        <is>
          <t>Unclear</t>
        </is>
      </c>
      <c r="N20" s="19" t="inlineStr">
        <is>
          <t>To keep Nandu, Bijuriya poses as Queen Rani Devi, Nandu's supposed guardian; Vikram falls for the charade and slowly falls in love with her until the truth comes out.</t>
        </is>
      </c>
      <c r="O20" s="19" t="inlineStr">
        <is>
          <t>Attraction under a deception, set against a custody battle</t>
        </is>
      </c>
      <c r="P20" s="19" t="inlineStr">
        <is>
          <t>Custody of Nandu and Bijuriya's deception.</t>
        </is>
      </c>
      <c r="Q20" s="18" t="n">
        <v>6</v>
      </c>
      <c r="R20" s="19" t="inlineStr">
        <is>
          <t>They are adversaries over Nandu, and the exposure of her disguise leads Vikram to take the boy away; the conflict is resolved only after the rescue.</t>
        </is>
      </c>
      <c r="S20" s="18" t="n">
        <v>5</v>
      </c>
      <c r="T20" s="5" t="inlineStr">
        <is>
          <t>Class; Villain</t>
        </is>
      </c>
      <c r="U20" s="19" t="inlineStr">
        <is>
          <t>Bijuriya is a bar dancer and Vikram a London billionaire; the goon Bheema Khalasi abducts her and tries to rape her.</t>
        </is>
      </c>
      <c r="V20" s="18" t="n">
        <v>5</v>
      </c>
      <c r="W20" s="19" t="inlineStr">
        <is>
          <t>Vikram's arc is the custody case and his change of heart about India; romance runs alongside it.</t>
        </is>
      </c>
      <c r="X20" s="18" t="n">
        <v>6</v>
      </c>
      <c r="Y20" s="18" t="n">
        <v>5</v>
      </c>
      <c r="Z20" s="20" t="n"/>
      <c r="AA20" s="18" t="n">
        <v>6</v>
      </c>
      <c r="AB20" s="18" t="n">
        <v>4</v>
      </c>
      <c r="AC20" s="19" t="inlineStr">
        <is>
          <t>Interpretive reading; no fetched review assesses this pairing. The culture-clash plot keeps Vikram and Bijuriya sparring over Nandu for most of the film, and the turn to love is asserted late rather than played through.</t>
        </is>
      </c>
      <c r="AD20" s="5" t="inlineStr">
        <is>
          <t>Unclear</t>
        </is>
      </c>
      <c r="AE20" s="5" t="inlineStr">
        <is>
          <t>Yes</t>
        </is>
      </c>
      <c r="AF20" s="5" t="inlineStr">
        <is>
          <t>Unclear</t>
        </is>
      </c>
      <c r="AG20" s="5" t="inlineStr">
        <is>
          <t>Yes</t>
        </is>
      </c>
      <c r="AH20" s="5" t="inlineStr">
        <is>
          <t>Yes</t>
        </is>
      </c>
      <c r="AI20" s="5" t="inlineStr">
        <is>
          <t>Partial</t>
        </is>
      </c>
      <c r="AJ20" s="5" t="inlineStr">
        <is>
          <t>No</t>
        </is>
      </c>
      <c r="AK20" s="19" t="inlineStr">
        <is>
          <t>From an heir who looks down on India to a man who marries the Mumbai woman who raised his nephew and judges her his best parent.</t>
        </is>
      </c>
      <c r="AL20" s="19" t="inlineStr">
        <is>
          <t>From fiercely protective guardian who gives Nandu up for his own good to Vikram's wife.</t>
        </is>
      </c>
      <c r="AM20" s="5" t="inlineStr">
        <is>
          <t>Vikram rescues her from Bheema Khalasi, marries her and takes her and Nandu to London.</t>
        </is>
      </c>
      <c r="AN20" s="5" t="inlineStr">
        <is>
          <t>Yes</t>
        </is>
      </c>
      <c r="AO20" s="5" t="inlineStr">
        <is>
          <t>Happy</t>
        </is>
      </c>
      <c r="AP20" s="5" t="n"/>
      <c r="AQ20" s="19" t="inlineStr">
        <is>
          <t>The romance resolves a custody dispute and a culture clash at once: the London heir who scorns India learns to value the woman who raised his nephew. The deception that brings them together is hers, the rescue that seals it his. Mutuality is not scored because Bijuriya's feelings are not described.</t>
        </is>
      </c>
      <c r="AR20" s="19" t="inlineStr">
        <is>
          <t>No reading of the pair was found. A modern reading notes that the class and cultural reconciliation is achieved through rescue from sexual violence, a familiar device.</t>
        </is>
      </c>
      <c r="AS20" s="5" t="inlineStr">
        <is>
          <t>SOURCE-022</t>
        </is>
      </c>
      <c r="AT20" s="5" t="inlineStr">
        <is>
          <t>Low</t>
        </is>
      </c>
    </row>
    <row r="21" ht="94" customHeight="1">
      <c r="A21" s="15" t="inlineStr">
        <is>
          <t>PAIR-020</t>
        </is>
      </c>
      <c r="B21" s="20" t="inlineStr">
        <is>
          <t>FILM-020</t>
        </is>
      </c>
      <c r="C21" s="5" t="inlineStr">
        <is>
          <t>Chaahat</t>
        </is>
      </c>
      <c r="D21" s="17" t="n">
        <v>1996</v>
      </c>
      <c r="E21" s="5" t="inlineStr">
        <is>
          <t>Roop Singh Rathore</t>
        </is>
      </c>
      <c r="F21" s="5" t="inlineStr">
        <is>
          <t>Pooja Bhatt</t>
        </is>
      </c>
      <c r="G21" s="5" t="inlineStr">
        <is>
          <t>Pooja Singh Rathod</t>
        </is>
      </c>
      <c r="H21" s="5" t="inlineStr">
        <is>
          <t>Female lead</t>
        </is>
      </c>
      <c r="I21" s="5" t="inlineStr">
        <is>
          <t>Yes</t>
        </is>
      </c>
      <c r="J21" s="19" t="inlineStr">
        <is>
          <t>United couple versus external world</t>
        </is>
      </c>
      <c r="K21" s="5" t="inlineStr">
        <is>
          <t>Strangers</t>
        </is>
      </c>
      <c r="L21" s="5" t="inlineStr">
        <is>
          <t>Pooja is a nurse at the Bombay hospital where Roop's father is treated.</t>
        </is>
      </c>
      <c r="M21" s="5" t="inlineStr">
        <is>
          <t>Unclear</t>
        </is>
      </c>
      <c r="N21" s="19" t="inlineStr">
        <is>
          <t>Not described beyond Roop being in love with Pooja before Reshma's obsession begins.</t>
        </is>
      </c>
      <c r="O21" s="19" t="inlineStr">
        <is>
          <t>Loving couple forced apart and then hunted by Reshma and her brother</t>
        </is>
      </c>
      <c r="P21" s="19" t="inlineStr">
        <is>
          <t>Roop breaks up with Pooja to protect her and his family.</t>
        </is>
      </c>
      <c r="Q21" s="18" t="n">
        <v>3</v>
      </c>
      <c r="R21" s="19" t="inlineStr">
        <is>
          <t>The break-up is a protective sacrifice that Pooja resists; the couple is otherwise united and marries.</t>
        </is>
      </c>
      <c r="S21" s="18" t="n">
        <v>9</v>
      </c>
      <c r="T21" s="5" t="inlineStr">
        <is>
          <t>Villain; Other</t>
        </is>
      </c>
      <c r="U21" s="19" t="inlineStr">
        <is>
          <t>Reshma's obsession, enforced by her brother Ajay, costs Roop his job, drives him to break up with Pooja, and ends with his father's death, Pooja held hostage and Reshma shot.</t>
        </is>
      </c>
      <c r="V21" s="18" t="n">
        <v>8</v>
      </c>
      <c r="W21" s="19" t="inlineStr">
        <is>
          <t>Roop is a romantic singer-hero whose love for Pooja defines his choices under pressure; family duty to his sick father is the other major function.</t>
        </is>
      </c>
      <c r="X21" s="18" t="n">
        <v>8</v>
      </c>
      <c r="Y21" s="18" t="n">
        <v>8</v>
      </c>
      <c r="Z21" s="18" t="n">
        <v>8</v>
      </c>
      <c r="AA21" s="18" t="n">
        <v>5</v>
      </c>
      <c r="AB21" s="18" t="n">
        <v>5</v>
      </c>
      <c r="AC21" s="19" t="inlineStr">
        <is>
          <t>Interpretive reading; no fetched review assesses this pairing. The couple's bond is steady but under-dramatised; the energy of the film goes to Reshma's obsession and Roop's father, leaving Khan and Bhatt a muted pairing.</t>
        </is>
      </c>
      <c r="AD21" s="5" t="inlineStr">
        <is>
          <t>Unclear</t>
        </is>
      </c>
      <c r="AE21" s="5" t="inlineStr">
        <is>
          <t>No</t>
        </is>
      </c>
      <c r="AF21" s="5" t="inlineStr">
        <is>
          <t>No</t>
        </is>
      </c>
      <c r="AG21" s="5" t="inlineStr">
        <is>
          <t>No</t>
        </is>
      </c>
      <c r="AH21" s="5" t="inlineStr">
        <is>
          <t>Yes</t>
        </is>
      </c>
      <c r="AI21" s="5" t="inlineStr">
        <is>
          <t>Yes</t>
        </is>
      </c>
      <c r="AJ21" s="5" t="inlineStr">
        <is>
          <t>Partial</t>
        </is>
      </c>
      <c r="AK21" s="19" t="inlineStr">
        <is>
          <t>Forced to sing for his persecutors to pay for his father's operation, he loses his father but escapes with Pooja.</t>
        </is>
      </c>
      <c r="AL21" s="19" t="inlineStr">
        <is>
          <t>Held hostage, she saves Roop by pushing him out of the line of fire.</t>
        </is>
      </c>
      <c r="AM21" s="5" t="inlineStr">
        <is>
          <t>Married; they escape after Reshma is shot and end embracing, bloodied, on a pavement.</t>
        </is>
      </c>
      <c r="AN21" s="5" t="inlineStr">
        <is>
          <t>Yes</t>
        </is>
      </c>
      <c r="AO21" s="5" t="inlineStr">
        <is>
          <t>Happy</t>
        </is>
      </c>
      <c r="AP21" s="5" t="n"/>
      <c r="AQ21" s="19" t="inlineStr">
        <is>
          <t>Chaahat reverses Darr's gender roles: the obsessive lover is a woman, backed by her brother's violence, and Khan plays the pursued man. The couple's bond stays steady; the cost of Reshma's obsession falls on Roop's father, who sacrifices himself so his son can save Pooja.</t>
        </is>
      </c>
      <c r="AR21" s="19" t="inlineStr">
        <is>
          <t>No reading of the pair was found. A modern reading notes that the film makes female obsession the villainy, inverting the pattern of Khan's 1993–94 roles.</t>
        </is>
      </c>
      <c r="AS21" s="5" t="inlineStr">
        <is>
          <t>SOURCE-023</t>
        </is>
      </c>
      <c r="AT21" s="5" t="inlineStr">
        <is>
          <t>Medium</t>
        </is>
      </c>
    </row>
    <row r="22" ht="79" customHeight="1">
      <c r="A22" s="15" t="inlineStr">
        <is>
          <t>PAIR-021</t>
        </is>
      </c>
      <c r="B22" s="20" t="inlineStr">
        <is>
          <t>FILM-020</t>
        </is>
      </c>
      <c r="C22" s="5" t="inlineStr">
        <is>
          <t>Chaahat</t>
        </is>
      </c>
      <c r="D22" s="17" t="n">
        <v>1996</v>
      </c>
      <c r="E22" s="5" t="inlineStr">
        <is>
          <t>Roop Singh Rathore</t>
        </is>
      </c>
      <c r="F22" s="5" t="inlineStr">
        <is>
          <t>Ramya Krishnan</t>
        </is>
      </c>
      <c r="G22" s="5" t="inlineStr">
        <is>
          <t>Reshma Narang</t>
        </is>
      </c>
      <c r="H22" s="5" t="inlineStr">
        <is>
          <t>Second female lead (antagonist)</t>
        </is>
      </c>
      <c r="I22" s="5" t="inlineStr">
        <is>
          <t>Partial</t>
        </is>
      </c>
      <c r="J22" s="19" t="inlineStr">
        <is>
          <t>Obsessive pursuit</t>
        </is>
      </c>
      <c r="K22" s="5" t="inlineStr">
        <is>
          <t>Employer's sister</t>
        </is>
      </c>
      <c r="L22" s="5" t="inlineStr">
        <is>
          <t>Reshma falls for Roop while he sings at her brother Ajay's hotel.</t>
        </is>
      </c>
      <c r="M22" s="5" t="inlineStr">
        <is>
          <t>Reshma</t>
        </is>
      </c>
      <c r="N22" s="19" t="inlineStr">
        <is>
          <t>She demands he sing only for her, her brother has the rival hotelier Patel beaten into firing him, and Roop, needing money for his father's operation, works for them; when he tries to leave she attempts suicide.</t>
        </is>
      </c>
      <c r="O22" s="19" t="inlineStr">
        <is>
          <t>Reshma's possessive obsession against Roop's resistance</t>
        </is>
      </c>
      <c r="P22" s="19" t="inlineStr">
        <is>
          <t>Roop loves Pooja and refuses Reshma.</t>
        </is>
      </c>
      <c r="Q22" s="18" t="n">
        <v>9</v>
      </c>
      <c r="R22" s="19" t="inlineStr">
        <is>
          <t>The connection is coercion: Reshma uses her brother's power and Roop's financial need to control him, then helps plot against his family.</t>
        </is>
      </c>
      <c r="S22" s="18" t="n">
        <v>3</v>
      </c>
      <c r="T22" s="5" t="inlineStr">
        <is>
          <t>Existing relationship</t>
        </is>
      </c>
      <c r="U22" s="19" t="inlineStr">
        <is>
          <t>Roop's love for Pooja is the only obstacle to Reshma's claim.</t>
        </is>
      </c>
      <c r="V22" s="18" t="n">
        <v>1</v>
      </c>
      <c r="W22" s="19" t="inlineStr">
        <is>
          <t>Roop is the object of the pursuit and has no romantic identity with Reshma.</t>
        </is>
      </c>
      <c r="X22" s="18" t="n">
        <v>7</v>
      </c>
      <c r="Y22" s="18" t="n">
        <v>1</v>
      </c>
      <c r="Z22" s="18" t="n">
        <v>0</v>
      </c>
      <c r="AA22" s="18" t="n">
        <v>6</v>
      </c>
      <c r="AB22" s="18" t="n">
        <v>3</v>
      </c>
      <c r="AC22" s="19" t="inlineStr">
        <is>
          <t>Interpretive reading; no fetched review assesses this pairing. The relationship exists only as coercion, and the film plays Krishnan's scenes with Khan as menace rather than attraction.</t>
        </is>
      </c>
      <c r="AD22" s="5" t="inlineStr">
        <is>
          <t>No</t>
        </is>
      </c>
      <c r="AE22" s="5" t="inlineStr">
        <is>
          <t>Yes</t>
        </is>
      </c>
      <c r="AF22" s="5" t="inlineStr">
        <is>
          <t>Yes</t>
        </is>
      </c>
      <c r="AG22" s="5" t="inlineStr">
        <is>
          <t>No</t>
        </is>
      </c>
      <c r="AH22" s="5" t="inlineStr">
        <is>
          <t>Not applicable</t>
        </is>
      </c>
      <c r="AI22" s="5" t="inlineStr">
        <is>
          <t>No</t>
        </is>
      </c>
      <c r="AJ22" s="5" t="inlineStr">
        <is>
          <t>No</t>
        </is>
      </c>
      <c r="AK22" s="19" t="inlineStr">
        <is>
          <t>Working for Reshma makes him visibly unhappy, prompting his father to leave Bombay.</t>
        </is>
      </c>
      <c r="AL22" s="19" t="inlineStr">
        <is>
          <t>Her obsession escalates from jealousy to a suicide attempt and hostage-taking.</t>
        </is>
      </c>
      <c r="AM22" s="5" t="inlineStr">
        <is>
          <t>Reshma is killed by a bullet her brother fires at Roop.</t>
        </is>
      </c>
      <c r="AN22" s="5" t="inlineStr">
        <is>
          <t>No</t>
        </is>
      </c>
      <c r="AO22" s="5" t="inlineStr">
        <is>
          <t>Tragic</t>
        </is>
      </c>
      <c r="AP22" s="5" t="n"/>
      <c r="AQ22" s="19" t="inlineStr">
        <is>
          <t>Reshma is written as a spoiled heiress whose desire, amplified by her brother's power, becomes persecution. The pairing exists only as coercion, with Roop's job and his father's surgery as leverage.</t>
        </is>
      </c>
      <c r="AR22" s="19" t="inlineStr">
        <is>
          <t>No reading of the pair was found.</t>
        </is>
      </c>
      <c r="AS22" s="5" t="inlineStr">
        <is>
          <t>SOURCE-023</t>
        </is>
      </c>
      <c r="AT22" s="5" t="inlineStr">
        <is>
          <t>Medium</t>
        </is>
      </c>
    </row>
    <row r="23" ht="49" customHeight="1">
      <c r="A23" s="15" t="inlineStr">
        <is>
          <t>PAIR-022</t>
        </is>
      </c>
      <c r="B23" s="20" t="inlineStr">
        <is>
          <t>FILM-021</t>
        </is>
      </c>
      <c r="C23" s="5" t="inlineStr">
        <is>
          <t>Army</t>
        </is>
      </c>
      <c r="D23" s="17" t="n">
        <v>1996</v>
      </c>
      <c r="E23" s="5" t="inlineStr">
        <is>
          <t>Major Arjun Singh</t>
        </is>
      </c>
      <c r="F23" s="5" t="inlineStr">
        <is>
          <t>Sridevi</t>
        </is>
      </c>
      <c r="G23" s="5" t="inlineStr">
        <is>
          <t>Geeta Arjun Singh</t>
        </is>
      </c>
      <c r="H23" s="5" t="inlineStr">
        <is>
          <t>Female lead and protagonist</t>
        </is>
      </c>
      <c r="I23" s="5" t="inlineStr">
        <is>
          <t>Yes</t>
        </is>
      </c>
      <c r="J23" s="19" t="inlineStr">
        <is>
          <t>Tragic lovers</t>
        </is>
      </c>
      <c r="K23" s="5" t="inlineStr">
        <is>
          <t>Not documented</t>
        </is>
      </c>
      <c r="L23" s="5" t="inlineStr">
        <is>
          <t>Not documented.</t>
        </is>
      </c>
      <c r="M23" s="5" t="inlineStr">
        <is>
          <t>Unclear</t>
        </is>
      </c>
      <c r="N23" s="19" t="inlineStr">
        <is>
          <t>Not documented beyond their love, marriage and Geeta's pregnancy.</t>
        </is>
      </c>
      <c r="O23" s="19" t="inlineStr">
        <is>
          <t>Not documented</t>
        </is>
      </c>
      <c r="P23" s="19" t="inlineStr">
        <is>
          <t>None documented.</t>
        </is>
      </c>
      <c r="Q23" s="18" t="n">
        <v>0</v>
      </c>
      <c r="R23" s="19" t="inlineStr">
        <is>
          <t>No conflict between the couple is recorded; low score carries Low confidence.</t>
        </is>
      </c>
      <c r="S23" s="18" t="n">
        <v>10</v>
      </c>
      <c r="T23" s="5" t="inlineStr">
        <is>
          <t>Villain; Crime</t>
        </is>
      </c>
      <c r="U23" s="19" t="inlineStr">
        <is>
          <t>The gangster Naagraj discovers Arjun working undercover in his gang and has him brutally killed.</t>
        </is>
      </c>
      <c r="V23" s="18" t="n">
        <v>3</v>
      </c>
      <c r="W23" s="19" t="inlineStr">
        <is>
          <t>Arjun is a dutiful army officer in an extended guest role; romance is brief backstory for his death.</t>
        </is>
      </c>
      <c r="X23" s="18" t="n">
        <v>3</v>
      </c>
      <c r="Y23" s="18" t="n">
        <v>7</v>
      </c>
      <c r="Z23" s="20" t="n"/>
      <c r="AA23" s="18" t="n">
        <v>9</v>
      </c>
      <c r="AB23" s="20" t="n"/>
      <c r="AC23" s="19" t="inlineStr">
        <is>
          <t>Not scored: no fetched source evaluates the pairing.</t>
        </is>
      </c>
      <c r="AD23" s="5" t="inlineStr">
        <is>
          <t>Unclear</t>
        </is>
      </c>
      <c r="AE23" s="5" t="inlineStr">
        <is>
          <t>No</t>
        </is>
      </c>
      <c r="AF23" s="5" t="inlineStr">
        <is>
          <t>Unclear</t>
        </is>
      </c>
      <c r="AG23" s="5" t="inlineStr">
        <is>
          <t>No</t>
        </is>
      </c>
      <c r="AH23" s="5" t="inlineStr">
        <is>
          <t>No</t>
        </is>
      </c>
      <c r="AI23" s="5" t="inlineStr">
        <is>
          <t>Unclear</t>
        </is>
      </c>
      <c r="AJ23" s="5" t="inlineStr">
        <is>
          <t>Unclear</t>
        </is>
      </c>
      <c r="AK23" s="19" t="inlineStr">
        <is>
          <t>Not documented.</t>
        </is>
      </c>
      <c r="AL23" s="19" t="inlineStr">
        <is>
          <t>Widowed and pregnant, Geeta sets out to avenge him with a group of escaped convicts.</t>
        </is>
      </c>
      <c r="AM23" s="5" t="inlineStr">
        <is>
          <t>Arjun is murdered; Geeta takes revenge on Naagraj.</t>
        </is>
      </c>
      <c r="AN23" s="5" t="inlineStr">
        <is>
          <t>Yes</t>
        </is>
      </c>
      <c r="AO23" s="5" t="inlineStr">
        <is>
          <t>Tragic</t>
        </is>
      </c>
      <c r="AP23" s="5" t="n"/>
      <c r="AQ23" s="19" t="inlineStr">
        <is>
          <t>Arjun's marriage exists to make his murder the widow's cause: the guest role supplies the love and loss that turn Geeta into an avenger. Mutuality is not scored because the summary does not describe the marriage.</t>
        </is>
      </c>
      <c r="AR23" s="19" t="inlineStr">
        <is>
          <t>No reading of the pair was found.</t>
        </is>
      </c>
      <c r="AS23" s="5" t="inlineStr">
        <is>
          <t>SOURCE-024</t>
        </is>
      </c>
      <c r="AT23" s="5" t="inlineStr">
        <is>
          <t>Low</t>
        </is>
      </c>
    </row>
    <row r="24" ht="94" customHeight="1">
      <c r="A24" s="15" t="inlineStr">
        <is>
          <t>PAIR-023</t>
        </is>
      </c>
      <c r="B24" s="20" t="inlineStr">
        <is>
          <t>FILM-024</t>
        </is>
      </c>
      <c r="C24" s="5" t="inlineStr">
        <is>
          <t>Koyla</t>
        </is>
      </c>
      <c r="D24" s="17" t="n">
        <v>1997</v>
      </c>
      <c r="E24" s="5" t="inlineStr">
        <is>
          <t>Shankar Thakur</t>
        </is>
      </c>
      <c r="F24" s="5" t="inlineStr">
        <is>
          <t>Madhuri Dixit</t>
        </is>
      </c>
      <c r="G24" s="5" t="inlineStr">
        <is>
          <t>Gauri</t>
        </is>
      </c>
      <c r="H24" s="5" t="inlineStr">
        <is>
          <t>Female lead</t>
        </is>
      </c>
      <c r="I24" s="5" t="inlineStr">
        <is>
          <t>Yes</t>
        </is>
      </c>
      <c r="J24" s="19" t="inlineStr">
        <is>
          <t>United couple versus external world</t>
        </is>
      </c>
      <c r="K24" s="5" t="inlineStr">
        <is>
          <t>Deceived bride and the servant whose photograph was used</t>
        </is>
      </c>
      <c r="L24" s="5" t="inlineStr">
        <is>
          <t>Raja sends Gauri a photograph of Shankar to win her consent, and she discovers at the wedding that Shankar is not her groom.</t>
        </is>
      </c>
      <c r="M24" s="5" t="inlineStr">
        <is>
          <t>Unclear</t>
        </is>
      </c>
      <c r="N24" s="19" t="inlineStr">
        <is>
          <t>Shankar saves Gauri from suicide; she blames him, then realises his innocence. After her brother's murder they flee together through jungle and mountains and fall in love.</t>
        </is>
      </c>
      <c r="O24" s="19" t="inlineStr">
        <is>
          <t>From accusation to trust and love forged in flight</t>
        </is>
      </c>
      <c r="P24" s="19" t="inlineStr">
        <is>
          <t>Gauri first blames Shankar for her forced marriage.</t>
        </is>
      </c>
      <c r="Q24" s="18" t="n">
        <v>3</v>
      </c>
      <c r="R24" s="19" t="inlineStr">
        <is>
          <t>Gauri's accusation is short-lived once she realises Shankar is innocent; afterwards the couple is united.</t>
        </is>
      </c>
      <c r="S24" s="18" t="n">
        <v>10</v>
      </c>
      <c r="T24" s="5" t="inlineStr">
        <is>
          <t>Villain; Existing relationship; Family</t>
        </is>
      </c>
      <c r="U24" s="19" t="inlineStr">
        <is>
          <t>Raja forces Gauri into marriage with her relatives' collusion, tortures her, slits Shankar's throat and sells her to a brothel; his brother and a corrupt DIG hunt the couple.</t>
        </is>
      </c>
      <c r="V24" s="18" t="n">
        <v>6</v>
      </c>
      <c r="W24" s="19" t="inlineStr">
        <is>
          <t>Shankar's devotion to Gauri drives much of the film, but liberation from Raja and revenge for his parents are equally central.</t>
        </is>
      </c>
      <c r="X24" s="18" t="n">
        <v>7</v>
      </c>
      <c r="Y24" s="18" t="n">
        <v>8</v>
      </c>
      <c r="Z24" s="18" t="n">
        <v>8</v>
      </c>
      <c r="AA24" s="18" t="n">
        <v>5</v>
      </c>
      <c r="AB24" s="18" t="n">
        <v>6</v>
      </c>
      <c r="AC24" s="19" t="inlineStr">
        <is>
          <t>Interpretive reading; no fetched review assesses this pairing. With Shankar mute, the romance is carried by looks, gestures and songs; Khan and Dixit make the wordless bond credible, though the revenge action crowds it out in the second half.</t>
        </is>
      </c>
      <c r="AD24" s="5" t="inlineStr">
        <is>
          <t>Unclear</t>
        </is>
      </c>
      <c r="AE24" s="5" t="inlineStr">
        <is>
          <t>Partial</t>
        </is>
      </c>
      <c r="AF24" s="5" t="inlineStr">
        <is>
          <t>No</t>
        </is>
      </c>
      <c r="AG24" s="5" t="inlineStr">
        <is>
          <t>Yes</t>
        </is>
      </c>
      <c r="AH24" s="5" t="inlineStr">
        <is>
          <t>Yes</t>
        </is>
      </c>
      <c r="AI24" s="5" t="inlineStr">
        <is>
          <t>Yes</t>
        </is>
      </c>
      <c r="AJ24" s="5" t="inlineStr">
        <is>
          <t>Yes</t>
        </is>
      </c>
      <c r="AK24" s="19" t="inlineStr">
        <is>
          <t>From Raja's mute, loyal servant to a man who regains his voice, learns who killed his parents and destroys Raja.</t>
        </is>
      </c>
      <c r="AL24" s="19" t="inlineStr">
        <is>
          <t>From deceived bride and prisoner to a survivor who escapes, endures a brothel and forces her relatives to confess their complicity.</t>
        </is>
      </c>
      <c r="AM24" s="5" t="inlineStr">
        <is>
          <t>They embrace after Shankar kills Raja.</t>
        </is>
      </c>
      <c r="AN24" s="5" t="inlineStr">
        <is>
          <t>Unclear</t>
        </is>
      </c>
      <c r="AO24" s="5" t="inlineStr">
        <is>
          <t>Happy</t>
        </is>
      </c>
      <c r="AP24" s="5" t="n"/>
      <c r="AQ24" s="19" t="inlineStr">
        <is>
          <t>Koyla builds its romance on a bait-and-switch: Raja uses Shankar's face to trick Gauri into marriage, so the lovers begin as victim and unwitting accomplice. Once they flee they are aligned, and Raja, his brother and the corrupt DIG supply nearly all the obstacles.</t>
        </is>
      </c>
      <c r="AR24" s="19" t="inlineStr">
        <is>
          <t>No reading of the pair was found. A modern reading notes the film's reliance on sexual violence against the heroine to fuel the hero's revenge.</t>
        </is>
      </c>
      <c r="AS24" s="5" t="inlineStr">
        <is>
          <t>SOURCE-027</t>
        </is>
      </c>
      <c r="AT24" s="5" t="inlineStr">
        <is>
          <t>Low</t>
        </is>
      </c>
    </row>
    <row r="25" ht="94" customHeight="1">
      <c r="A25" s="15" t="inlineStr">
        <is>
          <t>PAIR-024</t>
        </is>
      </c>
      <c r="B25" s="20" t="inlineStr">
        <is>
          <t>FILM-025</t>
        </is>
      </c>
      <c r="C25" s="5" t="inlineStr">
        <is>
          <t>Yes Boss</t>
        </is>
      </c>
      <c r="D25" s="17" t="n">
        <v>1997</v>
      </c>
      <c r="E25" s="5" t="inlineStr">
        <is>
          <t>Rahul Joshi</t>
        </is>
      </c>
      <c r="F25" s="5" t="inlineStr">
        <is>
          <t>Juhi Chawla</t>
        </is>
      </c>
      <c r="G25" s="5" t="inlineStr">
        <is>
          <t>Seema Kapoor</t>
        </is>
      </c>
      <c r="H25" s="5" t="inlineStr">
        <is>
          <t>Female lead</t>
        </is>
      </c>
      <c r="I25" s="5" t="inlineStr">
        <is>
          <t>Yes</t>
        </is>
      </c>
      <c r="J25" s="19" t="inlineStr">
        <is>
          <t>Friendship to love</t>
        </is>
      </c>
      <c r="K25" s="5" t="inlineStr">
        <is>
          <t>Target of his boss's seduction</t>
        </is>
      </c>
      <c r="L25" s="5" t="inlineStr">
        <is>
          <t>Rahul's boss Siddharth sets his sights on Seema, an aspiring model, and asks Rahul to help him win her.</t>
        </is>
      </c>
      <c r="M25" s="5" t="inlineStr">
        <is>
          <t>Unclear</t>
        </is>
      </c>
      <c r="N25" s="19" t="inlineStr">
        <is>
          <t>Rahul arranges Siddharth's courtship while quietly attracted to Seema; they grow close, pose as a married couple for his heart-patient mother, argue and fall in love.</t>
        </is>
      </c>
      <c r="O25" s="19" t="inlineStr">
        <is>
          <t>Companionship and a pretend marriage turning into love</t>
        </is>
      </c>
      <c r="P25" s="19" t="inlineStr">
        <is>
          <t>Rahul's complicity in his boss's pursuit of Seema.</t>
        </is>
      </c>
      <c r="Q25" s="18" t="n">
        <v>4</v>
      </c>
      <c r="R25" s="19" t="inlineStr">
        <is>
          <t>Rahul is secretly working to deliver Seema to Siddharth, and they argue before falling in love; the conflict is resolved when he rejects the deal.</t>
        </is>
      </c>
      <c r="S25" s="18" t="n">
        <v>5</v>
      </c>
      <c r="T25" s="5" t="inlineStr">
        <is>
          <t>Other</t>
        </is>
      </c>
      <c r="U25" s="19" t="inlineStr">
        <is>
          <t>Siddharth wants Seema and offers Rahul his dream office in exchange; Bhushan's lie to Rahul's mother forces the pretend marriage.</t>
        </is>
      </c>
      <c r="V25" s="18" t="n">
        <v>7</v>
      </c>
      <c r="W25" s="19" t="inlineStr">
        <is>
          <t>Rahul is a clear romantic hero, though his ambition to get rich is an equal driver until the climax.</t>
        </is>
      </c>
      <c r="X25" s="18" t="n">
        <v>8</v>
      </c>
      <c r="Y25" s="18" t="n">
        <v>6</v>
      </c>
      <c r="Z25" s="18" t="n">
        <v>7</v>
      </c>
      <c r="AA25" s="18" t="n">
        <v>6</v>
      </c>
      <c r="AB25" s="18" t="n">
        <v>8</v>
      </c>
      <c r="AC25" s="19" t="inlineStr">
        <is>
          <t>Interpretive reading; no fetched review assesses this pairing. One of the strongest Khan and Chawla films: the comic timing between them carries the romance, and Seema's scepticism gives Chawla room to match Khan's charm rather than receive it.</t>
        </is>
      </c>
      <c r="AD25" s="5" t="inlineStr">
        <is>
          <t>Yes</t>
        </is>
      </c>
      <c r="AE25" s="5" t="inlineStr">
        <is>
          <t>Partial</t>
        </is>
      </c>
      <c r="AF25" s="5" t="inlineStr">
        <is>
          <t>Unclear</t>
        </is>
      </c>
      <c r="AG25" s="5" t="inlineStr">
        <is>
          <t>Yes</t>
        </is>
      </c>
      <c r="AH25" s="5" t="inlineStr">
        <is>
          <t>No</t>
        </is>
      </c>
      <c r="AI25" s="5" t="inlineStr">
        <is>
          <t>Yes</t>
        </is>
      </c>
      <c r="AJ25" s="5" t="inlineStr">
        <is>
          <t>Partial</t>
        </is>
      </c>
      <c r="AK25" s="19" t="inlineStr">
        <is>
          <t>Stops enabling his boss, refuses the office offered in exchange for Seema and resolves to earn his own way.</t>
        </is>
      </c>
      <c r="AL25" s="19" t="inlineStr">
        <is>
          <t>Gives up pursuing luxury through Siddharth and chooses Rahul.</t>
        </is>
      </c>
      <c r="AM25" s="5" t="inlineStr">
        <is>
          <t>Seema chooses Rahul, and they ride off on a scooter marked 'Don't Worry, Get Married'.</t>
        </is>
      </c>
      <c r="AN25" s="5" t="inlineStr">
        <is>
          <t>Yes</t>
        </is>
      </c>
      <c r="AO25" s="5" t="inlineStr">
        <is>
          <t>Happy</t>
        </is>
      </c>
      <c r="AP25" s="5" t="n"/>
      <c r="AQ25" s="19" t="inlineStr">
        <is>
          <t>A For Love or Money remake in which the romance is also the hero's moral rehabilitation: Rahul begins as his boss's paid enabler and wins Seema only by refusing the reward for giving her up. Both lovers start out chasing wealth, so their union doubles as a rejection of it.</t>
        </is>
      </c>
      <c r="AR25" s="19" t="inlineStr">
        <is>
          <t>K. N. Vijiyan (New Straits Times) praised a 'bubbly Shahrukh Khan at his best'. A modern reading notes that the heroine is first treated as a prize passed between men, which the ending only partly corrects.</t>
        </is>
      </c>
      <c r="AS25" s="5" t="inlineStr">
        <is>
          <t>SOURCE-028</t>
        </is>
      </c>
      <c r="AT25" s="5" t="inlineStr">
        <is>
          <t>Medium</t>
        </is>
      </c>
    </row>
    <row r="26" ht="94" customHeight="1">
      <c r="A26" s="15" t="inlineStr">
        <is>
          <t>PAIR-025</t>
        </is>
      </c>
      <c r="B26" s="20" t="inlineStr">
        <is>
          <t>FILM-026</t>
        </is>
      </c>
      <c r="C26" s="5" t="inlineStr">
        <is>
          <t>Pardes</t>
        </is>
      </c>
      <c r="D26" s="17" t="n">
        <v>1997</v>
      </c>
      <c r="E26" s="5" t="inlineStr">
        <is>
          <t>Arjun Sagar</t>
        </is>
      </c>
      <c r="F26" s="5" t="inlineStr">
        <is>
          <t>Mahima Chaudhry</t>
        </is>
      </c>
      <c r="G26" s="5" t="inlineStr">
        <is>
          <t>Kusum Ganga</t>
        </is>
      </c>
      <c r="H26" s="5" t="inlineStr">
        <is>
          <t>Female lead (debut)</t>
        </is>
      </c>
      <c r="I26" s="5" t="inlineStr">
        <is>
          <t>Yes</t>
        </is>
      </c>
      <c r="J26" s="19" t="inlineStr">
        <is>
          <t>Love triangle</t>
        </is>
      </c>
      <c r="K26" s="5" t="inlineStr">
        <is>
          <t>His foster brother's intended bride</t>
        </is>
      </c>
      <c r="L26" s="5" t="inlineStr">
        <is>
          <t>Kishorilal sends Arjun with Rajiv to Ganga's village to arrange her marriage to Rajiv.</t>
        </is>
      </c>
      <c r="M26" s="5" t="inlineStr">
        <is>
          <t>Unclear</t>
        </is>
      </c>
      <c r="N26" s="19" t="inlineStr">
        <is>
          <t>Arjun smooths the way for Rajiv and becomes Ganga's only confidant in the US. After Rajiv's assault he escorts her home, confesses his love when accused of eloping, and is given her hand.</t>
        </is>
      </c>
      <c r="O26" s="19" t="inlineStr">
        <is>
          <t>Loyal confidant whose restraint turns into declared love</t>
        </is>
      </c>
      <c r="P26" s="19" t="inlineStr">
        <is>
          <t>Ganga blames Arjun for deceiving her about Rajiv's character.</t>
        </is>
      </c>
      <c r="Q26" s="18" t="n">
        <v>3</v>
      </c>
      <c r="R26" s="19" t="inlineStr">
        <is>
          <t>Ganga's blame is a brief misunderstanding; Arjun's loyalty to her is never in doubt.</t>
        </is>
      </c>
      <c r="S26" s="18" t="n">
        <v>8</v>
      </c>
      <c r="T26" s="5" t="inlineStr">
        <is>
          <t>Family; Existing relationship; Community</t>
        </is>
      </c>
      <c r="U26" s="19" t="inlineStr">
        <is>
          <t>Ganga is engaged to Rajiv by her father and Kishorilal; the village accuses the pair of eloping, and Rajiv's goons attack Arjun in a fight to the death.</t>
        </is>
      </c>
      <c r="V26" s="18" t="n">
        <v>7</v>
      </c>
      <c r="W26" s="19" t="inlineStr">
        <is>
          <t>Arjun is a restrained romantic hero whose loyalty to his foster father competes with his love until the end.</t>
        </is>
      </c>
      <c r="X26" s="18" t="n">
        <v>8</v>
      </c>
      <c r="Y26" s="18" t="n">
        <v>9</v>
      </c>
      <c r="Z26" s="18" t="n">
        <v>7</v>
      </c>
      <c r="AA26" s="18" t="n">
        <v>6</v>
      </c>
      <c r="AB26" s="18" t="n">
        <v>7</v>
      </c>
      <c r="AC26" s="19" t="inlineStr">
        <is>
          <t>Interpretive reading; the article reports praise for Khan's and Chaudhry's performances without assessing the pairing. Arjun's restraint while Ganga is engaged keeps the romance in glances and songs, which the two play tenderly.</t>
        </is>
      </c>
      <c r="AD26" s="5" t="inlineStr">
        <is>
          <t>Unclear</t>
        </is>
      </c>
      <c r="AE26" s="5" t="inlineStr">
        <is>
          <t>Partial</t>
        </is>
      </c>
      <c r="AF26" s="5" t="inlineStr">
        <is>
          <t>No</t>
        </is>
      </c>
      <c r="AG26" s="5" t="inlineStr">
        <is>
          <t>No</t>
        </is>
      </c>
      <c r="AH26" s="5" t="inlineStr">
        <is>
          <t>Yes</t>
        </is>
      </c>
      <c r="AI26" s="5" t="inlineStr">
        <is>
          <t>Partial</t>
        </is>
      </c>
      <c r="AJ26" s="5" t="inlineStr">
        <is>
          <t>Partial</t>
        </is>
      </c>
      <c r="AK26" s="19" t="inlineStr">
        <is>
          <t>From dutiful foster son promoting his brother's match to a man who declares his own love.</t>
        </is>
      </c>
      <c r="AL26" s="19" t="inlineStr">
        <is>
          <t>From a village bride chosen to 'Indianise' Rajiv to a woman who fights off her fiancé's assault and publicly exposes him.</t>
        </is>
      </c>
      <c r="AM26" s="5" t="inlineStr">
        <is>
          <t>They marry and return to the US as a couple.</t>
        </is>
      </c>
      <c r="AN26" s="5" t="inlineStr">
        <is>
          <t>Yes</t>
        </is>
      </c>
      <c r="AO26" s="5" t="inlineStr">
        <is>
          <t>Happy</t>
        </is>
      </c>
      <c r="AP26" s="5" t="n"/>
      <c r="AQ26" s="19" t="inlineStr">
        <is>
          <t>Pardes turns the triangle into an allegory of good and bad diaspora Indians: loyal, culturally rooted Arjun earns Ganga, while Westernised Rajiv is exposed as abusive. Arjun never pursues her while she is engaged; his love is declared only after her ordeal.</t>
        </is>
      </c>
      <c r="AR26" s="19" t="inlineStr">
        <is>
          <t>Gita Rajan and Shailja Sharma (New Cosmopolitanisms) read the film as a dichotomy of the good NRI versus the bad, with Khan's Arjun a metaphor for Indian cultural nationalism. A modern reading notes that the heroine's worth is tied to her insistence on chastity.</t>
        </is>
      </c>
      <c r="AS26" s="5" t="inlineStr">
        <is>
          <t>SOURCE-029</t>
        </is>
      </c>
      <c r="AT26" s="5" t="inlineStr">
        <is>
          <t>Medium</t>
        </is>
      </c>
    </row>
    <row r="27" ht="94" customHeight="1">
      <c r="A27" s="15" t="inlineStr">
        <is>
          <t>PAIR-026</t>
        </is>
      </c>
      <c r="B27" s="20" t="inlineStr">
        <is>
          <t>FILM-027</t>
        </is>
      </c>
      <c r="C27" s="5" t="inlineStr">
        <is>
          <t>Dil To Pagal Hai</t>
        </is>
      </c>
      <c r="D27" s="17" t="n">
        <v>1997</v>
      </c>
      <c r="E27" s="5" t="inlineStr">
        <is>
          <t>Rahul</t>
        </is>
      </c>
      <c r="F27" s="5" t="inlineStr">
        <is>
          <t>Madhuri Dixit</t>
        </is>
      </c>
      <c r="G27" s="5" t="inlineStr">
        <is>
          <t>Pooja</t>
        </is>
      </c>
      <c r="H27" s="5" t="inlineStr">
        <is>
          <t>Female lead</t>
        </is>
      </c>
      <c r="I27" s="5" t="inlineStr">
        <is>
          <t>Yes</t>
        </is>
      </c>
      <c r="J27" s="19" t="inlineStr">
        <is>
          <t>Love triangle</t>
        </is>
      </c>
      <c r="K27" s="5" t="inlineStr">
        <is>
          <t>Strangers</t>
        </is>
      </c>
      <c r="L27" s="5" t="inlineStr">
        <is>
          <t>After a series of near misses marked by a recurring tune, Rahul sees Pooja dancing and persuades her to replace the injured Nisha in his musical Maya.</t>
        </is>
      </c>
      <c r="M27" s="5" t="inlineStr">
        <is>
          <t>Rahul</t>
        </is>
      </c>
      <c r="N27" s="19" t="inlineStr">
        <is>
          <t>Rehearsals make them close friends and then lovers, but neither can say so; Pooja is already engaged to Ajay.</t>
        </is>
      </c>
      <c r="O27" s="19" t="inlineStr">
        <is>
          <t>Unspoken, destined love expressed through dance and music</t>
        </is>
      </c>
      <c r="P27" s="19" t="inlineStr">
        <is>
          <t>Pooja's engagement and their shared inability to declare their feelings.</t>
        </is>
      </c>
      <c r="Q27" s="18" t="n">
        <v>2</v>
      </c>
      <c r="R27" s="19" t="inlineStr">
        <is>
          <t>The couple never quarrels; the tension is hesitation and silence, not conflict.</t>
        </is>
      </c>
      <c r="S27" s="18" t="n">
        <v>5</v>
      </c>
      <c r="T27" s="5" t="inlineStr">
        <is>
          <t>Existing relationship</t>
        </is>
      </c>
      <c r="U27" s="19" t="inlineStr">
        <is>
          <t>Pooja's engagement to her childhood friend Ajay stands in the way until Ajay himself steps aside.</t>
        </is>
      </c>
      <c r="V27" s="18" t="n">
        <v>9</v>
      </c>
      <c r="W27" s="19" t="inlineStr">
        <is>
          <t>Rahul's work and identity are organised around a belief in true love; the role is almost purely romantic.</t>
        </is>
      </c>
      <c r="X27" s="18" t="n">
        <v>10</v>
      </c>
      <c r="Y27" s="18" t="n">
        <v>8</v>
      </c>
      <c r="Z27" s="18" t="n">
        <v>9</v>
      </c>
      <c r="AA27" s="18" t="n">
        <v>5</v>
      </c>
      <c r="AB27" s="18" t="n">
        <v>8</v>
      </c>
      <c r="AC27" s="19" t="inlineStr">
        <is>
          <t>Interpretive reading; the article reports wide praise for the performances of Khan and Dixit without assessing the pairing. The film rests on the near-misses between Rahul and Pooja, and the two sustain the yearning through its song-and-dance structure.</t>
        </is>
      </c>
      <c r="AD27" s="5" t="inlineStr">
        <is>
          <t>Partial</t>
        </is>
      </c>
      <c r="AE27" s="5" t="inlineStr">
        <is>
          <t>No</t>
        </is>
      </c>
      <c r="AF27" s="5" t="inlineStr">
        <is>
          <t>Unclear</t>
        </is>
      </c>
      <c r="AG27" s="5" t="inlineStr">
        <is>
          <t>No</t>
        </is>
      </c>
      <c r="AH27" s="5" t="inlineStr">
        <is>
          <t>Partial</t>
        </is>
      </c>
      <c r="AI27" s="5" t="inlineStr">
        <is>
          <t>Partial</t>
        </is>
      </c>
      <c r="AJ27" s="5" t="inlineStr">
        <is>
          <t>Yes</t>
        </is>
      </c>
      <c r="AK27" s="19" t="inlineStr">
        <is>
          <t>The director of happy endings rewrites his play to end in separation when he loses Pooja, before love restores the happy ending.</t>
        </is>
      </c>
      <c r="AL27" s="19" t="inlineStr">
        <is>
          <t>From a conflicted fiancée to a woman who acknowledges and declares her love.</t>
        </is>
      </c>
      <c r="AM27" s="5" t="inlineStr">
        <is>
          <t>They confess their love on stage at the premiere after Ajay plays Pooja's taped confession.</t>
        </is>
      </c>
      <c r="AN27" s="5" t="inlineStr">
        <is>
          <t>Unclear</t>
        </is>
      </c>
      <c r="AO27" s="5" t="inlineStr">
        <is>
          <t>Happy</t>
        </is>
      </c>
      <c r="AP27" s="5" t="n"/>
      <c r="AQ27" s="19" t="inlineStr">
        <is>
          <t>Dil To Pagal Hai stages romance as destiny: a recurring tune, near misses and a musical about waiting for true love. The obstacles are gentle, a fiancé who gives way and a friend's unrequited love, so the tension is emotional hesitation rather than opposition. Khan's character articulates the film's philosophy of love.</t>
        </is>
      </c>
      <c r="AR27" s="19" t="inlineStr">
        <is>
          <t>Omar Ahmed (Empire, 4/5) called it 'great eye-candy' with good performances, and Screen praised Yash Chopra's sophistication. A modern reading notes that the heroine's release from her engagement depends on her fiancé's generosity.</t>
        </is>
      </c>
      <c r="AS27" s="5" t="inlineStr">
        <is>
          <t>SOURCE-030</t>
        </is>
      </c>
      <c r="AT27" s="5" t="inlineStr">
        <is>
          <t>Medium</t>
        </is>
      </c>
    </row>
    <row r="28" ht="94" customHeight="1">
      <c r="A28" s="15" t="inlineStr">
        <is>
          <t>PAIR-027</t>
        </is>
      </c>
      <c r="B28" s="20" t="inlineStr">
        <is>
          <t>FILM-027</t>
        </is>
      </c>
      <c r="C28" s="5" t="inlineStr">
        <is>
          <t>Dil To Pagal Hai</t>
        </is>
      </c>
      <c r="D28" s="17" t="n">
        <v>1997</v>
      </c>
      <c r="E28" s="5" t="inlineStr">
        <is>
          <t>Rahul</t>
        </is>
      </c>
      <c r="F28" s="5" t="inlineStr">
        <is>
          <t>Karisma Kapoor</t>
        </is>
      </c>
      <c r="G28" s="5" t="inlineStr">
        <is>
          <t>Nisha</t>
        </is>
      </c>
      <c r="H28" s="5" t="inlineStr">
        <is>
          <t>Second female lead</t>
        </is>
      </c>
      <c r="I28" s="5" t="inlineStr">
        <is>
          <t>Partial</t>
        </is>
      </c>
      <c r="J28" s="19" t="inlineStr">
        <is>
          <t>Unrequited love</t>
        </is>
      </c>
      <c r="K28" s="5" t="inlineStr">
        <is>
          <t>Close friends in the dance troupe</t>
        </is>
      </c>
      <c r="L28" s="5" t="inlineStr">
        <is>
          <t>Fellow members of Rahul's dance troupe.</t>
        </is>
      </c>
      <c r="M28" s="5" t="inlineStr">
        <is>
          <t>Nisha</t>
        </is>
      </c>
      <c r="N28" s="19" t="inlineStr">
        <is>
          <t>Nisha is secretly in love with Rahul, who treats her as a friend. Replaced in the lead role after an injury, she learns of his feelings for Pooja and leaves for London.</t>
        </is>
      </c>
      <c r="O28" s="19" t="inlineStr">
        <is>
          <t>Nisha's hidden love against Rahul's friendship</t>
        </is>
      </c>
      <c r="P28" s="19" t="inlineStr">
        <is>
          <t>Rahul does not return her love.</t>
        </is>
      </c>
      <c r="Q28" s="18" t="n">
        <v>3</v>
      </c>
      <c r="R28" s="19" t="inlineStr">
        <is>
          <t>Nisha's jealousy and hurt cause a rift, but she returns as a supportive friend.</t>
        </is>
      </c>
      <c r="S28" s="18" t="n">
        <v>3</v>
      </c>
      <c r="T28" s="5" t="inlineStr">
        <is>
          <t>Other</t>
        </is>
      </c>
      <c r="U28" s="19" t="inlineStr">
        <is>
          <t>Rahul's love for Pooja is the obstacle; no outside party opposes Nisha.</t>
        </is>
      </c>
      <c r="V28" s="18" t="n">
        <v>2</v>
      </c>
      <c r="W28" s="19" t="inlineStr">
        <is>
          <t>Rahul has no romantic identity towards Nisha.</t>
        </is>
      </c>
      <c r="X28" s="18" t="n">
        <v>4</v>
      </c>
      <c r="Y28" s="18" t="n">
        <v>7</v>
      </c>
      <c r="Z28" s="18" t="n">
        <v>2</v>
      </c>
      <c r="AA28" s="18" t="n">
        <v>6</v>
      </c>
      <c r="AB28" s="18" t="n">
        <v>7</v>
      </c>
      <c r="AC28" s="19" t="inlineStr">
        <is>
          <t>Interpretive reading; the article reports Kapoor's National Film Award for the role. Nisha's dance-partner friendship with Rahul is the film's liveliest interplay, which makes her unspoken love affecting even though he does not return it.</t>
        </is>
      </c>
      <c r="AD28" s="5" t="inlineStr">
        <is>
          <t>Unclear</t>
        </is>
      </c>
      <c r="AE28" s="5" t="inlineStr">
        <is>
          <t>No</t>
        </is>
      </c>
      <c r="AF28" s="5" t="inlineStr">
        <is>
          <t>Yes</t>
        </is>
      </c>
      <c r="AG28" s="5" t="inlineStr">
        <is>
          <t>No</t>
        </is>
      </c>
      <c r="AH28" s="5" t="inlineStr">
        <is>
          <t>Yes</t>
        </is>
      </c>
      <c r="AI28" s="5" t="inlineStr">
        <is>
          <t>Partial</t>
        </is>
      </c>
      <c r="AJ28" s="5" t="inlineStr">
        <is>
          <t>Partial</t>
        </is>
      </c>
      <c r="AK28" s="19" t="inlineStr">
        <is>
          <t>Nisha's account of her own heartbreak helps him face his loss.</t>
        </is>
      </c>
      <c r="AL28" s="19" t="inlineStr">
        <is>
          <t>Accepts rejection, returns to support Rahul, and ends with Ajay showing interest in her.</t>
        </is>
      </c>
      <c r="AM28" s="5" t="inlineStr">
        <is>
          <t>No relationship forms; Ajay hints at interest in Nisha.</t>
        </is>
      </c>
      <c r="AN28" s="5" t="inlineStr">
        <is>
          <t>No</t>
        </is>
      </c>
      <c r="AO28" s="5" t="inlineStr">
        <is>
          <t>Unresolved</t>
        </is>
      </c>
      <c r="AP28" s="5" t="n"/>
      <c r="AQ28" s="19" t="inlineStr">
        <is>
          <t>Nisha is the film's counterweight: her unspoken love for Rahul mirrors his for Pooja, and her acceptance of rejection models the grace the film later asks of Ajay.</t>
        </is>
      </c>
      <c r="AR28" s="19" t="inlineStr">
        <is>
          <t>No reading of the pair was found.</t>
        </is>
      </c>
      <c r="AS28" s="5" t="inlineStr">
        <is>
          <t>SOURCE-030</t>
        </is>
      </c>
      <c r="AT28" s="5" t="inlineStr">
        <is>
          <t>Medium</t>
        </is>
      </c>
    </row>
    <row r="29" ht="79" customHeight="1">
      <c r="A29" s="15" t="inlineStr">
        <is>
          <t>PAIR-028</t>
        </is>
      </c>
      <c r="B29" s="20" t="inlineStr">
        <is>
          <t>FILM-028</t>
        </is>
      </c>
      <c r="C29" s="5" t="inlineStr">
        <is>
          <t>Duplicate</t>
        </is>
      </c>
      <c r="D29" s="17" t="n">
        <v>1998</v>
      </c>
      <c r="E29" s="5" t="inlineStr">
        <is>
          <t>Bablu Chaudhry</t>
        </is>
      </c>
      <c r="F29" s="5" t="inlineStr">
        <is>
          <t>Juhi Chawla</t>
        </is>
      </c>
      <c r="G29" s="5" t="inlineStr">
        <is>
          <t>Sonia Kapoor</t>
        </is>
      </c>
      <c r="H29" s="5" t="inlineStr">
        <is>
          <t>Female lead</t>
        </is>
      </c>
      <c r="I29" s="5" t="inlineStr">
        <is>
          <t>Yes</t>
        </is>
      </c>
      <c r="J29" s="19" t="inlineStr">
        <is>
          <t>Playful conflict masking attraction</t>
        </is>
      </c>
      <c r="K29" s="5" t="inlineStr">
        <is>
          <t>Strangers</t>
        </is>
      </c>
      <c r="L29" s="5" t="inlineStr">
        <is>
          <t>They argue over a taxi and discover they are headed to the same place: Bablu's job interview with Sonia, the hotel's catering manager.</t>
        </is>
      </c>
      <c r="M29" s="5" t="inlineStr">
        <is>
          <t>Bablu</t>
        </is>
      </c>
      <c r="N29" s="19" t="inlineStr">
        <is>
          <t>Working together, Bablu falls in love with Sonia despite the hotel manager's efforts to separate them; the gangster Manu, posing as Bablu, flirts with her and she rejects him.</t>
        </is>
      </c>
      <c r="O29" s="19" t="inlineStr">
        <is>
          <t>Sweet, devoted courtship disrupted by an impostor</t>
        </is>
      </c>
      <c r="P29" s="19" t="inlineStr">
        <is>
          <t>Their first argument over the taxi; later, confusion caused by Manu's impersonation.</t>
        </is>
      </c>
      <c r="Q29" s="18" t="n">
        <v>3</v>
      </c>
      <c r="R29" s="19" t="inlineStr">
        <is>
          <t>The early quarrel is comic, and the later strain comes from Manu's impersonation rather than conflict between the lovers.</t>
        </is>
      </c>
      <c r="S29" s="18" t="n">
        <v>6</v>
      </c>
      <c r="T29" s="5" t="inlineStr">
        <is>
          <t>Villain; Other</t>
        </is>
      </c>
      <c r="U29" s="19" t="inlineStr">
        <is>
          <t>Ravi Lamba, who wants Sonia, tries to split them and get Bablu fired; Manu forces an identity swap and lures them into a deadly trap.</t>
        </is>
      </c>
      <c r="V29" s="18" t="n">
        <v>7</v>
      </c>
      <c r="W29" s="19" t="inlineStr">
        <is>
          <t>Bablu is an innocent, devoted romantic hero, though the gangster double-role comedy takes much of the film.</t>
        </is>
      </c>
      <c r="X29" s="18" t="n">
        <v>6</v>
      </c>
      <c r="Y29" s="18" t="n">
        <v>8</v>
      </c>
      <c r="Z29" s="18" t="n">
        <v>7</v>
      </c>
      <c r="AA29" s="18" t="n">
        <v>5</v>
      </c>
      <c r="AB29" s="18" t="n">
        <v>7</v>
      </c>
      <c r="AC29" s="19" t="inlineStr">
        <is>
          <t>Interpretive reading; no fetched review assesses this pairing. The mistaken-identity comedy depends on Chawla's reactions to Khan's two characters, and their established comic rhythm keeps the romance buoyant.</t>
        </is>
      </c>
      <c r="AD29" s="5" t="inlineStr">
        <is>
          <t>Yes</t>
        </is>
      </c>
      <c r="AE29" s="5" t="inlineStr">
        <is>
          <t>No</t>
        </is>
      </c>
      <c r="AF29" s="5" t="inlineStr">
        <is>
          <t>Unclear</t>
        </is>
      </c>
      <c r="AG29" s="5" t="inlineStr">
        <is>
          <t>Yes</t>
        </is>
      </c>
      <c r="AH29" s="5" t="inlineStr">
        <is>
          <t>No</t>
        </is>
      </c>
      <c r="AI29" s="5" t="inlineStr">
        <is>
          <t>No</t>
        </is>
      </c>
      <c r="AJ29" s="5" t="inlineStr">
        <is>
          <t>No</t>
        </is>
      </c>
      <c r="AK29" s="19" t="inlineStr">
        <is>
          <t>Not a romantic transformation; Bablu's goodness instead reforms Manu's gang.</t>
        </is>
      </c>
      <c r="AL29" s="19" t="inlineStr">
        <is>
          <t>Not documented.</t>
        </is>
      </c>
      <c r="AM29" s="5" t="inlineStr">
        <is>
          <t>Bablu and Sonia marry.</t>
        </is>
      </c>
      <c r="AN29" s="5" t="inlineStr">
        <is>
          <t>Yes</t>
        </is>
      </c>
      <c r="AO29" s="5" t="inlineStr">
        <is>
          <t>Happy</t>
        </is>
      </c>
      <c r="AP29" s="5" t="n"/>
      <c r="AQ29" s="19" t="inlineStr">
        <is>
          <t>The romance runs on mistaken identity: Sonia's test is recognising that the flirtatious 'Bablu' is not the man she knows, and she passes it by rejecting Manu. The double role splits Khan's persona into the devoted, mother-loving lover and the womanising gangster.</t>
        </is>
      </c>
      <c r="AR29" s="19" t="inlineStr">
        <is>
          <t>No reading of the pair was found. A modern reading notes the comic premise in which a woman is pursued by an impostor posing as her partner.</t>
        </is>
      </c>
      <c r="AS29" s="5" t="inlineStr">
        <is>
          <t>SOURCE-031</t>
        </is>
      </c>
      <c r="AT29" s="5" t="inlineStr">
        <is>
          <t>Low</t>
        </is>
      </c>
    </row>
    <row r="30" ht="64" customHeight="1">
      <c r="A30" s="15" t="inlineStr">
        <is>
          <t>PAIR-029</t>
        </is>
      </c>
      <c r="B30" s="20" t="inlineStr">
        <is>
          <t>FILM-028</t>
        </is>
      </c>
      <c r="C30" s="5" t="inlineStr">
        <is>
          <t>Duplicate</t>
        </is>
      </c>
      <c r="D30" s="17" t="n">
        <v>1998</v>
      </c>
      <c r="E30" s="5" t="inlineStr">
        <is>
          <t>Manu Dada</t>
        </is>
      </c>
      <c r="F30" s="5" t="inlineStr">
        <is>
          <t>Sonali Bendre</t>
        </is>
      </c>
      <c r="G30" s="5" t="inlineStr">
        <is>
          <t>Lily</t>
        </is>
      </c>
      <c r="H30" s="5" t="inlineStr">
        <is>
          <t>Second female lead</t>
        </is>
      </c>
      <c r="I30" s="5" t="inlineStr">
        <is>
          <t>Partial</t>
        </is>
      </c>
      <c r="J30" s="19" t="inlineStr">
        <is>
          <t>Love triangle</t>
        </is>
      </c>
      <c r="K30" s="5" t="inlineStr">
        <is>
          <t>Gangster and girlfriend</t>
        </is>
      </c>
      <c r="L30" s="5" t="inlineStr">
        <is>
          <t>Not documented; Lily is already Manu's girlfriend.</t>
        </is>
      </c>
      <c r="M30" s="5" t="inlineStr">
        <is>
          <t>Unclear</t>
        </is>
      </c>
      <c r="N30" s="19" t="inlineStr">
        <is>
          <t>When Bablu takes Manu's place, Lily falls for his 'new' personality and learns morals from him.</t>
        </is>
      </c>
      <c r="O30" s="19" t="inlineStr">
        <is>
          <t>Moll transfers her love from the gangster to his good double</t>
        </is>
      </c>
      <c r="P30" s="19" t="inlineStr">
        <is>
          <t>Lily's moral awakening against Manu's violence.</t>
        </is>
      </c>
      <c r="Q30" s="18" t="n">
        <v>7</v>
      </c>
      <c r="R30" s="19" t="inlineStr">
        <is>
          <t>Lily ultimately turns on Manu and shoots him to save Bablu.</t>
        </is>
      </c>
      <c r="S30" s="18" t="n">
        <v>3</v>
      </c>
      <c r="T30" s="5" t="inlineStr">
        <is>
          <t>Crime</t>
        </is>
      </c>
      <c r="U30" s="19" t="inlineStr">
        <is>
          <t>The police hunt for Manu forces the identity swap that exposes Lily to Bablu.</t>
        </is>
      </c>
      <c r="V30" s="18" t="n">
        <v>1</v>
      </c>
      <c r="W30" s="19" t="inlineStr">
        <is>
          <t>Manu is a womanising gangster with no romantic devotion.</t>
        </is>
      </c>
      <c r="X30" s="18" t="n">
        <v>3</v>
      </c>
      <c r="Y30" s="18" t="n">
        <v>2</v>
      </c>
      <c r="Z30" s="20" t="n"/>
      <c r="AA30" s="18" t="n">
        <v>8</v>
      </c>
      <c r="AB30" s="18" t="n">
        <v>4</v>
      </c>
      <c r="AC30" s="19" t="inlineStr">
        <is>
          <t>Interpretive reading; no fetched review assesses this pairing. Lily's attraction to the good twin is played as comedy, and her scenes with Khan are brief and broad.</t>
        </is>
      </c>
      <c r="AD30" s="5" t="inlineStr">
        <is>
          <t>Unclear</t>
        </is>
      </c>
      <c r="AE30" s="5" t="inlineStr">
        <is>
          <t>Yes</t>
        </is>
      </c>
      <c r="AF30" s="5" t="inlineStr">
        <is>
          <t>Unclear</t>
        </is>
      </c>
      <c r="AG30" s="5" t="inlineStr">
        <is>
          <t>Yes</t>
        </is>
      </c>
      <c r="AH30" s="5" t="inlineStr">
        <is>
          <t>Yes</t>
        </is>
      </c>
      <c r="AI30" s="5" t="inlineStr">
        <is>
          <t>No</t>
        </is>
      </c>
      <c r="AJ30" s="5" t="inlineStr">
        <is>
          <t>No</t>
        </is>
      </c>
      <c r="AK30" s="19" t="inlineStr">
        <is>
          <t>None; Manu remains a killer to the end.</t>
        </is>
      </c>
      <c r="AL30" s="19" t="inlineStr">
        <is>
          <t>Reformed by Bablu's lessons, she kills Manu to save him.</t>
        </is>
      </c>
      <c r="AM30" s="5" t="inlineStr">
        <is>
          <t>Lily shoots Manu dead.</t>
        </is>
      </c>
      <c r="AN30" s="5" t="inlineStr">
        <is>
          <t>No</t>
        </is>
      </c>
      <c r="AO30" s="5" t="inlineStr">
        <is>
          <t>Tragic</t>
        </is>
      </c>
      <c r="AP30" s="5" t="n"/>
      <c r="AQ30" s="19" t="inlineStr">
        <is>
          <t>Lily's arc completes the double-role conceit: the gangster's girlfriend falls for the good twin's personality and chooses his morality over her lover. Mutuality is not scored because the original relationship is not described.</t>
        </is>
      </c>
      <c r="AR30" s="19" t="inlineStr">
        <is>
          <t>No reading of the pair was found.</t>
        </is>
      </c>
      <c r="AS30" s="5" t="inlineStr">
        <is>
          <t>SOURCE-031</t>
        </is>
      </c>
      <c r="AT30" s="5" t="inlineStr">
        <is>
          <t>Low</t>
        </is>
      </c>
    </row>
    <row r="31" ht="94" customHeight="1">
      <c r="A31" s="15" t="inlineStr">
        <is>
          <t>PAIR-030</t>
        </is>
      </c>
      <c r="B31" s="20" t="inlineStr">
        <is>
          <t>FILM-030</t>
        </is>
      </c>
      <c r="C31" s="5" t="inlineStr">
        <is>
          <t>Dil Se..</t>
        </is>
      </c>
      <c r="D31" s="17" t="n">
        <v>1998</v>
      </c>
      <c r="E31" s="5" t="inlineStr">
        <is>
          <t>Amarkant Verma</t>
        </is>
      </c>
      <c r="F31" s="5" t="inlineStr">
        <is>
          <t>Manisha Koirala</t>
        </is>
      </c>
      <c r="G31" s="5" t="inlineStr">
        <is>
          <t>Meghna / Moina</t>
        </is>
      </c>
      <c r="H31" s="5" t="inlineStr">
        <is>
          <t>Female lead</t>
        </is>
      </c>
      <c r="I31" s="5" t="inlineStr">
        <is>
          <t>Yes</t>
        </is>
      </c>
      <c r="J31" s="19" t="inlineStr">
        <is>
          <t>Tragic lovers</t>
        </is>
      </c>
      <c r="K31" s="5" t="inlineStr">
        <is>
          <t>Strangers</t>
        </is>
      </c>
      <c r="L31" s="5" t="inlineStr">
        <is>
          <t>Stranded at Haflong railway station in a rainstorm, Amar is intrigued by a silent woman who asks for tea and leaves on a train before he returns.</t>
        </is>
      </c>
      <c r="M31" s="5" t="inlineStr">
        <is>
          <t>Amar</t>
        </is>
      </c>
      <c r="N31" s="19" t="inlineStr">
        <is>
          <t>Persistent pursuit: he broadcasts a poem about her, corners her at a post office to declare his love, bribes a telephone operator to trace her calls and follows her to Ladakh. She has him beaten, uses him as cover and later shelters in his Delhi home.</t>
        </is>
      </c>
      <c r="O31" s="19" t="inlineStr">
        <is>
          <t>Amar's consuming desire against Meghna's guarded secrecy and suppressed feeling</t>
        </is>
      </c>
      <c r="P31" s="19" t="inlineStr">
        <is>
          <t>Meghna's mission as a suicide bomber and her trauma, against Amar's insistence that she choose life with him.</t>
        </is>
      </c>
      <c r="Q31" s="18" t="n">
        <v>8</v>
      </c>
      <c r="R31" s="19" t="inlineStr">
        <is>
          <t>She lies to him, lures him into a beating and exploits his credentials; he pursues her aggressively and confronts her. Moments of vulnerability do not bridge their opposed goals.</t>
        </is>
      </c>
      <c r="S31" s="18" t="n">
        <v>10</v>
      </c>
      <c r="T31" s="5" t="inlineStr">
        <is>
          <t>War or politics; Crime</t>
        </is>
      </c>
      <c r="U31" s="19" t="inlineStr">
        <is>
          <t>Her insurgent cell attacks Amar, the CBI arrests him as a suspect, and her handler remotely detonates her vest, killing both.</t>
        </is>
      </c>
      <c r="V31" s="18" t="n">
        <v>8</v>
      </c>
      <c r="W31" s="19" t="inlineStr">
        <is>
          <t>Love for Meghna becomes Amar's overwhelming motive and ends in his death, but the pursuit is so aggressive that the role complicates the devoted lover-boy ideal.</t>
        </is>
      </c>
      <c r="X31" s="18" t="n">
        <v>10</v>
      </c>
      <c r="Y31" s="18" t="n">
        <v>2</v>
      </c>
      <c r="Z31" s="18" t="n">
        <v>5</v>
      </c>
      <c r="AA31" s="18" t="n">
        <v>8</v>
      </c>
      <c r="AB31" s="18" t="n">
        <v>7</v>
      </c>
      <c r="AC31" s="19" t="inlineStr">
        <is>
          <t>Interpretive reading; no fetched review assesses this pairing. Khan's insistence and Koirala's guarded withdrawal produce a tense, unsettled attraction that suits the film's design, though by intention it never becomes a shared romance.</t>
        </is>
      </c>
      <c r="AD31" s="5" t="inlineStr">
        <is>
          <t>No</t>
        </is>
      </c>
      <c r="AE31" s="5" t="inlineStr">
        <is>
          <t>Yes</t>
        </is>
      </c>
      <c r="AF31" s="5" t="inlineStr">
        <is>
          <t>Unclear</t>
        </is>
      </c>
      <c r="AG31" s="5" t="inlineStr">
        <is>
          <t>Yes</t>
        </is>
      </c>
      <c r="AH31" s="5" t="inlineStr">
        <is>
          <t>Yes</t>
        </is>
      </c>
      <c r="AI31" s="5" t="inlineStr">
        <is>
          <t>Yes</t>
        </is>
      </c>
      <c r="AJ31" s="5" t="inlineStr">
        <is>
          <t>No</t>
        </is>
      </c>
      <c r="AK31" s="19" t="inlineStr">
        <is>
          <t>From an intrigued journalist to a man who will die rather than let her go.</t>
        </is>
      </c>
      <c r="AL31" s="19" t="inlineStr">
        <is>
          <t>Moina, brutalised by security forces as a child, finally yields to her feelings moments before her handler detonates the vest.</t>
        </is>
      </c>
      <c r="AM31" s="5" t="inlineStr">
        <is>
          <t>Both are killed when her vest is detonated as they embrace.</t>
        </is>
      </c>
      <c r="AN31" s="5" t="inlineStr">
        <is>
          <t>No</t>
        </is>
      </c>
      <c r="AO31" s="5" t="inlineStr">
        <is>
          <t>Tragic</t>
        </is>
      </c>
      <c r="AP31" s="5" t="n"/>
      <c r="AQ31" s="19" t="inlineStr">
        <is>
          <t>Dil Se pairs romantic obsession with political violence: Amar's pursuit is persistent to the point of aggression, and Meghna's trauma and mission make her unreachable. The film unites them only in death, turning the romance into a collision between private desire and a national wound.</t>
        </is>
      </c>
      <c r="AR31" s="19" t="inlineStr">
        <is>
          <t>Deepa Deosthalee called the film 'a picture-perfect ode to love', while Khalid Mohamed and Anupama Chopra were cooler on its storytelling. A modern reading sees an aggressive pursuit framed as destiny, partly offset by the film's attention to the woman's political trauma.</t>
        </is>
      </c>
      <c r="AS31" s="5" t="inlineStr">
        <is>
          <t>SOURCE-033</t>
        </is>
      </c>
      <c r="AT31" s="5" t="inlineStr">
        <is>
          <t>Medium</t>
        </is>
      </c>
    </row>
    <row r="32" ht="79" customHeight="1">
      <c r="A32" s="15" t="inlineStr">
        <is>
          <t>PAIR-031</t>
        </is>
      </c>
      <c r="B32" s="20" t="inlineStr">
        <is>
          <t>FILM-031</t>
        </is>
      </c>
      <c r="C32" s="5" t="inlineStr">
        <is>
          <t>Kuch Kuch Hota Hai</t>
        </is>
      </c>
      <c r="D32" s="17" t="n">
        <v>1998</v>
      </c>
      <c r="E32" s="5" t="inlineStr">
        <is>
          <t>Rahul Khanna</t>
        </is>
      </c>
      <c r="F32" s="5" t="inlineStr">
        <is>
          <t>Kajol</t>
        </is>
      </c>
      <c r="G32" s="5" t="inlineStr">
        <is>
          <t>Anjali Sharma</t>
        </is>
      </c>
      <c r="H32" s="5" t="inlineStr">
        <is>
          <t>Female lead</t>
        </is>
      </c>
      <c r="I32" s="5" t="inlineStr">
        <is>
          <t>Yes</t>
        </is>
      </c>
      <c r="J32" s="19" t="inlineStr">
        <is>
          <t>Friendship to love</t>
        </is>
      </c>
      <c r="K32" s="5" t="inlineStr">
        <is>
          <t>College best friends</t>
        </is>
      </c>
      <c r="L32" s="5" t="inlineStr">
        <is>
          <t>Best friends at college; how they first met is not described.</t>
        </is>
      </c>
      <c r="M32" s="5" t="inlineStr">
        <is>
          <t>Anjali</t>
        </is>
      </c>
      <c r="N32" s="19" t="inlineStr">
        <is>
          <t>Anjali silently loves Rahul in college while he falls for Tina. Years later his daughter engineers their reunion at a summer camp, and Rahul declares his love on a terrace at Anjali's wedding to Aman.</t>
        </is>
      </c>
      <c r="O32" s="19" t="inlineStr">
        <is>
          <t>Playful friendship, unspoken love, awkward reunion and belated recognition</t>
        </is>
      </c>
      <c r="P32" s="19" t="inlineStr">
        <is>
          <t>Rahul's failure to recognise Anjali's love, and later her engagement to Aman.</t>
        </is>
      </c>
      <c r="Q32" s="18" t="n">
        <v>4</v>
      </c>
      <c r="R32" s="19" t="inlineStr">
        <is>
          <t>Heartbreak ends the friendship after college and the reunion is awkward, but there is no hostility; the conflict is timing and recognition.</t>
        </is>
      </c>
      <c r="S32" s="18" t="n">
        <v>5</v>
      </c>
      <c r="T32" s="5" t="inlineStr">
        <is>
          <t>Existing relationship</t>
        </is>
      </c>
      <c r="U32" s="19" t="inlineStr">
        <is>
          <t>Tina first, and later Anjali's fiancé Aman, stand between them until Aman calls off the wedding.</t>
        </is>
      </c>
      <c r="V32" s="18" t="n">
        <v>9</v>
      </c>
      <c r="W32" s="19" t="inlineStr">
        <is>
          <t>Romance organises Rahul's life in both halves, and the role consolidated Khan's romantic-hero image alongside DDLJ.</t>
        </is>
      </c>
      <c r="X32" s="18" t="n">
        <v>10</v>
      </c>
      <c r="Y32" s="18" t="n">
        <v>8</v>
      </c>
      <c r="Z32" s="18" t="n">
        <v>7</v>
      </c>
      <c r="AA32" s="18" t="n">
        <v>5</v>
      </c>
      <c r="AB32" s="18" t="n">
        <v>9</v>
      </c>
      <c r="AC32" s="19" t="inlineStr">
        <is>
          <t>Subhash K. Jha called the lead actors' chemistry 'unbeatable', and Nandita Chowdhury (India Today) credited Johar with nearly recreating the Khan–Kajol chemistry of DDLJ. Interpretive score.</t>
        </is>
      </c>
      <c r="AD32" s="5" t="inlineStr">
        <is>
          <t>Yes</t>
        </is>
      </c>
      <c r="AE32" s="5" t="inlineStr">
        <is>
          <t>Partial</t>
        </is>
      </c>
      <c r="AF32" s="5" t="inlineStr">
        <is>
          <t>Partial</t>
        </is>
      </c>
      <c r="AG32" s="5" t="inlineStr">
        <is>
          <t>No</t>
        </is>
      </c>
      <c r="AH32" s="5" t="inlineStr">
        <is>
          <t>Yes</t>
        </is>
      </c>
      <c r="AI32" s="5" t="inlineStr">
        <is>
          <t>Partial</t>
        </is>
      </c>
      <c r="AJ32" s="5" t="inlineStr">
        <is>
          <t>Partial</t>
        </is>
      </c>
      <c r="AK32" s="19" t="inlineStr">
        <is>
          <t>From a college flirt drawn to glamour to a widowed father who recognises love in friendship.</t>
        </is>
      </c>
      <c r="AL32" s="19" t="inlineStr">
        <is>
          <t>From a tomboyish student who is noticed only when she wears feminine clothing to a camp instructor who reclaims her first love.</t>
        </is>
      </c>
      <c r="AM32" s="5" t="inlineStr">
        <is>
          <t>Aman calls off his wedding and Anjali marries Rahul.</t>
        </is>
      </c>
      <c r="AN32" s="5" t="inlineStr">
        <is>
          <t>Yes</t>
        </is>
      </c>
      <c r="AO32" s="5" t="inlineStr">
        <is>
          <t>Happy</t>
        </is>
      </c>
      <c r="AP32" s="5" t="n"/>
      <c r="AQ32" s="19" t="inlineStr">
        <is>
          <t>KKHH treats friendship as the truest basis for love but resolves both triangles through others: Tina's letters and Aman's generosity deliver Anjali to Rahul. The couple's own conflict is timing and recognition rather than incompatibility.</t>
        </is>
      </c>
      <c r="AR32" s="19" t="inlineStr">
        <is>
          <t>Reviewers singled out the Khan–Kajol pairing. A modern reading questions a romance in which the heroine becomes desirable after a feminine makeover and the hero's love for his best friend waits on his wife's death.</t>
        </is>
      </c>
      <c r="AS32" s="5" t="inlineStr">
        <is>
          <t>SOURCE-034</t>
        </is>
      </c>
      <c r="AT32" s="5" t="inlineStr">
        <is>
          <t>Medium</t>
        </is>
      </c>
    </row>
    <row r="33" ht="94" customHeight="1">
      <c r="A33" s="15" t="inlineStr">
        <is>
          <t>PAIR-032</t>
        </is>
      </c>
      <c r="B33" s="20" t="inlineStr">
        <is>
          <t>FILM-031</t>
        </is>
      </c>
      <c r="C33" s="5" t="inlineStr">
        <is>
          <t>Kuch Kuch Hota Hai</t>
        </is>
      </c>
      <c r="D33" s="17" t="n">
        <v>1998</v>
      </c>
      <c r="E33" s="5" t="inlineStr">
        <is>
          <t>Rahul Khanna</t>
        </is>
      </c>
      <c r="F33" s="5" t="inlineStr">
        <is>
          <t>Rani Mukerji</t>
        </is>
      </c>
      <c r="G33" s="5" t="inlineStr">
        <is>
          <t>Tina Malhotra</t>
        </is>
      </c>
      <c r="H33" s="5" t="inlineStr">
        <is>
          <t>Second female lead</t>
        </is>
      </c>
      <c r="I33" s="5" t="inlineStr">
        <is>
          <t>Partial</t>
        </is>
      </c>
      <c r="J33" s="19" t="inlineStr">
        <is>
          <t>Frictionless idealized romance</t>
        </is>
      </c>
      <c r="K33" s="5" t="inlineStr">
        <is>
          <t>Fellow college students</t>
        </is>
      </c>
      <c r="L33" s="5" t="inlineStr">
        <is>
          <t>At college, where Tina's father is the principal.</t>
        </is>
      </c>
      <c r="M33" s="5" t="inlineStr">
        <is>
          <t>Unclear</t>
        </is>
      </c>
      <c r="N33" s="19" t="inlineStr">
        <is>
          <t>Not detailed in the summary beyond Rahul falling for Tina at college.</t>
        </is>
      </c>
      <c r="O33" s="19" t="inlineStr">
        <is>
          <t>A loving marriage cut short; Tina's letters show her awareness of Anjali's love</t>
        </is>
      </c>
      <c r="P33" s="19" t="inlineStr">
        <is>
          <t>None documented.</t>
        </is>
      </c>
      <c r="Q33" s="18" t="n">
        <v>1</v>
      </c>
      <c r="R33" s="19" t="inlineStr">
        <is>
          <t>No conflict between the couple is recorded; low score carries Low confidence.</t>
        </is>
      </c>
      <c r="S33" s="18" t="n">
        <v>8</v>
      </c>
      <c r="T33" s="5" t="inlineStr">
        <is>
          <t>Fate</t>
        </is>
      </c>
      <c r="U33" s="19" t="inlineStr">
        <is>
          <t>Tina dies in childbirth, permanently separating the couple.</t>
        </is>
      </c>
      <c r="V33" s="18" t="n">
        <v>7</v>
      </c>
      <c r="W33" s="19" t="inlineStr">
        <is>
          <t>Rahul is a romantic hero in the college half, though the summary gives the courtship little detail.</t>
        </is>
      </c>
      <c r="X33" s="18" t="n">
        <v>5</v>
      </c>
      <c r="Y33" s="18" t="n">
        <v>9</v>
      </c>
      <c r="Z33" s="18" t="n">
        <v>8</v>
      </c>
      <c r="AA33" s="18" t="n">
        <v>7</v>
      </c>
      <c r="AB33" s="18" t="n">
        <v>7</v>
      </c>
      <c r="AC33" s="19" t="inlineStr">
        <is>
          <t>Interpretive reading; the reviews in the article praise the lead actors' chemistry, meaning Khan and Kajol. Tina's college flirtation and brief marriage are played with glamour and warmth, enough that her letters carry emotional weight.</t>
        </is>
      </c>
      <c r="AD33" s="5" t="inlineStr">
        <is>
          <t>Unclear</t>
        </is>
      </c>
      <c r="AE33" s="5" t="inlineStr">
        <is>
          <t>No</t>
        </is>
      </c>
      <c r="AF33" s="5" t="inlineStr">
        <is>
          <t>No</t>
        </is>
      </c>
      <c r="AG33" s="5" t="inlineStr">
        <is>
          <t>No</t>
        </is>
      </c>
      <c r="AH33" s="5" t="inlineStr">
        <is>
          <t>Yes</t>
        </is>
      </c>
      <c r="AI33" s="5" t="inlineStr">
        <is>
          <t>Partial</t>
        </is>
      </c>
      <c r="AJ33" s="5" t="inlineStr">
        <is>
          <t>Unclear</t>
        </is>
      </c>
      <c r="AK33" s="19" t="inlineStr">
        <is>
          <t>Marriage and widowhood make him a devoted single father.</t>
        </is>
      </c>
      <c r="AL33" s="19" t="inlineStr">
        <is>
          <t>Recognises Anjali's love for Rahul and, before dying, plans for his future happiness.</t>
        </is>
      </c>
      <c r="AM33" s="5" t="inlineStr">
        <is>
          <t>Tina dies in childbirth eight years before the main story.</t>
        </is>
      </c>
      <c r="AN33" s="5" t="inlineStr">
        <is>
          <t>Yes</t>
        </is>
      </c>
      <c r="AO33" s="5" t="inlineStr">
        <is>
          <t>Tragic</t>
        </is>
      </c>
      <c r="AP33" s="5" t="n"/>
      <c r="AQ33" s="19" t="inlineStr">
        <is>
          <t>Tina's marriage is the first half's romance and the second half's engine: her posthumous letters authorise Rahul's return to Anjali, so the dead wife sanctions the second love. Her letters give her lasting narrative agency.</t>
        </is>
      </c>
      <c r="AR33" s="19" t="inlineStr">
        <is>
          <t>No reading of the pair was found.</t>
        </is>
      </c>
      <c r="AS33" s="5" t="inlineStr">
        <is>
          <t>SOURCE-034</t>
        </is>
      </c>
      <c r="AT33" s="5" t="inlineStr">
        <is>
          <t>Low</t>
        </is>
      </c>
    </row>
    <row r="34" ht="94" customHeight="1">
      <c r="A34" s="15" t="inlineStr">
        <is>
          <t>PAIR-033</t>
        </is>
      </c>
      <c r="B34" s="20" t="inlineStr">
        <is>
          <t>FILM-032</t>
        </is>
      </c>
      <c r="C34" s="5" t="inlineStr">
        <is>
          <t>Baadshah</t>
        </is>
      </c>
      <c r="D34" s="17" t="n">
        <v>1999</v>
      </c>
      <c r="E34" s="5" t="inlineStr">
        <is>
          <t>Raj (Baadshah)</t>
        </is>
      </c>
      <c r="F34" s="5" t="inlineStr">
        <is>
          <t>Twinkle Khanna</t>
        </is>
      </c>
      <c r="G34" s="5" t="inlineStr">
        <is>
          <t>Seema Malhotra (Rosie)</t>
        </is>
      </c>
      <c r="H34" s="5" t="inlineStr">
        <is>
          <t>Female lead</t>
        </is>
      </c>
      <c r="I34" s="5" t="inlineStr">
        <is>
          <t>Yes</t>
        </is>
      </c>
      <c r="J34" s="19" t="inlineStr">
        <is>
          <t>Relationship damaged by mistrust</t>
        </is>
      </c>
      <c r="K34" s="5" t="inlineStr">
        <is>
          <t>Target of a paid seduction</t>
        </is>
      </c>
      <c r="L34" s="5" t="inlineStr">
        <is>
          <t>The fraudster Jhunjhunwala, posing as her dying father, hires Raj to break her resistance to marrying Nitin.</t>
        </is>
      </c>
      <c r="M34" s="5" t="inlineStr">
        <is>
          <t>Raj</t>
        </is>
      </c>
      <c r="N34" s="19" t="inlineStr">
        <is>
          <t>Raj woos Seema with lies, makes her fall for him and dumps her, though his feelings are genuine. In Goa they reconcile, fall out when she suspects him of being the assassin, and join forces once the misunderstandings are cleared.</t>
        </is>
      </c>
      <c r="O34" s="19" t="inlineStr">
        <is>
          <t>Deceit and suspicion giving way to partnership</t>
        </is>
      </c>
      <c r="P34" s="19" t="inlineStr">
        <is>
          <t>His paid deception and her suspicion that he is Thapar's assassin.</t>
        </is>
      </c>
      <c r="Q34" s="18" t="n">
        <v>6</v>
      </c>
      <c r="R34" s="19" t="inlineStr">
        <is>
          <t>The relationship starts with a paid con and a cruel break-up, then a period in which Seema believes Raj is the killer; trust is rebuilt only late.</t>
        </is>
      </c>
      <c r="S34" s="18" t="n">
        <v>6</v>
      </c>
      <c r="T34" s="5" t="inlineStr">
        <is>
          <t>Villain; Crime</t>
        </is>
      </c>
      <c r="U34" s="19" t="inlineStr">
        <is>
          <t>Seema's brother, a CBI agent, is murdered, and the corrupt security chief Khanna sends men to kill her before Raj fights them off.</t>
        </is>
      </c>
      <c r="V34" s="18" t="n">
        <v>5</v>
      </c>
      <c r="W34" s="19" t="inlineStr">
        <is>
          <t>Raj's romance runs alongside the comic spy plot; he is a charming con man before he is a devoted lover.</t>
        </is>
      </c>
      <c r="X34" s="18" t="n">
        <v>5</v>
      </c>
      <c r="Y34" s="18" t="n">
        <v>4</v>
      </c>
      <c r="Z34" s="18" t="n">
        <v>6</v>
      </c>
      <c r="AA34" s="18" t="n">
        <v>7</v>
      </c>
      <c r="AB34" s="18" t="n">
        <v>5</v>
      </c>
      <c r="AC34" s="19" t="inlineStr">
        <is>
          <t>Interpretive reading; no fetched review assesses this pairing. The spy-comedy keeps the romance as banter between a con man and his mark, and the broad comic register limits what Khanna and Khan can build.</t>
        </is>
      </c>
      <c r="AD34" s="5" t="inlineStr">
        <is>
          <t>Unclear</t>
        </is>
      </c>
      <c r="AE34" s="5" t="inlineStr">
        <is>
          <t>Yes</t>
        </is>
      </c>
      <c r="AF34" s="5" t="inlineStr">
        <is>
          <t>Unclear</t>
        </is>
      </c>
      <c r="AG34" s="5" t="inlineStr">
        <is>
          <t>Yes</t>
        </is>
      </c>
      <c r="AH34" s="5" t="inlineStr">
        <is>
          <t>Yes</t>
        </is>
      </c>
      <c r="AI34" s="5" t="inlineStr">
        <is>
          <t>No</t>
        </is>
      </c>
      <c r="AJ34" s="5" t="inlineStr">
        <is>
          <t>Yes</t>
        </is>
      </c>
      <c r="AK34" s="19" t="inlineStr">
        <is>
          <t>From a con-man lover to Seema's partner in stopping the assassination.</t>
        </is>
      </c>
      <c r="AL34" s="19" t="inlineStr">
        <is>
          <t>From deceived target to active investigator after her brother's murder.</t>
        </is>
      </c>
      <c r="AM34" s="5" t="inlineStr">
        <is>
          <t>They clear their misunderstandings and help foil the plot; at the end Raj says he is 'on wife duty'.</t>
        </is>
      </c>
      <c r="AN34" s="5" t="inlineStr">
        <is>
          <t>Unclear</t>
        </is>
      </c>
      <c r="AO34" s="5" t="inlineStr">
        <is>
          <t>Happy</t>
        </is>
      </c>
      <c r="AP34" s="5" t="n"/>
      <c r="AQ34" s="19" t="inlineStr">
        <is>
          <t>The romance begins as a con: Raj is paid to make Seema fall for him, and the film treats his real feelings as enough to excuse it. It then becomes a spy-comedy partnership in which Seema, the dead agent's sister, does much of the investigating.</t>
        </is>
      </c>
      <c r="AR34" s="19" t="inlineStr">
        <is>
          <t>Rediff's Syed Firdaus Ashraf said both leads performed well, in a review that dwelt on the actress's navel. A modern reading notes that the heroine was framed through her body while the hero's deception is played for charm.</t>
        </is>
      </c>
      <c r="AS34" s="5" t="inlineStr">
        <is>
          <t>SOURCE-035</t>
        </is>
      </c>
      <c r="AT34" s="5" t="inlineStr">
        <is>
          <t>Low</t>
        </is>
      </c>
    </row>
    <row r="35" ht="79" customHeight="1">
      <c r="A35" s="15" t="inlineStr">
        <is>
          <t>PAIR-034</t>
        </is>
      </c>
      <c r="B35" s="20" t="inlineStr">
        <is>
          <t>FILM-033</t>
        </is>
      </c>
      <c r="C35" s="5" t="inlineStr">
        <is>
          <t>Phir Bhi Dil Hai Hindustani</t>
        </is>
      </c>
      <c r="D35" s="17" t="n">
        <v>2000</v>
      </c>
      <c r="E35" s="5" t="inlineStr">
        <is>
          <t>Ajay Bakshi</t>
        </is>
      </c>
      <c r="F35" s="5" t="inlineStr">
        <is>
          <t>Juhi Chawla</t>
        </is>
      </c>
      <c r="G35" s="5" t="inlineStr">
        <is>
          <t>Ria Banerjee</t>
        </is>
      </c>
      <c r="H35" s="5" t="inlineStr">
        <is>
          <t>Female lead</t>
        </is>
      </c>
      <c r="I35" s="5" t="inlineStr">
        <is>
          <t>Yes</t>
        </is>
      </c>
      <c r="J35" s="19" t="inlineStr">
        <is>
          <t>Rivals to lovers</t>
        </is>
      </c>
      <c r="K35" s="5" t="inlineStr">
        <is>
          <t>Rival television reporters</t>
        </is>
      </c>
      <c r="L35" s="5" t="inlineStr">
        <is>
          <t>Ria of Galaxy TV is assigned to undermine Ajay of KTV.</t>
        </is>
      </c>
      <c r="M35" s="5" t="inlineStr">
        <is>
          <t>Unclear</t>
        </is>
      </c>
      <c r="N35" s="19" t="inlineStr">
        <is>
          <t>Constant bickering while covering the murder case and riots, with Ajay watching out for her safety; Mohan helps them realise their love, and Ajay comforts Ria through a night hiding from the police.</t>
        </is>
      </c>
      <c r="O35" s="19" t="inlineStr">
        <is>
          <t>Competitive banter turning into protective partnership</t>
        </is>
      </c>
      <c r="P35" s="19" t="inlineStr">
        <is>
          <t>Professional rivalry.</t>
        </is>
      </c>
      <c r="Q35" s="18" t="n">
        <v>4</v>
      </c>
      <c r="R35" s="19" t="inlineStr">
        <is>
          <t>Their rivalry and bickering are sustained but good-natured, and they set it aside as they cover the riots.</t>
        </is>
      </c>
      <c r="S35" s="18" t="n">
        <v>6</v>
      </c>
      <c r="T35" s="5" t="inlineStr">
        <is>
          <t>Other</t>
        </is>
      </c>
      <c r="U35" s="19" t="inlineStr">
        <is>
          <t>Their media bosses and corrupt politicians confiscate the tape, and the police raid both their homes.</t>
        </is>
      </c>
      <c r="V35" s="18" t="n">
        <v>6</v>
      </c>
      <c r="W35" s="19" t="inlineStr">
        <is>
          <t>Ajay's romance grows alongside his crusade for Mohan; the film's satire and justice plot share the focus.</t>
        </is>
      </c>
      <c r="X35" s="18" t="n">
        <v>5</v>
      </c>
      <c r="Y35" s="18" t="n">
        <v>8</v>
      </c>
      <c r="Z35" s="18" t="n">
        <v>8</v>
      </c>
      <c r="AA35" s="18" t="n">
        <v>7</v>
      </c>
      <c r="AB35" s="18" t="n">
        <v>7</v>
      </c>
      <c r="AC35" s="19" t="inlineStr">
        <is>
          <t>Interpretive reading; no fetched review assesses this pairing. The newsroom rivalry gives Khan and Chawla screwball sparring, and their practised rapport holds up even though the film failed commercially.</t>
        </is>
      </c>
      <c r="AD35" s="5" t="inlineStr">
        <is>
          <t>Yes</t>
        </is>
      </c>
      <c r="AE35" s="5" t="inlineStr">
        <is>
          <t>No</t>
        </is>
      </c>
      <c r="AF35" s="5" t="inlineStr">
        <is>
          <t>Unclear</t>
        </is>
      </c>
      <c r="AG35" s="5" t="inlineStr">
        <is>
          <t>No</t>
        </is>
      </c>
      <c r="AH35" s="5" t="inlineStr">
        <is>
          <t>No</t>
        </is>
      </c>
      <c r="AI35" s="5" t="inlineStr">
        <is>
          <t>No</t>
        </is>
      </c>
      <c r="AJ35" s="5" t="inlineStr">
        <is>
          <t>Yes</t>
        </is>
      </c>
      <c r="AK35" s="19" t="inlineStr">
        <is>
          <t>Moves from rivalry and self-interest to a shared crusade and commitment.</t>
        </is>
      </c>
      <c r="AL35" s="19" t="inlineStr">
        <is>
          <t>From assigned rival to Ajay's partner, and the one who proposes.</t>
        </is>
      </c>
      <c r="AM35" s="5" t="inlineStr">
        <is>
          <t>Ria proposes and Ajay accepts.</t>
        </is>
      </c>
      <c r="AN35" s="5" t="inlineStr">
        <is>
          <t>Partial</t>
        </is>
      </c>
      <c r="AO35" s="5" t="inlineStr">
        <is>
          <t>Happy</t>
        </is>
      </c>
      <c r="AP35" s="5" t="n"/>
      <c r="AQ35" s="19" t="inlineStr">
        <is>
          <t>The romance is a newsroom screwball comedy: the rivals join forces for Mohan and their love grows with their civic conscience. The heroine gets the last word by proposing.</t>
        </is>
      </c>
      <c r="AR35" s="19" t="inlineStr">
        <is>
          <t>No reading of the pair was found. A modern reading sees an equal, work-based partnership that is unusual among Khan's romances of the period.</t>
        </is>
      </c>
      <c r="AS35" s="5" t="inlineStr">
        <is>
          <t>SOURCE-036</t>
        </is>
      </c>
      <c r="AT35" s="5" t="inlineStr">
        <is>
          <t>Low</t>
        </is>
      </c>
    </row>
    <row r="36" ht="79" customHeight="1">
      <c r="A36" s="15" t="inlineStr">
        <is>
          <t>PAIR-035</t>
        </is>
      </c>
      <c r="B36" s="20" t="inlineStr">
        <is>
          <t>FILM-037</t>
        </is>
      </c>
      <c r="C36" s="5" t="inlineStr">
        <is>
          <t>Mohabbatein</t>
        </is>
      </c>
      <c r="D36" s="17" t="n">
        <v>2000</v>
      </c>
      <c r="E36" s="5" t="inlineStr">
        <is>
          <t>Raj Aryan Malhotra</t>
        </is>
      </c>
      <c r="F36" s="5" t="inlineStr">
        <is>
          <t>Aishwarya Rai</t>
        </is>
      </c>
      <c r="G36" s="5" t="inlineStr">
        <is>
          <t>Megha Shankar</t>
        </is>
      </c>
      <c r="H36" s="5" t="inlineStr">
        <is>
          <t>Female lead (seen in memory)</t>
        </is>
      </c>
      <c r="I36" s="5" t="inlineStr">
        <is>
          <t>Yes</t>
        </is>
      </c>
      <c r="J36" s="19" t="inlineStr">
        <is>
          <t>Tragic lovers</t>
        </is>
      </c>
      <c r="K36" s="5" t="inlineStr">
        <is>
          <t>Student and the principal's daughter</t>
        </is>
      </c>
      <c r="L36" s="5" t="inlineStr">
        <is>
          <t>Not documented; Raj falls in love with Megha while a student at Gurukul.</t>
        </is>
      </c>
      <c r="M36" s="5" t="inlineStr">
        <is>
          <t>Unclear</t>
        </is>
      </c>
      <c r="N36" s="19" t="inlineStr">
        <is>
          <t>Not documented in the summary; the love affair leads to Raj's expulsion.</t>
        </is>
      </c>
      <c r="O36" s="19" t="inlineStr">
        <is>
          <t>Devotion that outlives death</t>
        </is>
      </c>
      <c r="P36" s="19" t="inlineStr">
        <is>
          <t>None documented.</t>
        </is>
      </c>
      <c r="Q36" s="18" t="n">
        <v>0</v>
      </c>
      <c r="R36" s="19" t="inlineStr">
        <is>
          <t>No conflict between the couple is recorded; low score carries Low confidence.</t>
        </is>
      </c>
      <c r="S36" s="18" t="n">
        <v>10</v>
      </c>
      <c r="T36" s="5" t="inlineStr">
        <is>
          <t>Family</t>
        </is>
      </c>
      <c r="U36" s="19" t="inlineStr">
        <is>
          <t>Megha's father Narayan expels Raj for loving her, and she kills herself afterwards.</t>
        </is>
      </c>
      <c r="V36" s="18" t="n">
        <v>8</v>
      </c>
      <c r="W36" s="19" t="inlineStr">
        <is>
          <t>Raj's devotion to Megha's memory drives his mission, though his present role is that of mentor to the students.</t>
        </is>
      </c>
      <c r="X36" s="18" t="n">
        <v>7</v>
      </c>
      <c r="Y36" s="18" t="n">
        <v>7</v>
      </c>
      <c r="Z36" s="18" t="n">
        <v>7</v>
      </c>
      <c r="AA36" s="18" t="n">
        <v>3</v>
      </c>
      <c r="AB36" s="18" t="n">
        <v>5</v>
      </c>
      <c r="AC36" s="19" t="inlineStr">
        <is>
          <t>Interpretive reading; no fetched review assesses this pairing. Megha appears largely as a remembered vision, so Rai and Khan share little dialogue; the romance is iconography more than interaction.</t>
        </is>
      </c>
      <c r="AD36" s="5" t="inlineStr">
        <is>
          <t>Unclear</t>
        </is>
      </c>
      <c r="AE36" s="5" t="inlineStr">
        <is>
          <t>No</t>
        </is>
      </c>
      <c r="AF36" s="5" t="inlineStr">
        <is>
          <t>No</t>
        </is>
      </c>
      <c r="AG36" s="5" t="inlineStr">
        <is>
          <t>No</t>
        </is>
      </c>
      <c r="AH36" s="5" t="inlineStr">
        <is>
          <t>Yes</t>
        </is>
      </c>
      <c r="AI36" s="5" t="inlineStr">
        <is>
          <t>Partial</t>
        </is>
      </c>
      <c r="AJ36" s="5" t="inlineStr">
        <is>
          <t>Unclear</t>
        </is>
      </c>
      <c r="AK36" s="19" t="inlineStr">
        <is>
          <t>Turns his loss into a mission to spread love at Gurukul.</t>
        </is>
      </c>
      <c r="AL36" s="19" t="inlineStr">
        <is>
          <t>Not documented; she kills herself after Raj's expulsion.</t>
        </is>
      </c>
      <c r="AM36" s="5" t="inlineStr">
        <is>
          <t>Megha dies by suicide; Raj keeps her memory alive.</t>
        </is>
      </c>
      <c r="AN36" s="5" t="inlineStr">
        <is>
          <t>No</t>
        </is>
      </c>
      <c r="AO36" s="5" t="inlineStr">
        <is>
          <t>Tragic</t>
        </is>
      </c>
      <c r="AP36" s="5" t="n"/>
      <c r="AQ36" s="19" t="inlineStr">
        <is>
          <t>Mohabbatein turns a lost love into a cause: Megha's death indicts her father's discipline, and Raj's devotion to her memory is the moral force that converts Narayan. The summary remembers the romance rather than dramatising it, leaving Megha largely symbolic.</t>
        </is>
      </c>
      <c r="AR36" s="19" t="inlineStr">
        <is>
          <t>Reviewers focused on the Bachchan–Khan confrontations rather than the romance. A modern reading notes that the heroine's suicide serves chiefly to condemn patriarchal authority and ennoble the hero.</t>
        </is>
      </c>
      <c r="AS36" s="5" t="inlineStr">
        <is>
          <t>SOURCE-040</t>
        </is>
      </c>
      <c r="AT36" s="5" t="inlineStr">
        <is>
          <t>Low</t>
        </is>
      </c>
    </row>
    <row r="37" ht="79" customHeight="1">
      <c r="A37" s="15" t="inlineStr">
        <is>
          <t>PAIR-036</t>
        </is>
      </c>
      <c r="B37" s="20" t="inlineStr">
        <is>
          <t>FILM-039</t>
        </is>
      </c>
      <c r="C37" s="5" t="inlineStr">
        <is>
          <t>One 2 Ka 4</t>
        </is>
      </c>
      <c r="D37" s="17" t="n">
        <v>2001</v>
      </c>
      <c r="E37" s="5" t="inlineStr">
        <is>
          <t>ACP Arun Verma</t>
        </is>
      </c>
      <c r="F37" s="5" t="inlineStr">
        <is>
          <t>Juhi Chawla</t>
        </is>
      </c>
      <c r="G37" s="5" t="inlineStr">
        <is>
          <t>ACP Geeta Chaudhury</t>
        </is>
      </c>
      <c r="H37" s="5" t="inlineStr">
        <is>
          <t>Female lead</t>
        </is>
      </c>
      <c r="I37" s="5" t="inlineStr">
        <is>
          <t>Yes</t>
        </is>
      </c>
      <c r="J37" s="19" t="inlineStr">
        <is>
          <t>Relationship damaged by mistrust</t>
        </is>
      </c>
      <c r="K37" s="5" t="inlineStr">
        <is>
          <t>Not documented</t>
        </is>
      </c>
      <c r="L37" s="5" t="inlineStr">
        <is>
          <t>Not documented; Geeta, working undercover at KKV's nightclub, helps Arun care for Javed's children.</t>
        </is>
      </c>
      <c r="M37" s="5" t="inlineStr">
        <is>
          <t>Unclear</t>
        </is>
      </c>
      <c r="N37" s="19" t="inlineStr">
        <is>
          <t>Not described beyond her help with the children.</t>
        </is>
      </c>
      <c r="O37" s="19" t="inlineStr">
        <is>
          <t>Co-parenting partnership strained by her undercover role</t>
        </is>
      </c>
      <c r="P37" s="19" t="inlineStr">
        <is>
          <t>Geeta testifies against Arun to protect her cover.</t>
        </is>
      </c>
      <c r="Q37" s="18" t="n">
        <v>5</v>
      </c>
      <c r="R37" s="19" t="inlineStr">
        <is>
          <t>Her testimony gets Arun suspended, a serious breach of trust, but they end as allies.</t>
        </is>
      </c>
      <c r="S37" s="18" t="n">
        <v>6</v>
      </c>
      <c r="T37" s="5" t="inlineStr">
        <is>
          <t>Crime; Villain</t>
        </is>
      </c>
      <c r="U37" s="19" t="inlineStr">
        <is>
          <t>The drug lord KKV and his protectors in the police frame Arun.</t>
        </is>
      </c>
      <c r="V37" s="18" t="n">
        <v>3</v>
      </c>
      <c r="W37" s="19" t="inlineStr">
        <is>
          <t>Arun's role is guardian and wronged cop; romance is incidental.</t>
        </is>
      </c>
      <c r="X37" s="18" t="n">
        <v>3</v>
      </c>
      <c r="Y37" s="18" t="n">
        <v>6</v>
      </c>
      <c r="Z37" s="20" t="n"/>
      <c r="AA37" s="18" t="n">
        <v>7</v>
      </c>
      <c r="AB37" s="18" t="n">
        <v>5</v>
      </c>
      <c r="AC37" s="19" t="inlineStr">
        <is>
          <t>Interpretive reading; no fetched review assesses this pairing. The action-comedy uses the couple as co-guardians of the children rather than as lovers, and their scenes are functional more than romantic.</t>
        </is>
      </c>
      <c r="AD37" s="5" t="inlineStr">
        <is>
          <t>Unclear</t>
        </is>
      </c>
      <c r="AE37" s="5" t="inlineStr">
        <is>
          <t>Yes</t>
        </is>
      </c>
      <c r="AF37" s="5" t="inlineStr">
        <is>
          <t>Unclear</t>
        </is>
      </c>
      <c r="AG37" s="5" t="inlineStr">
        <is>
          <t>Yes</t>
        </is>
      </c>
      <c r="AH37" s="5" t="inlineStr">
        <is>
          <t>Partial</t>
        </is>
      </c>
      <c r="AI37" s="5" t="inlineStr">
        <is>
          <t>Unclear</t>
        </is>
      </c>
      <c r="AJ37" s="5" t="inlineStr">
        <is>
          <t>Yes</t>
        </is>
      </c>
      <c r="AK37" s="19" t="inlineStr">
        <is>
          <t>Not documented beyond his growth as a guardian.</t>
        </is>
      </c>
      <c r="AL37" s="19" t="inlineStr">
        <is>
          <t>Revealed as an undercover officer who joins Arun for the airport showdown.</t>
        </is>
      </c>
      <c r="AM37" s="5" t="inlineStr">
        <is>
          <t>They marry after Arun is reinstated.</t>
        </is>
      </c>
      <c r="AN37" s="5" t="inlineStr">
        <is>
          <t>Yes</t>
        </is>
      </c>
      <c r="AO37" s="5" t="inlineStr">
        <is>
          <t>Happy</t>
        </is>
      </c>
      <c r="AP37" s="5" t="n"/>
      <c r="AQ37" s="19" t="inlineStr">
        <is>
          <t>The romance is part of a surrogate-family plot: Geeta helps Arun raise his dead partner's children, and her undercover testimony is the only conflict between them. Mutuality is not scored because her feelings are not described.</t>
        </is>
      </c>
      <c r="AR37" s="19" t="inlineStr">
        <is>
          <t>No reading of the pair was found.</t>
        </is>
      </c>
      <c r="AS37" s="5" t="inlineStr">
        <is>
          <t>SOURCE-042</t>
        </is>
      </c>
      <c r="AT37" s="5" t="inlineStr">
        <is>
          <t>Low</t>
        </is>
      </c>
    </row>
    <row r="38" ht="94" customHeight="1">
      <c r="A38" s="15" t="inlineStr">
        <is>
          <t>PAIR-037</t>
        </is>
      </c>
      <c r="B38" s="20" t="inlineStr">
        <is>
          <t>FILM-040</t>
        </is>
      </c>
      <c r="C38" s="5" t="inlineStr">
        <is>
          <t>Aśoka</t>
        </is>
      </c>
      <c r="D38" s="17" t="n">
        <v>2001</v>
      </c>
      <c r="E38" s="5" t="inlineStr">
        <is>
          <t>Ashoka Maurya</t>
        </is>
      </c>
      <c r="F38" s="5" t="inlineStr">
        <is>
          <t>Kareena Kapoor</t>
        </is>
      </c>
      <c r="G38" s="5" t="inlineStr">
        <is>
          <t>Kaurwaki</t>
        </is>
      </c>
      <c r="H38" s="5" t="inlineStr">
        <is>
          <t>Female lead</t>
        </is>
      </c>
      <c r="I38" s="5" t="inlineStr">
        <is>
          <t>Yes</t>
        </is>
      </c>
      <c r="J38" s="19" t="inlineStr">
        <is>
          <t>Relationship manipulated by outsiders</t>
        </is>
      </c>
      <c r="K38" s="5" t="inlineStr">
        <is>
          <t>Strangers</t>
        </is>
      </c>
      <c r="L38" s="5" t="inlineStr">
        <is>
          <t>Travelling south in disguise, Asoka saves Kaurwaki, her brother Arya and their protector Bheema from Kalinga soldiers.</t>
        </is>
      </c>
      <c r="M38" s="5" t="inlineStr">
        <is>
          <t>Asoka</t>
        </is>
      </c>
      <c r="N38" s="19" t="inlineStr">
        <is>
          <t>He falls in love, bonds with Arya and marries Kaurwaki in secret while hiding his identity as Pawan.</t>
        </is>
      </c>
      <c r="O38" s="19" t="inlineStr">
        <is>
          <t>Passionate secret union shadowed by his hidden identity</t>
        </is>
      </c>
      <c r="P38" s="19" t="inlineStr">
        <is>
          <t>His concealed identity, and later his war on her kingdom.</t>
        </is>
      </c>
      <c r="Q38" s="18" t="n">
        <v>4</v>
      </c>
      <c r="R38" s="19" t="inlineStr">
        <is>
          <t>The couple does not quarrel, but the marriage rests on Asoka's false identity, and he unknowingly makes war on her people.</t>
        </is>
      </c>
      <c r="S38" s="18" t="n">
        <v>10</v>
      </c>
      <c r="T38" s="5" t="inlineStr">
        <is>
          <t>War or politics; Other</t>
        </is>
      </c>
      <c r="U38" s="19" t="inlineStr">
        <is>
          <t>Bheema falsely reports that Kaurwaki and Arya were slaughtered; the Kalinga war wounds Kaurwaki and kills Arya.</t>
        </is>
      </c>
      <c r="V38" s="18" t="n">
        <v>7</v>
      </c>
      <c r="W38" s="19" t="inlineStr">
        <is>
          <t>In the middle section Asoka is a romantic hero; before and after, power and war dominate the role.</t>
        </is>
      </c>
      <c r="X38" s="18" t="n">
        <v>6</v>
      </c>
      <c r="Y38" s="18" t="n">
        <v>5</v>
      </c>
      <c r="Z38" s="18" t="n">
        <v>8</v>
      </c>
      <c r="AA38" s="18" t="n">
        <v>6</v>
      </c>
      <c r="AB38" s="18" t="n">
        <v>6</v>
      </c>
      <c r="AC38" s="19" t="inlineStr">
        <is>
          <t>Interpretive reading; a review quoted in the article praises Kapoor's Kaurwaki as a 'lively mix of flirtatious coquette and feisty warrior woman'. The forest courtship has energy, but the disguise and the war keep the pair apart for most of the film.</t>
        </is>
      </c>
      <c r="AD38" s="5" t="inlineStr">
        <is>
          <t>Unclear</t>
        </is>
      </c>
      <c r="AE38" s="5" t="inlineStr">
        <is>
          <t>Partial</t>
        </is>
      </c>
      <c r="AF38" s="5" t="inlineStr">
        <is>
          <t>No</t>
        </is>
      </c>
      <c r="AG38" s="5" t="inlineStr">
        <is>
          <t>Yes</t>
        </is>
      </c>
      <c r="AH38" s="5" t="inlineStr">
        <is>
          <t>Yes</t>
        </is>
      </c>
      <c r="AI38" s="5" t="inlineStr">
        <is>
          <t>No</t>
        </is>
      </c>
      <c r="AJ38" s="5" t="inlineStr">
        <is>
          <t>No</t>
        </is>
      </c>
      <c r="AK38" s="19" t="inlineStr">
        <is>
          <t>Believing her dead turns him brutal; finding her among the carnage he caused leads to his renunciation.</t>
        </is>
      </c>
      <c r="AL38" s="19" t="inlineStr">
        <is>
          <t>From fugitive princess to restored ruler of Kalinga, wounded in the war waged by the husband she knew as Pawan.</t>
        </is>
      </c>
      <c r="AM38" s="5" t="inlineStr">
        <is>
          <t>They reunite on the battlefield and Asoka apologises as Arya dies; he then renounces violence.</t>
        </is>
      </c>
      <c r="AN38" s="5" t="inlineStr">
        <is>
          <t>Partial</t>
        </is>
      </c>
      <c r="AO38" s="5" t="inlineStr">
        <is>
          <t>Unresolved</t>
        </is>
      </c>
      <c r="AP38" s="5" t="n"/>
      <c r="AQ38" s="19" t="inlineStr">
        <is>
          <t>Asoka's first love is the hinge of the epic: the false report of Kaurwaki's death releases his cruelty, and her survival among the dead of Kalinga forces his conversion. Their marriage, built on his disguise, never becomes a shared life.</t>
        </is>
      </c>
      <c r="AR38" s="19" t="inlineStr">
        <is>
          <t>Peter Bradshaw praised the film's 'intricate, indirect eroticism – no sex, or even kissing'; the BBC's Santosh Sinha felt Khan the star took over from Asoka in this section. A modern reading notes that the romance serves the conqueror's redemption more than the princess's story.</t>
        </is>
      </c>
      <c r="AS38" s="5" t="inlineStr">
        <is>
          <t>SOURCE-043</t>
        </is>
      </c>
      <c r="AT38" s="5" t="inlineStr">
        <is>
          <t>Medium</t>
        </is>
      </c>
    </row>
    <row r="39" ht="79" customHeight="1">
      <c r="A39" s="15" t="inlineStr">
        <is>
          <t>PAIR-038</t>
        </is>
      </c>
      <c r="B39" s="20" t="inlineStr">
        <is>
          <t>FILM-040</t>
        </is>
      </c>
      <c r="C39" s="5" t="inlineStr">
        <is>
          <t>Aśoka</t>
        </is>
      </c>
      <c r="D39" s="17" t="n">
        <v>2001</v>
      </c>
      <c r="E39" s="5" t="inlineStr">
        <is>
          <t>Ashoka Maurya</t>
        </is>
      </c>
      <c r="F39" s="5" t="inlineStr">
        <is>
          <t>Hrishitaa Bhatt</t>
        </is>
      </c>
      <c r="G39" s="5" t="inlineStr">
        <is>
          <t>Devi</t>
        </is>
      </c>
      <c r="H39" s="5" t="inlineStr">
        <is>
          <t>Supporting female role</t>
        </is>
      </c>
      <c r="I39" s="5" t="inlineStr">
        <is>
          <t>No</t>
        </is>
      </c>
      <c r="J39" s="19" t="inlineStr">
        <is>
          <t>Romance subordinate to another genre</t>
        </is>
      </c>
      <c r="K39" s="5" t="inlineStr">
        <is>
          <t>Strangers</t>
        </is>
      </c>
      <c r="L39" s="5" t="inlineStr">
        <is>
          <t>Devi, a Buddhist maiden, nurses the wounded Asoka at a monastery in Vidisa.</t>
        </is>
      </c>
      <c r="M39" s="5" t="inlineStr">
        <is>
          <t>Unclear</t>
        </is>
      </c>
      <c r="N39" s="19" t="inlineStr">
        <is>
          <t>She cares for him and helps him survive an assassination attempt; they marry.</t>
        </is>
      </c>
      <c r="O39" s="19" t="inlineStr">
        <is>
          <t>Care and gratitude</t>
        </is>
      </c>
      <c r="P39" s="19" t="inlineStr">
        <is>
          <t>None documented.</t>
        </is>
      </c>
      <c r="Q39" s="18" t="n">
        <v>1</v>
      </c>
      <c r="R39" s="19" t="inlineStr">
        <is>
          <t>No conflict between the couple is recorded; low score carries Low confidence.</t>
        </is>
      </c>
      <c r="S39" s="18" t="n">
        <v>4</v>
      </c>
      <c r="T39" s="5" t="inlineStr">
        <is>
          <t>Villain</t>
        </is>
      </c>
      <c r="U39" s="19" t="inlineStr">
        <is>
          <t>Susima's assassins attack Asoka at Vidisa.</t>
        </is>
      </c>
      <c r="V39" s="18" t="n">
        <v>3</v>
      </c>
      <c r="W39" s="19" t="inlineStr">
        <is>
          <t>The marriage marks Asoka's return to power while he mourns Kaurwaki; it is not a romantic arc.</t>
        </is>
      </c>
      <c r="X39" s="18" t="n">
        <v>2</v>
      </c>
      <c r="Y39" s="18" t="n">
        <v>7</v>
      </c>
      <c r="Z39" s="20" t="n"/>
      <c r="AA39" s="18" t="n">
        <v>5</v>
      </c>
      <c r="AB39" s="18" t="n">
        <v>3</v>
      </c>
      <c r="AC39" s="19" t="inlineStr">
        <is>
          <t>Interpretive reading; no fetched review assesses this pairing. The marriage to Devi is a transition in Asoka's story, and the film gives the two little shared feeling to play.</t>
        </is>
      </c>
      <c r="AD39" s="5" t="inlineStr">
        <is>
          <t>Unclear</t>
        </is>
      </c>
      <c r="AE39" s="5" t="inlineStr">
        <is>
          <t>No</t>
        </is>
      </c>
      <c r="AF39" s="5" t="inlineStr">
        <is>
          <t>Unclear</t>
        </is>
      </c>
      <c r="AG39" s="5" t="inlineStr">
        <is>
          <t>Unclear</t>
        </is>
      </c>
      <c r="AH39" s="5" t="inlineStr">
        <is>
          <t>Unclear</t>
        </is>
      </c>
      <c r="AI39" s="5" t="inlineStr">
        <is>
          <t>No</t>
        </is>
      </c>
      <c r="AJ39" s="5" t="inlineStr">
        <is>
          <t>Partial</t>
        </is>
      </c>
      <c r="AK39" s="19" t="inlineStr">
        <is>
          <t>Not documented.</t>
        </is>
      </c>
      <c r="AL39" s="19" t="inlineStr">
        <is>
          <t>Not documented.</t>
        </is>
      </c>
      <c r="AM39" s="5" t="inlineStr">
        <is>
          <t>Married; Asoka returns in splendour to Pataliputra.</t>
        </is>
      </c>
      <c r="AN39" s="5" t="inlineStr">
        <is>
          <t>Yes</t>
        </is>
      </c>
      <c r="AO39" s="5" t="inlineStr">
        <is>
          <t>Unresolved</t>
        </is>
      </c>
      <c r="AP39" s="5" t="n"/>
      <c r="AQ39" s="19" t="inlineStr">
        <is>
          <t>The marriage to Devi comes while Asoka believes Kaurwaki dead and accompanies his return to power. The summary does not develop it, though Devi's Buddhism anticipates his conversion.</t>
        </is>
      </c>
      <c r="AR39" s="19" t="inlineStr">
        <is>
          <t>No reading of the pair was found.</t>
        </is>
      </c>
      <c r="AS39" s="5" t="inlineStr">
        <is>
          <t>SOURCE-043</t>
        </is>
      </c>
      <c r="AT39" s="5" t="inlineStr">
        <is>
          <t>Low</t>
        </is>
      </c>
    </row>
    <row r="40" ht="94" customHeight="1">
      <c r="A40" s="15" t="inlineStr">
        <is>
          <t>PAIR-039</t>
        </is>
      </c>
      <c r="B40" s="20" t="inlineStr">
        <is>
          <t>FILM-041</t>
        </is>
      </c>
      <c r="C40" s="5" t="inlineStr">
        <is>
          <t>Kabhi Khushi Kabhie Gham</t>
        </is>
      </c>
      <c r="D40" s="17" t="n">
        <v>2001</v>
      </c>
      <c r="E40" s="5" t="inlineStr">
        <is>
          <t>Rahul Raichand</t>
        </is>
      </c>
      <c r="F40" s="5" t="inlineStr">
        <is>
          <t>Kajol</t>
        </is>
      </c>
      <c r="G40" s="5" t="inlineStr">
        <is>
          <t>Anjali Sharma Raichand</t>
        </is>
      </c>
      <c r="H40" s="5" t="inlineStr">
        <is>
          <t>Female lead</t>
        </is>
      </c>
      <c r="I40" s="5" t="inlineStr">
        <is>
          <t>Yes</t>
        </is>
      </c>
      <c r="J40" s="19" t="inlineStr">
        <is>
          <t>United couple versus external world</t>
        </is>
      </c>
      <c r="K40" s="5" t="inlineStr">
        <is>
          <t>Not documented</t>
        </is>
      </c>
      <c r="L40" s="5" t="inlineStr">
        <is>
          <t>Not documented; Anjali is a lively young woman from Chandni Chowk.</t>
        </is>
      </c>
      <c r="M40" s="5" t="inlineStr">
        <is>
          <t>Unclear</t>
        </is>
      </c>
      <c r="N40" s="19" t="inlineStr">
        <is>
          <t>Rahul considers ending the relationship to obey Yash, but marries Anjali after her father's sudden death.</t>
        </is>
      </c>
      <c r="O40" s="19" t="inlineStr">
        <is>
          <t>Dutiful husband and exuberant wife bound together by exile</t>
        </is>
      </c>
      <c r="P40" s="19" t="inlineStr">
        <is>
          <t>Rahul's duty to his father against his love.</t>
        </is>
      </c>
      <c r="Q40" s="18" t="n">
        <v>2</v>
      </c>
      <c r="R40" s="19" t="inlineStr">
        <is>
          <t>Rahul's hesitation is about his father, not Anjali; the marriage is united throughout the exile.</t>
        </is>
      </c>
      <c r="S40" s="18" t="n">
        <v>8</v>
      </c>
      <c r="T40" s="5" t="inlineStr">
        <is>
          <t>Family; Class</t>
        </is>
      </c>
      <c r="U40" s="19" t="inlineStr">
        <is>
          <t>Yash disapproves of Anjali's class, wants Rahul to marry Naina, and disowns him, causing a ten-year estrangement.</t>
        </is>
      </c>
      <c r="V40" s="18" t="n">
        <v>6</v>
      </c>
      <c r="W40" s="19" t="inlineStr">
        <is>
          <t>Rahul chooses love over family, but the role is defined as much by filial duty and longing for his father.</t>
        </is>
      </c>
      <c r="X40" s="18" t="n">
        <v>6</v>
      </c>
      <c r="Y40" s="18" t="n">
        <v>8</v>
      </c>
      <c r="Z40" s="18" t="n">
        <v>8</v>
      </c>
      <c r="AA40" s="18" t="n">
        <v>5</v>
      </c>
      <c r="AB40" s="18" t="n">
        <v>8</v>
      </c>
      <c r="AC40" s="19" t="inlineStr">
        <is>
          <t>Interpretive reading; the reviews in the article praise Kajol's performance without assessing the pairing. The Chandni Chowk courtship revives the Khan and Kajol playfulness of their earlier hits, though the family drama soon overtakes the romance.</t>
        </is>
      </c>
      <c r="AD40" s="5" t="inlineStr">
        <is>
          <t>Unclear</t>
        </is>
      </c>
      <c r="AE40" s="5" t="inlineStr">
        <is>
          <t>No</t>
        </is>
      </c>
      <c r="AF40" s="5" t="inlineStr">
        <is>
          <t>No</t>
        </is>
      </c>
      <c r="AG40" s="5" t="inlineStr">
        <is>
          <t>No</t>
        </is>
      </c>
      <c r="AH40" s="5" t="inlineStr">
        <is>
          <t>No</t>
        </is>
      </c>
      <c r="AI40" s="5" t="inlineStr">
        <is>
          <t>Yes</t>
        </is>
      </c>
      <c r="AJ40" s="5" t="inlineStr">
        <is>
          <t>Yes</t>
        </is>
      </c>
      <c r="AK40" s="19" t="inlineStr">
        <is>
          <t>Chooses marriage over his father's approval and lives in exile until reconciliation.</t>
        </is>
      </c>
      <c r="AL40" s="19" t="inlineStr">
        <is>
          <t>Leaves Chandni Chowk for London as Rahul's wife and the mother of Krish.</t>
        </is>
      </c>
      <c r="AM40" s="5" t="inlineStr">
        <is>
          <t>Married with a son, Krish; the family belatedly celebrates their wedding.</t>
        </is>
      </c>
      <c r="AN40" s="5" t="inlineStr">
        <is>
          <t>Yes</t>
        </is>
      </c>
      <c r="AO40" s="5" t="inlineStr">
        <is>
          <t>Happy</t>
        </is>
      </c>
      <c r="AP40" s="5" t="n"/>
      <c r="AQ40" s="19" t="inlineStr">
        <is>
          <t>The romance causes the family rupture rather than carrying the story: Yash disowns Rahul for choosing Anjali, and the emotional climax is the father's apology, not the couple's union. It reverses DDLJ, whose hero refuses to marry without the father's blessing.</t>
        </is>
      </c>
      <c r="AR40" s="19" t="inlineStr">
        <is>
          <t>Kajol was widely praised; The Hindu wrote that she 'steals the thunder from under very high noses'. A modern reading notes that the film treats class prejudice as a father's pride to be forgiven rather than confronted.</t>
        </is>
      </c>
      <c r="AS40" s="5" t="inlineStr">
        <is>
          <t>SOURCE-044</t>
        </is>
      </c>
      <c r="AT40" s="5" t="inlineStr">
        <is>
          <t>Medium</t>
        </is>
      </c>
    </row>
    <row r="41" ht="79" customHeight="1">
      <c r="A41" s="15" t="inlineStr">
        <is>
          <t>PAIR-040</t>
        </is>
      </c>
      <c r="B41" s="20" t="inlineStr">
        <is>
          <t>FILM-042</t>
        </is>
      </c>
      <c r="C41" s="5" t="inlineStr">
        <is>
          <t>Hum Tumhare Hain Sanam</t>
        </is>
      </c>
      <c r="D41" s="17" t="n">
        <v>2002</v>
      </c>
      <c r="E41" s="5" t="inlineStr">
        <is>
          <t>Gopal Sharma</t>
        </is>
      </c>
      <c r="F41" s="5" t="inlineStr">
        <is>
          <t>Madhuri Dixit</t>
        </is>
      </c>
      <c r="G41" s="5" t="inlineStr">
        <is>
          <t>Radha Sharma</t>
        </is>
      </c>
      <c r="H41" s="5" t="inlineStr">
        <is>
          <t>Female lead</t>
        </is>
      </c>
      <c r="I41" s="5" t="inlineStr">
        <is>
          <t>Yes</t>
        </is>
      </c>
      <c r="J41" s="19" t="inlineStr">
        <is>
          <t>Relationship damaged by mistrust</t>
        </is>
      </c>
      <c r="K41" s="5" t="inlineStr">
        <is>
          <t>Connected through Dev Narayan's household</t>
        </is>
      </c>
      <c r="L41" s="5" t="inlineStr">
        <is>
          <t>After her mother's death Radha moves into her grandfather Dev Narayan's house, where Gopal, an orphan Dev raised, now lives.</t>
        </is>
      </c>
      <c r="M41" s="5" t="inlineStr">
        <is>
          <t>Gopal</t>
        </is>
      </c>
      <c r="N41" s="19" t="inlineStr">
        <is>
          <t>Gopal falls in love with Radha and Dev arranges their marriage.</t>
        </is>
      </c>
      <c r="O41" s="19" t="inlineStr">
        <is>
          <t>A possessive husband's growing suspicion of his wife's closeness to her adoptive brother</t>
        </is>
      </c>
      <c r="P41" s="19" t="inlineStr">
        <is>
          <t>Gopal suspects Radha of an affair with Suraj.</t>
        </is>
      </c>
      <c r="Q41" s="18" t="n">
        <v>8</v>
      </c>
      <c r="R41" s="19" t="inlineStr">
        <is>
          <t>Mounting misunderstandings end with Gopal throwing Radha out of the house and refusing to hear her or Suraj: a serious rupture driven by distrust.</t>
        </is>
      </c>
      <c r="S41" s="18" t="n">
        <v>3</v>
      </c>
      <c r="T41" s="5" t="inlineStr">
        <is>
          <t>Other</t>
        </is>
      </c>
      <c r="U41" s="19" t="inlineStr">
        <is>
          <t>Incidents on the honeymoon and Prashant's expulsion feed the suspicion, but no outsider sets out to break the marriage.</t>
        </is>
      </c>
      <c r="V41" s="18" t="n">
        <v>4</v>
      </c>
      <c r="W41" s="19" t="inlineStr">
        <is>
          <t>Gopal loves Radha, but the role is defined by jealousy and bitterness rather than romantic devotion.</t>
        </is>
      </c>
      <c r="X41" s="18" t="n">
        <v>9</v>
      </c>
      <c r="Y41" s="18" t="n">
        <v>3</v>
      </c>
      <c r="Z41" s="18" t="n">
        <v>6</v>
      </c>
      <c r="AA41" s="18" t="n">
        <v>4</v>
      </c>
      <c r="AB41" s="18" t="n">
        <v>6</v>
      </c>
      <c r="AC41" s="19" t="inlineStr">
        <is>
          <t>Interpretive reading; no fetched review assesses this pairing. The jealousy plot casts Khan as a suspicious husband, which strains the warmth that Dixit brings to the marriage.</t>
        </is>
      </c>
      <c r="AD41" s="5" t="inlineStr">
        <is>
          <t>Unclear</t>
        </is>
      </c>
      <c r="AE41" s="5" t="inlineStr">
        <is>
          <t>Yes</t>
        </is>
      </c>
      <c r="AF41" s="5" t="inlineStr">
        <is>
          <t>Yes</t>
        </is>
      </c>
      <c r="AG41" s="5" t="inlineStr">
        <is>
          <t>No</t>
        </is>
      </c>
      <c r="AH41" s="5" t="inlineStr">
        <is>
          <t>Yes</t>
        </is>
      </c>
      <c r="AI41" s="5" t="inlineStr">
        <is>
          <t>No</t>
        </is>
      </c>
      <c r="AJ41" s="5" t="inlineStr">
        <is>
          <t>No</t>
        </is>
      </c>
      <c r="AK41" s="19" t="inlineStr">
        <is>
          <t>Grows angry and bitter, then realises he mistook a sibling bond for adultery and apologises.</t>
        </is>
      </c>
      <c r="AL41" s="19" t="inlineStr">
        <is>
          <t>Thrown out of her marital home, she is reconciled when Gopal recognises his error.</t>
        </is>
      </c>
      <c r="AM41" s="5" t="inlineStr">
        <is>
          <t>Gopal reunites with Radha and apologises to Suraj.</t>
        </is>
      </c>
      <c r="AN41" s="5" t="inlineStr">
        <is>
          <t>Yes</t>
        </is>
      </c>
      <c r="AO41" s="5" t="inlineStr">
        <is>
          <t>Happy</t>
        </is>
      </c>
      <c r="AP41" s="5" t="n"/>
      <c r="AQ41" s="19" t="inlineStr">
        <is>
          <t>The film is a study in possessive jealousy: Gopal reads Radha's devotion to her adoptive brother as adultery and expels her. Reconciliation depends entirely on his change of mind; Radha's innocence never has to be proved by her.</t>
        </is>
      </c>
      <c r="AR41" s="19" t="inlineStr">
        <is>
          <t>Derek Elley (Variety) called the long-delayed film 'a major disappointment', and Omar Ahmed (Empire) found nothing fresh in its triangle. A modern reading sees a marriage in which male suspicion costs the husband only temporary loneliness.</t>
        </is>
      </c>
      <c r="AS41" s="5" t="inlineStr">
        <is>
          <t>SOURCE-045</t>
        </is>
      </c>
      <c r="AT41" s="5" t="inlineStr">
        <is>
          <t>Medium</t>
        </is>
      </c>
    </row>
    <row r="42" ht="94" customHeight="1">
      <c r="A42" s="15" t="inlineStr">
        <is>
          <t>PAIR-041</t>
        </is>
      </c>
      <c r="B42" s="20" t="inlineStr">
        <is>
          <t>FILM-043</t>
        </is>
      </c>
      <c r="C42" s="5" t="inlineStr">
        <is>
          <t>Devdas</t>
        </is>
      </c>
      <c r="D42" s="17" t="n">
        <v>2002</v>
      </c>
      <c r="E42" s="5" t="inlineStr">
        <is>
          <t>Devdas Mukherjee</t>
        </is>
      </c>
      <c r="F42" s="5" t="inlineStr">
        <is>
          <t>Aishwarya Rai</t>
        </is>
      </c>
      <c r="G42" s="5" t="inlineStr">
        <is>
          <t>Parvati "Paro" Chakraborty</t>
        </is>
      </c>
      <c r="H42" s="5" t="inlineStr">
        <is>
          <t>Female lead</t>
        </is>
      </c>
      <c r="I42" s="5" t="inlineStr">
        <is>
          <t>Yes</t>
        </is>
      </c>
      <c r="J42" s="19" t="inlineStr">
        <is>
          <t>Tragic lovers</t>
        </is>
      </c>
      <c r="K42" s="5" t="inlineStr">
        <is>
          <t>Childhood companions and neighbours</t>
        </is>
      </c>
      <c r="L42" s="5" t="inlineStr">
        <is>
          <t>Inseparable childhood friends whose bond is rekindled when Devdas returns from ten years in London.</t>
        </is>
      </c>
      <c r="M42" s="5" t="inlineStr">
        <is>
          <t>Mutual</t>
        </is>
      </c>
      <c r="N42" s="19" t="inlineStr">
        <is>
          <t>Their companionship matures into reciprocal love; Paro has kept a lamp burning for his return and secretly visits him after his family humiliates her mother.</t>
        </is>
      </c>
      <c r="O42" s="19" t="inlineStr">
        <is>
          <t>Deep mutual love undone by his lack of courage</t>
        </is>
      </c>
      <c r="P42" s="19" t="inlineStr">
        <is>
          <t>Devdas's cowardice before his family and his letter claiming he never loved her.</t>
        </is>
      </c>
      <c r="Q42" s="18" t="n">
        <v>7</v>
      </c>
      <c r="R42" s="19" t="inlineStr">
        <is>
          <t>Devdas abandons Paro with a cruel, false letter, and she rebukes him fiercely when he tries to stop her wedding: a serious rupture caused by him, though their love persists.</t>
        </is>
      </c>
      <c r="S42" s="18" t="n">
        <v>9</v>
      </c>
      <c r="T42" s="5" t="inlineStr">
        <is>
          <t>Family; Class; Existing relationship</t>
        </is>
      </c>
      <c r="U42" s="19" t="inlineStr">
        <is>
          <t>Devdas's mother rejects Paro's lineage and humiliates her mother, his father disgraces Paro, his sister-in-law schemes, and Paro's husband finally has the gates shut as Devdas dies outside.</t>
        </is>
      </c>
      <c r="V42" s="18" t="n">
        <v>8</v>
      </c>
      <c r="W42" s="19" t="inlineStr">
        <is>
          <t>Lost love consumes Devdas's identity and destroys him, but he fails to act for it; the role is the archetypal tragic lover rather than a courting hero.</t>
        </is>
      </c>
      <c r="X42" s="18" t="n">
        <v>10</v>
      </c>
      <c r="Y42" s="18" t="n">
        <v>3</v>
      </c>
      <c r="Z42" s="18" t="n">
        <v>9</v>
      </c>
      <c r="AA42" s="18" t="n">
        <v>5</v>
      </c>
      <c r="AB42" s="18" t="n">
        <v>6</v>
      </c>
      <c r="AC42" s="19" t="inlineStr">
        <is>
          <t>Interpretive reading; reviewers were divided: Sheila Johnston (Screen International) thought Khan's chemistry with Rai 'a failure', while the film's admirers centred on the lovers' scenes. The grand staging sometimes overwhelms the intimacy.</t>
        </is>
      </c>
      <c r="AD42" s="5" t="inlineStr">
        <is>
          <t>Partial</t>
        </is>
      </c>
      <c r="AE42" s="5" t="inlineStr">
        <is>
          <t>Yes</t>
        </is>
      </c>
      <c r="AF42" s="5" t="inlineStr">
        <is>
          <t>Unclear</t>
        </is>
      </c>
      <c r="AG42" s="5" t="inlineStr">
        <is>
          <t>Yes</t>
        </is>
      </c>
      <c r="AH42" s="5" t="inlineStr">
        <is>
          <t>Yes</t>
        </is>
      </c>
      <c r="AI42" s="5" t="inlineStr">
        <is>
          <t>No</t>
        </is>
      </c>
      <c r="AJ42" s="5" t="inlineStr">
        <is>
          <t>No</t>
        </is>
      </c>
      <c r="AK42" s="19" t="inlineStr">
        <is>
          <t>From a returning heir in love to a self-destructive alcoholic who dies at Paro's gate.</t>
        </is>
      </c>
      <c r="AL42" s="19" t="inlineStr">
        <is>
          <t>From devoted childhood sweetheart to a dutiful, confined wife who never stops loving Devdas.</t>
        </is>
      </c>
      <c r="AM42" s="5" t="inlineStr">
        <is>
          <t>Devdas dies outside Paro's marital home as the gates close on her.</t>
        </is>
      </c>
      <c r="AN42" s="5" t="inlineStr">
        <is>
          <t>No</t>
        </is>
      </c>
      <c r="AO42" s="5" t="inlineStr">
        <is>
          <t>Tragic</t>
        </is>
      </c>
      <c r="AP42" s="5" t="n"/>
      <c r="AQ42" s="19" t="inlineStr">
        <is>
          <t>Devdas is Khan's fullest portrait of romantic failure. The obstacles are real (class snobbery, a scheming sister-in-law, a patriarchal father), but the decisive rupture is his own cowardly letter. Paro keeps her dignity and her vow; he destroys himself, and the film's grandeur ennobles a love that never acts.</t>
        </is>
      </c>
      <c r="AR42" s="19" t="inlineStr">
        <is>
          <t>Indian reviews were mixed, praising Madhuri Dixit but divided on Khan and Rai; Ratna Rajaiah (The Hindu) called the film 'a fabulous, sumptuous, glittering tribute to the lofty ideal of romantic love'. A modern reading sees a self-pitying male lover romanticised while the women bear the costs.</t>
        </is>
      </c>
      <c r="AS42" s="5" t="inlineStr">
        <is>
          <t>SOURCE-046</t>
        </is>
      </c>
      <c r="AT42" s="5" t="inlineStr">
        <is>
          <t>Medium</t>
        </is>
      </c>
    </row>
    <row r="43" ht="94" customHeight="1">
      <c r="A43" s="15" t="inlineStr">
        <is>
          <t>PAIR-042</t>
        </is>
      </c>
      <c r="B43" s="20" t="inlineStr">
        <is>
          <t>FILM-043</t>
        </is>
      </c>
      <c r="C43" s="5" t="inlineStr">
        <is>
          <t>Devdas</t>
        </is>
      </c>
      <c r="D43" s="17" t="n">
        <v>2002</v>
      </c>
      <c r="E43" s="5" t="inlineStr">
        <is>
          <t>Devdas Mukherjee</t>
        </is>
      </c>
      <c r="F43" s="5" t="inlineStr">
        <is>
          <t>Madhuri Dixit</t>
        </is>
      </c>
      <c r="G43" s="5" t="inlineStr">
        <is>
          <t>Chandramukhi</t>
        </is>
      </c>
      <c r="H43" s="5" t="inlineStr">
        <is>
          <t>Female lead</t>
        </is>
      </c>
      <c r="I43" s="5" t="inlineStr">
        <is>
          <t>Partial</t>
        </is>
      </c>
      <c r="J43" s="19" t="inlineStr">
        <is>
          <t>Unrequited love</t>
        </is>
      </c>
      <c r="K43" s="5" t="inlineStr">
        <is>
          <t>Courtesan and a patron's friend</t>
        </is>
      </c>
      <c r="L43" s="5" t="inlineStr">
        <is>
          <t>Chunnilal introduces Devdas to Chandramukhi at her kotha.</t>
        </is>
      </c>
      <c r="M43" s="5" t="inlineStr">
        <is>
          <t>Chandramukhi</t>
        </is>
      </c>
      <c r="N43" s="19" t="inlineStr">
        <is>
          <t>Chandramukhi falls in love with Devdas's tortured soul and turns her kotha into his sanctuary as his health fails; he remains devoted to Paro.</t>
        </is>
      </c>
      <c r="O43" s="19" t="inlineStr">
        <is>
          <t>Her selfless devotion against his unreachable grief</t>
        </is>
      </c>
      <c r="P43" s="19" t="inlineStr">
        <is>
          <t>Devdas's enduring love for Paro.</t>
        </is>
      </c>
      <c r="Q43" s="18" t="n">
        <v>4</v>
      </c>
      <c r="R43" s="19" t="inlineStr">
        <is>
          <t>There is no hostility; the distance lies in Devdas's inability to return her love.</t>
        </is>
      </c>
      <c r="S43" s="18" t="n">
        <v>6</v>
      </c>
      <c r="T43" s="5" t="inlineStr">
        <is>
          <t>Community; Existing relationship</t>
        </is>
      </c>
      <c r="U43" s="19" t="inlineStr">
        <is>
          <t>Her profession makes her a social outcast, and Kalibabu exposes her publicly at Paro's Durga Puja.</t>
        </is>
      </c>
      <c r="V43" s="18" t="n">
        <v>2</v>
      </c>
      <c r="W43" s="19" t="inlineStr">
        <is>
          <t>Devdas has no romantic identity towards Chandramukhi; she is his refuge, not his beloved.</t>
        </is>
      </c>
      <c r="X43" s="18" t="n">
        <v>6</v>
      </c>
      <c r="Y43" s="18" t="n">
        <v>5</v>
      </c>
      <c r="Z43" s="18" t="n">
        <v>3</v>
      </c>
      <c r="AA43" s="18" t="n">
        <v>7</v>
      </c>
      <c r="AB43" s="18" t="n">
        <v>6</v>
      </c>
      <c r="AC43" s="19" t="inlineStr">
        <is>
          <t>Interpretive reading; no fetched review assesses this pairing. Chandramukhi's devotion is met by Devdas's drunken indifference, so Dixit carries the relationship and the pairing works as pathos rather than mutual romance.</t>
        </is>
      </c>
      <c r="AD43" s="5" t="inlineStr">
        <is>
          <t>Unclear</t>
        </is>
      </c>
      <c r="AE43" s="5" t="inlineStr">
        <is>
          <t>Partial</t>
        </is>
      </c>
      <c r="AF43" s="5" t="inlineStr">
        <is>
          <t>No</t>
        </is>
      </c>
      <c r="AG43" s="5" t="inlineStr">
        <is>
          <t>No</t>
        </is>
      </c>
      <c r="AH43" s="5" t="inlineStr">
        <is>
          <t>Yes</t>
        </is>
      </c>
      <c r="AI43" s="5" t="inlineStr">
        <is>
          <t>Yes</t>
        </is>
      </c>
      <c r="AJ43" s="5" t="inlineStr">
        <is>
          <t>No</t>
        </is>
      </c>
      <c r="AK43" s="19" t="inlineStr">
        <is>
          <t>Her kotha becomes his refuge as his health fails, but he does not transfer his love.</t>
        </is>
      </c>
      <c r="AL43" s="19" t="inlineStr">
        <is>
          <t>From glamorous courtesan to selfless companion who publicly defends her dignity.</t>
        </is>
      </c>
      <c r="AM43" s="5" t="inlineStr">
        <is>
          <t>Devdas leaves her to die at Paro's gate.</t>
        </is>
      </c>
      <c r="AN43" s="5" t="inlineStr">
        <is>
          <t>No</t>
        </is>
      </c>
      <c r="AO43" s="5" t="inlineStr">
        <is>
          <t>Tragic</t>
        </is>
      </c>
      <c r="AP43" s="5" t="n"/>
      <c r="AQ43" s="19" t="inlineStr">
        <is>
          <t>Chandramukhi is the film's ideal of selfless love: she asks nothing and gives sanctuary, and even Paro recognises her devotion. Her dance with Paro and her public defence of her dignity give her more presence than the novel's courtesan.</t>
        </is>
      </c>
      <c r="AR43" s="19" t="inlineStr">
        <is>
          <t>Madhuri Dixit's Chandramukhi drew the most praise from Indian critics, while Deepak Gahlot objected to the invented meeting and dance between Paro and Chandramukhi. A modern reading sees the courtesan's worth measured by her self-sacrifice for an unresponsive man.</t>
        </is>
      </c>
      <c r="AS43" s="5" t="inlineStr">
        <is>
          <t>SOURCE-046</t>
        </is>
      </c>
      <c r="AT43" s="5" t="inlineStr">
        <is>
          <t>Medium</t>
        </is>
      </c>
    </row>
    <row r="44" ht="94" customHeight="1">
      <c r="A44" s="15" t="inlineStr">
        <is>
          <t>PAIR-043</t>
        </is>
      </c>
      <c r="B44" s="20" t="inlineStr">
        <is>
          <t>FILM-046</t>
        </is>
      </c>
      <c r="C44" s="5" t="inlineStr">
        <is>
          <t>Chalte Chalte</t>
        </is>
      </c>
      <c r="D44" s="17" t="n">
        <v>2003</v>
      </c>
      <c r="E44" s="5" t="inlineStr">
        <is>
          <t>Raj Mathur</t>
        </is>
      </c>
      <c r="F44" s="5" t="inlineStr">
        <is>
          <t>Rani Mukerji</t>
        </is>
      </c>
      <c r="G44" s="5" t="inlineStr">
        <is>
          <t>Priya Chopra</t>
        </is>
      </c>
      <c r="H44" s="5" t="inlineStr">
        <is>
          <t>Female lead</t>
        </is>
      </c>
      <c r="I44" s="5" t="inlineStr">
        <is>
          <t>Yes</t>
        </is>
      </c>
      <c r="J44" s="19" t="inlineStr">
        <is>
          <t>Marriage under strain</t>
        </is>
      </c>
      <c r="K44" s="5" t="inlineStr">
        <is>
          <t>Strangers</t>
        </is>
      </c>
      <c r="L44" s="5" t="inlineStr">
        <is>
          <t>Priya crashes her car into Raj's truck.</t>
        </is>
      </c>
      <c r="M44" s="5" t="inlineStr">
        <is>
          <t>Raj</t>
        </is>
      </c>
      <c r="N44" s="19" t="inlineStr">
        <is>
          <t>After a rocky start they meet again at a friends' wedding, become friends and fall in love; Raj follows the engaged Priya to Greece and woos her until she realises she loves him, and they marry after persuading her parents.</t>
        </is>
      </c>
      <c r="O44" s="19" t="inlineStr">
        <is>
          <t>Opposites attracted; in marriage, love expressed through constant arguing</t>
        </is>
      </c>
      <c r="P44" s="19" t="inlineStr">
        <is>
          <t>Financial strain and her family's expectations; Priya secretly borrows from her former fiancé, and Raj accuses her of infidelity.</t>
        </is>
      </c>
      <c r="Q44" s="18" t="n">
        <v>7</v>
      </c>
      <c r="R44" s="19" t="inlineStr">
        <is>
          <t>The marriage is marked by constant arguments, and Raj's accusation of infidelity drives Priya to her parents and nearly to Greece.</t>
        </is>
      </c>
      <c r="S44" s="18" t="n">
        <v>5</v>
      </c>
      <c r="T44" s="5" t="inlineStr">
        <is>
          <t>Family; Class; Existing relationship</t>
        </is>
      </c>
      <c r="U44" s="19" t="inlineStr">
        <is>
          <t>Priya's engagement to Sameer stands in the way at first; later her family's expectations and insults add to Raj's financial pressure.</t>
        </is>
      </c>
      <c r="V44" s="18" t="n">
        <v>8</v>
      </c>
      <c r="W44" s="19" t="inlineStr">
        <is>
          <t>Raj is a devoted romantic hero who pursues Priya to Greece and vows never to give up on their love, though insecurity makes him a difficult husband.</t>
        </is>
      </c>
      <c r="X44" s="18" t="n">
        <v>10</v>
      </c>
      <c r="Y44" s="18" t="n">
        <v>5</v>
      </c>
      <c r="Z44" s="18" t="n">
        <v>8</v>
      </c>
      <c r="AA44" s="18" t="n">
        <v>6</v>
      </c>
      <c r="AB44" s="18" t="n">
        <v>7</v>
      </c>
      <c r="AC44" s="19" t="inlineStr">
        <is>
          <t>Interpretive reading; no fetched review assesses this pairing. The marriage drama depends on Khan and Mukerji's quarrels feeling like those of a real couple, and their volatile rapport makes the strain credible.</t>
        </is>
      </c>
      <c r="AD44" s="5" t="inlineStr">
        <is>
          <t>Yes</t>
        </is>
      </c>
      <c r="AE44" s="5" t="inlineStr">
        <is>
          <t>Yes</t>
        </is>
      </c>
      <c r="AF44" s="5" t="inlineStr">
        <is>
          <t>Yes</t>
        </is>
      </c>
      <c r="AG44" s="5" t="inlineStr">
        <is>
          <t>Partial</t>
        </is>
      </c>
      <c r="AH44" s="5" t="inlineStr">
        <is>
          <t>Yes</t>
        </is>
      </c>
      <c r="AI44" s="5" t="inlineStr">
        <is>
          <t>Partial</t>
        </is>
      </c>
      <c r="AJ44" s="5" t="inlineStr">
        <is>
          <t>Partial</t>
        </is>
      </c>
      <c r="AK44" s="19" t="inlineStr">
        <is>
          <t>Recognises his insecurity, promises to change and holds to his vow never to give up on their love.</t>
        </is>
      </c>
      <c r="AL44" s="19" t="inlineStr">
        <is>
          <t>From a planner from a wealthy family to a wife who chooses the difficult marriage over escape.</t>
        </is>
      </c>
      <c r="AM44" s="5" t="inlineStr">
        <is>
          <t>Priya returns home to Raj; they keep arguing, which they call their way of expressing love.</t>
        </is>
      </c>
      <c r="AN44" s="5" t="inlineStr">
        <is>
          <t>Yes</t>
        </is>
      </c>
      <c r="AO44" s="5" t="inlineStr">
        <is>
          <t>Happy</t>
        </is>
      </c>
      <c r="AP44" s="5" t="n"/>
      <c r="AQ44" s="19" t="inlineStr">
        <is>
          <t>Chalte Chalte carries Khan's romance past the wedding. The courtship follows the familiar pursuit of an engaged woman, but the second half is about class pressure, money and pride inside a marriage. The ending recasts their fights as love rather than resolving their causes.</t>
        </is>
      </c>
      <c r="AR44" s="19" t="inlineStr">
        <is>
          <t>Taran Adarsh wrote that the film 'clearly belongs to Shah Rukh Khan'; some critics noted its similarity to Saathiya. A modern reading credits its attention to post-marital conflict but notes that the hero's infidelity accusation is quickly forgiven.</t>
        </is>
      </c>
      <c r="AS44" s="5" t="inlineStr">
        <is>
          <t>SOURCE-049</t>
        </is>
      </c>
      <c r="AT44" s="5" t="inlineStr">
        <is>
          <t>Medium</t>
        </is>
      </c>
    </row>
    <row r="45" ht="94" customHeight="1">
      <c r="A45" s="15" t="inlineStr">
        <is>
          <t>PAIR-044</t>
        </is>
      </c>
      <c r="B45" s="20" t="inlineStr">
        <is>
          <t>FILM-047</t>
        </is>
      </c>
      <c r="C45" s="5" t="inlineStr">
        <is>
          <t>Kal Ho Naa Ho</t>
        </is>
      </c>
      <c r="D45" s="17" t="n">
        <v>2003</v>
      </c>
      <c r="E45" s="5" t="inlineStr">
        <is>
          <t>Aman Mathur</t>
        </is>
      </c>
      <c r="F45" s="5" t="inlineStr">
        <is>
          <t>Preity Zinta</t>
        </is>
      </c>
      <c r="G45" s="5" t="inlineStr">
        <is>
          <t>Naina Catherine Kapur</t>
        </is>
      </c>
      <c r="H45" s="5" t="inlineStr">
        <is>
          <t>Female lead</t>
        </is>
      </c>
      <c r="I45" s="5" t="inlineStr">
        <is>
          <t>Yes</t>
        </is>
      </c>
      <c r="J45" s="19" t="inlineStr">
        <is>
          <t>Love triangle</t>
        </is>
      </c>
      <c r="K45" s="5" t="inlineStr">
        <is>
          <t>Neighbours</t>
        </is>
      </c>
      <c r="L45" s="5" t="inlineStr">
        <is>
          <t>Aman and his mother move in next door to Naina's family in New York.</t>
        </is>
      </c>
      <c r="M45" s="5" t="inlineStr">
        <is>
          <t>Naina</t>
        </is>
      </c>
      <c r="N45" s="19" t="inlineStr">
        <is>
          <t>Aman's cheer transforms Naina's family and she falls in love with him. Secretly terminally ill, he lets her believe he is married, steers her towards Rohit, and confesses his feelings only by reading them as Rohit's from Rohit's diary.</t>
        </is>
      </c>
      <c r="O45" s="19" t="inlineStr">
        <is>
          <t>Mutual love suppressed by his secret illness</t>
        </is>
      </c>
      <c r="P45" s="19" t="inlineStr">
        <is>
          <t>Aman's concealment of his heart condition and his matchmaking.</t>
        </is>
      </c>
      <c r="Q45" s="18" t="n">
        <v>5</v>
      </c>
      <c r="R45" s="19" t="inlineStr">
        <is>
          <t>Aman's deception wounds Naina twice, when she sees the 'wedding' photograph and when she discovers his scheme, but it is protective rather than hostile.</t>
        </is>
      </c>
      <c r="S45" s="18" t="n">
        <v>9</v>
      </c>
      <c r="T45" s="5" t="inlineStr">
        <is>
          <t>Illness; Existing relationship</t>
        </is>
      </c>
      <c r="U45" s="19" t="inlineStr">
        <is>
          <t>Aman's fatal heart condition makes a future impossible, and Naina's engagement to Rohit follows from his plan.</t>
        </is>
      </c>
      <c r="V45" s="18" t="n">
        <v>9</v>
      </c>
      <c r="W45" s="19" t="inlineStr">
        <is>
          <t>Aman's love for Naina drives his final months and ends in the ultimate romantic sacrifice.</t>
        </is>
      </c>
      <c r="X45" s="18" t="n">
        <v>9</v>
      </c>
      <c r="Y45" s="18" t="n">
        <v>6</v>
      </c>
      <c r="Z45" s="18" t="n">
        <v>8</v>
      </c>
      <c r="AA45" s="18" t="n">
        <v>5</v>
      </c>
      <c r="AB45" s="18" t="n">
        <v>8</v>
      </c>
      <c r="AC45" s="19" t="inlineStr">
        <is>
          <t>Interpretive reading; no fetched review assesses this pairing. Aman's playful courting of Naina, then his withdrawal, is the film's emotional engine, and Khan and Zinta make both the teasing and the renunciation convincing.</t>
        </is>
      </c>
      <c r="AD45" s="5" t="inlineStr">
        <is>
          <t>Yes</t>
        </is>
      </c>
      <c r="AE45" s="5" t="inlineStr">
        <is>
          <t>Partial</t>
        </is>
      </c>
      <c r="AF45" s="5" t="inlineStr">
        <is>
          <t>No</t>
        </is>
      </c>
      <c r="AG45" s="5" t="inlineStr">
        <is>
          <t>Yes</t>
        </is>
      </c>
      <c r="AH45" s="5" t="inlineStr">
        <is>
          <t>Yes</t>
        </is>
      </c>
      <c r="AI45" s="5" t="inlineStr">
        <is>
          <t>Yes</t>
        </is>
      </c>
      <c r="AJ45" s="5" t="inlineStr">
        <is>
          <t>No</t>
        </is>
      </c>
      <c r="AK45" s="19" t="inlineStr">
        <is>
          <t>From a cheerful fixer of others' lives to a dying man who gives up his own love for Naina's future.</t>
        </is>
      </c>
      <c r="AL45" s="19" t="inlineStr">
        <is>
          <t>From a pessimistic, uptight student to a woman who learns to live fully.</t>
        </is>
      </c>
      <c r="AM45" s="5" t="inlineStr">
        <is>
          <t>Naina marries Rohit; Aman dies after making Rohit promise that Naina will be his in the next life.</t>
        </is>
      </c>
      <c r="AN45" s="5" t="inlineStr">
        <is>
          <t>No</t>
        </is>
      </c>
      <c r="AO45" s="5" t="inlineStr">
        <is>
          <t>Tragic</t>
        </is>
      </c>
      <c r="AP45" s="5" t="n"/>
      <c r="AQ45" s="19" t="inlineStr">
        <is>
          <t>KHNH is Khan's definitive self-sacrificing lover: Aman loves Naina but hides his illness, fakes a marriage and voices his own feelings as Rohit's. The film makes renunciation the highest proof of love, and his death leaves the romance permanently unfulfilled.</t>
        </is>
      </c>
      <c r="AR45" s="19" t="inlineStr">
        <is>
          <t>Komal Nahta called Aman 'one of the best roles of his career' and Jitesh Pillai called Khan 'the soul' of the film, while Rama Sharma (The Tribune) found him 'overcharged' at times. A modern reading notes that Aman decides Naina's future for her.</t>
        </is>
      </c>
      <c r="AS45" s="5" t="inlineStr">
        <is>
          <t>SOURCE-050</t>
        </is>
      </c>
      <c r="AT45" s="5" t="inlineStr">
        <is>
          <t>Medium</t>
        </is>
      </c>
    </row>
    <row r="46" ht="94" customHeight="1">
      <c r="A46" s="15" t="inlineStr">
        <is>
          <t>PAIR-045</t>
        </is>
      </c>
      <c r="B46" s="20" t="inlineStr">
        <is>
          <t>FILM-049</t>
        </is>
      </c>
      <c r="C46" s="5" t="inlineStr">
        <is>
          <t>Main Hoon Na</t>
        </is>
      </c>
      <c r="D46" s="17" t="n">
        <v>2004</v>
      </c>
      <c r="E46" s="5" t="inlineStr">
        <is>
          <t>Major Ram Prasad Sharma</t>
        </is>
      </c>
      <c r="F46" s="5" t="inlineStr">
        <is>
          <t>Sushmita Sen</t>
        </is>
      </c>
      <c r="G46" s="5" t="inlineStr">
        <is>
          <t>Chandni Chopra</t>
        </is>
      </c>
      <c r="H46" s="5" t="inlineStr">
        <is>
          <t>Female lead</t>
        </is>
      </c>
      <c r="I46" s="5" t="inlineStr">
        <is>
          <t>Yes</t>
        </is>
      </c>
      <c r="J46" s="19" t="inlineStr">
        <is>
          <t>Romance subordinate to another genre</t>
        </is>
      </c>
      <c r="K46" s="5" t="inlineStr">
        <is>
          <t>Student and professor</t>
        </is>
      </c>
      <c r="L46" s="5" t="inlineStr">
        <is>
          <t>Posing as a college student, Ram meets Chandni, his chemistry professor.</t>
        </is>
      </c>
      <c r="M46" s="5" t="inlineStr">
        <is>
          <t>Ram</t>
        </is>
      </c>
      <c r="N46" s="19" t="inlineStr">
        <is>
          <t>Ram falls in love with Chandni; together they give Sanjana a makeover, and he foils an attempt to abduct Chandni at the prom.</t>
        </is>
      </c>
      <c r="O46" s="19" t="inlineStr">
        <is>
          <t>Comic infatuation within an undercover mission</t>
        </is>
      </c>
      <c r="P46" s="19" t="inlineStr">
        <is>
          <t>His undercover identity.</t>
        </is>
      </c>
      <c r="Q46" s="18" t="n">
        <v>2</v>
      </c>
      <c r="R46" s="19" t="inlineStr">
        <is>
          <t>No conflict between them is recorded beyond the concealment of his identity.</t>
        </is>
      </c>
      <c r="S46" s="18" t="n">
        <v>5</v>
      </c>
      <c r="T46" s="5" t="inlineStr">
        <is>
          <t>Villain</t>
        </is>
      </c>
      <c r="U46" s="19" t="inlineStr">
        <is>
          <t>Raghavan's gang tries to abduct Chandni and later holds the college hostage.</t>
        </is>
      </c>
      <c r="V46" s="18" t="n">
        <v>5</v>
      </c>
      <c r="W46" s="19" t="inlineStr">
        <is>
          <t>Ram's mission and family reconciliation come first; the romance is a comic strand that plays with Khan's romantic image.</t>
        </is>
      </c>
      <c r="X46" s="18" t="n">
        <v>3</v>
      </c>
      <c r="Y46" s="18" t="n">
        <v>7</v>
      </c>
      <c r="Z46" s="18" t="n">
        <v>7</v>
      </c>
      <c r="AA46" s="18" t="n">
        <v>4</v>
      </c>
      <c r="AB46" s="18" t="n">
        <v>7</v>
      </c>
      <c r="AC46" s="19" t="inlineStr">
        <is>
          <t>Interpretive reading; no fetched review assesses this pairing. Ram's comic infatuation with his teacher is staged as fantasy and slapstick, and Sen plays along well enough to make it one of the film's lighter pleasures.</t>
        </is>
      </c>
      <c r="AD46" s="5" t="inlineStr">
        <is>
          <t>Unclear</t>
        </is>
      </c>
      <c r="AE46" s="5" t="inlineStr">
        <is>
          <t>No</t>
        </is>
      </c>
      <c r="AF46" s="5" t="inlineStr">
        <is>
          <t>Unclear</t>
        </is>
      </c>
      <c r="AG46" s="5" t="inlineStr">
        <is>
          <t>Yes</t>
        </is>
      </c>
      <c r="AH46" s="5" t="inlineStr">
        <is>
          <t>Unclear</t>
        </is>
      </c>
      <c r="AI46" s="5" t="inlineStr">
        <is>
          <t>No</t>
        </is>
      </c>
      <c r="AJ46" s="5" t="inlineStr">
        <is>
          <t>Partial</t>
        </is>
      </c>
      <c r="AK46" s="19" t="inlineStr">
        <is>
          <t>Not documented.</t>
        </is>
      </c>
      <c r="AL46" s="19" t="inlineStr">
        <is>
          <t>Learns that Ram is an army officer.</t>
        </is>
      </c>
      <c r="AM46" s="5" t="inlineStr">
        <is>
          <t>Not documented beyond Chandni discovering his true identity.</t>
        </is>
      </c>
      <c r="AN46" s="5" t="inlineStr">
        <is>
          <t>Unclear</t>
        </is>
      </c>
      <c r="AO46" s="5" t="inlineStr">
        <is>
          <t>Unresolved</t>
        </is>
      </c>
      <c r="AP46" s="5" t="n"/>
      <c r="AQ46" s="19" t="inlineStr">
        <is>
          <t>The romance is a comic sideline in a film about Ram's mission and his reconciliation with his stepmother and half-brother. Its premise, an army major posing as a student who falls for his teacher, plays Khan's romantic persona for comedy. Chandni first treats Ram's attention as a joke but comes to return it, which makes the attraction mutual by the end.</t>
        </is>
      </c>
      <c r="AR46" s="19" t="inlineStr">
        <is>
          <t>No reading of the pair was found.</t>
        </is>
      </c>
      <c r="AS46" s="5" t="inlineStr">
        <is>
          <t>SOURCE-052</t>
        </is>
      </c>
      <c r="AT46" s="5" t="inlineStr">
        <is>
          <t>Low</t>
        </is>
      </c>
    </row>
    <row r="47" ht="94" customHeight="1">
      <c r="A47" s="15" t="inlineStr">
        <is>
          <t>PAIR-046</t>
        </is>
      </c>
      <c r="B47" s="20" t="inlineStr">
        <is>
          <t>FILM-050</t>
        </is>
      </c>
      <c r="C47" s="5" t="inlineStr">
        <is>
          <t>Veer-Zaara</t>
        </is>
      </c>
      <c r="D47" s="17" t="n">
        <v>2004</v>
      </c>
      <c r="E47" s="5" t="inlineStr">
        <is>
          <t>Veer Pratap Singh</t>
        </is>
      </c>
      <c r="F47" s="5" t="inlineStr">
        <is>
          <t>Preity Zinta</t>
        </is>
      </c>
      <c r="G47" s="5" t="inlineStr">
        <is>
          <t>Zaara Hayaat Khan</t>
        </is>
      </c>
      <c r="H47" s="5" t="inlineStr">
        <is>
          <t>Female lead</t>
        </is>
      </c>
      <c r="I47" s="5" t="inlineStr">
        <is>
          <t>Yes</t>
        </is>
      </c>
      <c r="J47" s="19" t="inlineStr">
        <is>
          <t>Forbidden love</t>
        </is>
      </c>
      <c r="K47" s="5" t="inlineStr">
        <is>
          <t>Strangers</t>
        </is>
      </c>
      <c r="L47" s="5" t="inlineStr">
        <is>
          <t>Veer, an Indian Air Force pilot, rescues Zaara after her bus crashes in India.</t>
        </is>
      </c>
      <c r="M47" s="5" t="inlineStr">
        <is>
          <t>Veer</t>
        </is>
      </c>
      <c r="N47" s="19" t="inlineStr">
        <is>
          <t>He helps her scatter her nanny's ashes and takes her to his village for Lohri; at the station he confesses his love to the engaged Zaara. When her friend Shabbo calls, he quits the Air Force and goes to Pakistan to bring her away.</t>
        </is>
      </c>
      <c r="O47" s="19" t="inlineStr">
        <is>
          <t>Idealised mutual devotion across a national border</t>
        </is>
      </c>
      <c r="P47" s="19" t="inlineStr">
        <is>
          <t>None between them; Veer agrees to leave to protect her family's honour.</t>
        </is>
      </c>
      <c r="Q47" s="18" t="n">
        <v>1</v>
      </c>
      <c r="R47" s="19" t="inlineStr">
        <is>
          <t>The lovers are aligned throughout; their separations are imposed or chosen for each other's sake.</t>
        </is>
      </c>
      <c r="S47" s="18" t="n">
        <v>10</v>
      </c>
      <c r="T47" s="5" t="inlineStr">
        <is>
          <t>Family; Existing relationship; War or politics; Distance</t>
        </is>
      </c>
      <c r="U47" s="19" t="inlineStr">
        <is>
          <t>Zaara's political family and her fiancé Raza oppose the match; Raza has Veer jailed as an Indian spy for 22 years while the world believes him dead.</t>
        </is>
      </c>
      <c r="V47" s="18" t="n">
        <v>10</v>
      </c>
      <c r="W47" s="19" t="inlineStr">
        <is>
          <t>A defining lover-boy role: Veer gives up his career and 22 years of freedom for Zaara.</t>
        </is>
      </c>
      <c r="X47" s="18" t="n">
        <v>10</v>
      </c>
      <c r="Y47" s="18" t="n">
        <v>9</v>
      </c>
      <c r="Z47" s="18" t="n">
        <v>10</v>
      </c>
      <c r="AA47" s="18" t="n">
        <v>7</v>
      </c>
      <c r="AB47" s="18" t="n">
        <v>9</v>
      </c>
      <c r="AC47" s="19" t="inlineStr">
        <is>
          <t>Interpretive reading; no fetched review assesses this pairing. The film's decades-spanning devotion rests on Khan and Zinta's tenderness in the early Punjab scenes, which remains the reference point for the later separation.</t>
        </is>
      </c>
      <c r="AD47" s="5" t="inlineStr">
        <is>
          <t>Partial</t>
        </is>
      </c>
      <c r="AE47" s="5" t="inlineStr">
        <is>
          <t>No</t>
        </is>
      </c>
      <c r="AF47" s="5" t="inlineStr">
        <is>
          <t>No</t>
        </is>
      </c>
      <c r="AG47" s="5" t="inlineStr">
        <is>
          <t>Partial</t>
        </is>
      </c>
      <c r="AH47" s="5" t="inlineStr">
        <is>
          <t>Yes</t>
        </is>
      </c>
      <c r="AI47" s="5" t="inlineStr">
        <is>
          <t>Yes</t>
        </is>
      </c>
      <c r="AJ47" s="5" t="inlineStr">
        <is>
          <t>Partial</t>
        </is>
      </c>
      <c r="AK47" s="19" t="inlineStr">
        <is>
          <t>Gives up his career and, silently, 22 years of freedom to protect Zaara's life and reputation.</t>
        </is>
      </c>
      <c r="AL47" s="19" t="inlineStr">
        <is>
          <t>Breaks her engagement, leaves Pakistan and devotes her life to Veer's village.</t>
        </is>
      </c>
      <c r="AM47" s="5" t="inlineStr">
        <is>
          <t>Freed after 22 years, Veer marries Zaara and they cross back into India together.</t>
        </is>
      </c>
      <c r="AN47" s="5" t="inlineStr">
        <is>
          <t>Yes</t>
        </is>
      </c>
      <c r="AO47" s="5" t="inlineStr">
        <is>
          <t>Happy</t>
        </is>
      </c>
      <c r="AP47" s="5" t="n"/>
      <c r="AQ47" s="19" t="inlineStr">
        <is>
          <t>Veer-Zaara is Khan's purest sacrificial lover: Veer accepts 22 years of silent imprisonment rather than a scandal that would harm Zaara, and she, believing him dead, builds her life around his dream. The couple never quarrels; the obstacles are a jealous fiancé, a political family and the India–Pakistan divide, which the film resolves as a plea for reconciliation.</t>
        </is>
      </c>
      <c r="AR47" s="19" t="inlineStr">
        <is>
          <t>Critics praised the story, music, performances and 'sensitive portrayal of India-Pakistan relations'; Deepu Madhavan (NDTV) called it 'an ode to ageless romance', while Sukanya Verma and Teena Malik criticised its repetition of Chopra formulae. A modern reading admires its restraint but notes that the heroine's life is organised around a man presumed dead.</t>
        </is>
      </c>
      <c r="AS47" s="5" t="inlineStr">
        <is>
          <t>SOURCE-053</t>
        </is>
      </c>
      <c r="AT47" s="5" t="inlineStr">
        <is>
          <t>Medium</t>
        </is>
      </c>
    </row>
    <row r="48" ht="79" customHeight="1">
      <c r="A48" s="15" t="inlineStr">
        <is>
          <t>PAIR-047</t>
        </is>
      </c>
      <c r="B48" s="20" t="inlineStr">
        <is>
          <t>FILM-051</t>
        </is>
      </c>
      <c r="C48" s="5" t="inlineStr">
        <is>
          <t>Swades</t>
        </is>
      </c>
      <c r="D48" s="17" t="n">
        <v>2004</v>
      </c>
      <c r="E48" s="5" t="inlineStr">
        <is>
          <t>Mohan Bhargav</t>
        </is>
      </c>
      <c r="F48" s="5" t="inlineStr">
        <is>
          <t>Gayatri Joshi</t>
        </is>
      </c>
      <c r="G48" s="5" t="inlineStr">
        <is>
          <t>Gita</t>
        </is>
      </c>
      <c r="H48" s="5" t="inlineStr">
        <is>
          <t>Female lead (debut)</t>
        </is>
      </c>
      <c r="I48" s="5" t="inlineStr">
        <is>
          <t>Yes</t>
        </is>
      </c>
      <c r="J48" s="19" t="inlineStr">
        <is>
          <t>Friendship to love</t>
        </is>
      </c>
      <c r="K48" s="5" t="inlineStr">
        <is>
          <t>Childhood friends</t>
        </is>
      </c>
      <c r="L48" s="5" t="inlineStr">
        <is>
          <t>Childhood friends who reconnect when Mohan comes to Charanpur to find his nanny Kaveri Amma.</t>
        </is>
      </c>
      <c r="M48" s="5" t="inlineStr">
        <is>
          <t>Unclear</t>
        </is>
      </c>
      <c r="N48" s="19" t="inlineStr">
        <is>
          <t>Gita first resents Mohan; drawn to her progressive ideals, he joins her campaign for the education of girls and lower-caste children, and they grow close. She asks him to move to India permanently.</t>
        </is>
      </c>
      <c r="O48" s="19" t="inlineStr">
        <is>
          <t>Initial resentment turning into shared purpose and affection</t>
        </is>
      </c>
      <c r="P48" s="19" t="inlineStr">
        <is>
          <t>Gita's fear that Mohan will take Kaveri Amma away, and his divided commitment between NASA and India.</t>
        </is>
      </c>
      <c r="Q48" s="18" t="n">
        <v>4</v>
      </c>
      <c r="R48" s="19" t="inlineStr">
        <is>
          <t>Gita's early resentment and their disagreement over where Mohan belongs are real but civil.</t>
        </is>
      </c>
      <c r="S48" s="18" t="n">
        <v>4</v>
      </c>
      <c r="T48" s="5" t="inlineStr">
        <is>
          <t>Distance; Community</t>
        </is>
      </c>
      <c r="U48" s="19" t="inlineStr">
        <is>
          <t>Mohan's career ties him to the United States, and caste and religious prejudice obstruct the causes that bring them together.</t>
        </is>
      </c>
      <c r="V48" s="18" t="n">
        <v>4</v>
      </c>
      <c r="W48" s="19" t="inlineStr">
        <is>
          <t>Mohan's arc is his return to India and service to the village; the romance is understated.</t>
        </is>
      </c>
      <c r="X48" s="18" t="n">
        <v>4</v>
      </c>
      <c r="Y48" s="18" t="n">
        <v>9</v>
      </c>
      <c r="Z48" s="18" t="n">
        <v>7</v>
      </c>
      <c r="AA48" s="18" t="n">
        <v>8</v>
      </c>
      <c r="AB48" s="18" t="n">
        <v>7</v>
      </c>
      <c r="AC48" s="19" t="inlineStr">
        <is>
          <t>Interpretive reading; no fetched review assesses this pairing. Mohan and Gita's relationship grows from argument to respect, and the restrained playing by Khan and debutante Joshi suits the film's realism.</t>
        </is>
      </c>
      <c r="AD48" s="5" t="inlineStr">
        <is>
          <t>Partial</t>
        </is>
      </c>
      <c r="AE48" s="5" t="inlineStr">
        <is>
          <t>Partial</t>
        </is>
      </c>
      <c r="AF48" s="5" t="inlineStr">
        <is>
          <t>No</t>
        </is>
      </c>
      <c r="AG48" s="5" t="inlineStr">
        <is>
          <t>No</t>
        </is>
      </c>
      <c r="AH48" s="5" t="inlineStr">
        <is>
          <t>Yes</t>
        </is>
      </c>
      <c r="AI48" s="5" t="inlineStr">
        <is>
          <t>Partial</t>
        </is>
      </c>
      <c r="AJ48" s="5" t="inlineStr">
        <is>
          <t>Yes</t>
        </is>
      </c>
      <c r="AK48" s="19" t="inlineStr">
        <is>
          <t>Her commitment to her homeland helps draw Mohan back to India for good.</t>
        </is>
      </c>
      <c r="AL48" s="19" t="inlineStr">
        <is>
          <t>Not documented beyond her steadfast work for the village.</t>
        </is>
      </c>
      <c r="AM48" s="5" t="inlineStr">
        <is>
          <t>Mohan resigns from NASA and returns to India.</t>
        </is>
      </c>
      <c r="AN48" s="5" t="inlineStr">
        <is>
          <t>Unclear</t>
        </is>
      </c>
      <c r="AO48" s="5" t="inlineStr">
        <is>
          <t>Happy</t>
        </is>
      </c>
      <c r="AP48" s="5" t="n"/>
      <c r="AQ48" s="19" t="inlineStr">
        <is>
          <t>Gita is less a romantic prize than the embodiment of the film's argument: her school and her refusal to leave India make her the voice of the homeland Mohan must choose. The romance is understated and bound up with civic purpose.</t>
        </is>
      </c>
      <c r="AR48" s="19" t="inlineStr">
        <is>
          <t>Swades received universal acclaim, and Khan's performance is considered one of his best. A modern reading values a heroine whose agency and ideals precede the hero's arrival.</t>
        </is>
      </c>
      <c r="AS48" s="5" t="inlineStr">
        <is>
          <t>SOURCE-054</t>
        </is>
      </c>
      <c r="AT48" s="5" t="inlineStr">
        <is>
          <t>Medium</t>
        </is>
      </c>
    </row>
    <row r="49" ht="79" customHeight="1">
      <c r="A49" s="15" t="inlineStr">
        <is>
          <t>PAIR-048</t>
        </is>
      </c>
      <c r="B49" s="20" t="inlineStr">
        <is>
          <t>FILM-055</t>
        </is>
      </c>
      <c r="C49" s="5" t="inlineStr">
        <is>
          <t>Paheli</t>
        </is>
      </c>
      <c r="D49" s="17" t="n">
        <v>2005</v>
      </c>
      <c r="E49" s="5" t="inlineStr">
        <is>
          <t>The ghost (in Kishanlal's form)</t>
        </is>
      </c>
      <c r="F49" s="5" t="inlineStr">
        <is>
          <t>Rani Mukerji</t>
        </is>
      </c>
      <c r="G49" s="5" t="inlineStr">
        <is>
          <t>Lachchi</t>
        </is>
      </c>
      <c r="H49" s="5" t="inlineStr">
        <is>
          <t>Female lead</t>
        </is>
      </c>
      <c r="I49" s="5" t="inlineStr">
        <is>
          <t>Yes</t>
        </is>
      </c>
      <c r="J49" s="19" t="inlineStr">
        <is>
          <t>Forbidden love</t>
        </is>
      </c>
      <c r="K49" s="5" t="inlineStr">
        <is>
          <t>Strangers</t>
        </is>
      </c>
      <c r="L49" s="5" t="inlineStr">
        <is>
          <t>A ghost at a dharamshala is captivated by Lachchi as her wedding party rests on the way to her in-laws' village.</t>
        </is>
      </c>
      <c r="M49" s="5" t="inlineStr">
        <is>
          <t>The ghost</t>
        </is>
      </c>
      <c r="N49" s="19" t="inlineStr">
        <is>
          <t>After her husband leaves on their wedding night, the ghost takes his form, reveals his true identity to Lachchi and wins her with a sensual, magical, self-confident love.</t>
        </is>
      </c>
      <c r="O49" s="19" t="inlineStr">
        <is>
          <t>Attentive devotion that fulfils the desires her husband ignored</t>
        </is>
      </c>
      <c r="P49" s="19" t="inlineStr">
        <is>
          <t>None between them; the deception of the family and the real Kishanlal's return threaten them.</t>
        </is>
      </c>
      <c r="Q49" s="18" t="n">
        <v>1</v>
      </c>
      <c r="R49" s="19" t="inlineStr">
        <is>
          <t>The ghost is honest with Lachchi and she chooses him knowingly; no conflict between them is recorded.</t>
        </is>
      </c>
      <c r="S49" s="18" t="n">
        <v>9</v>
      </c>
      <c r="T49" s="5" t="inlineStr">
        <is>
          <t>Existing relationship; Family; Community</t>
        </is>
      </c>
      <c r="U49" s="19" t="inlineStr">
        <is>
          <t>The real Kishanlal returns, the rival Thakurs press the family to find the truth, and the shepherd traps the ghost in a bottle.</t>
        </is>
      </c>
      <c r="V49" s="18" t="n">
        <v>9</v>
      </c>
      <c r="W49" s="19" t="inlineStr">
        <is>
          <t>The ghost exists as a lover: he takes a human form out of love and finally enters the bottle solely to prove it.</t>
        </is>
      </c>
      <c r="X49" s="18" t="n">
        <v>9</v>
      </c>
      <c r="Y49" s="18" t="n">
        <v>8</v>
      </c>
      <c r="Z49" s="18" t="n">
        <v>9</v>
      </c>
      <c r="AA49" s="18" t="n">
        <v>7</v>
      </c>
      <c r="AB49" s="18" t="n">
        <v>7</v>
      </c>
      <c r="AC49" s="19" t="inlineStr">
        <is>
          <t>Interpretive reading; no fetched review assesses this pairing. The ghost's courtship of Lachchi is played as gentle fantasy, and Khan and Mukerji give it warmth within the folk-tale frame.</t>
        </is>
      </c>
      <c r="AD49" s="5" t="inlineStr">
        <is>
          <t>Unclear</t>
        </is>
      </c>
      <c r="AE49" s="5" t="inlineStr">
        <is>
          <t>No</t>
        </is>
      </c>
      <c r="AF49" s="5" t="inlineStr">
        <is>
          <t>No</t>
        </is>
      </c>
      <c r="AG49" s="5" t="inlineStr">
        <is>
          <t>Yes</t>
        </is>
      </c>
      <c r="AH49" s="5" t="inlineStr">
        <is>
          <t>Yes</t>
        </is>
      </c>
      <c r="AI49" s="5" t="inlineStr">
        <is>
          <t>Yes</t>
        </is>
      </c>
      <c r="AJ49" s="5" t="inlineStr">
        <is>
          <t>Yes</t>
        </is>
      </c>
      <c r="AK49" s="19" t="inlineStr">
        <is>
          <t>Proves his love by entering the bottle and, in the twist ending, possesses Kishanlal's body to stay with Lachchi.</t>
        </is>
      </c>
      <c r="AL49" s="19" t="inlineStr">
        <is>
          <t>From an abandoned bride to a woman who knowingly chooses love and bears the ghost's child.</t>
        </is>
      </c>
      <c r="AM49" s="5" t="inlineStr">
        <is>
          <t>The ghost escapes the bottle and lives with Lachchi in Kishanlal's body.</t>
        </is>
      </c>
      <c r="AN49" s="5" t="inlineStr">
        <is>
          <t>Yes</t>
        </is>
      </c>
      <c r="AO49" s="5" t="inlineStr">
        <is>
          <t>Happy</t>
        </is>
      </c>
      <c r="AP49" s="5" t="n"/>
      <c r="AQ49" s="19" t="inlineStr">
        <is>
          <t>Paheli gives Khan both halves of a marriage: the dutiful husband who abandons his bride for business and the ghost who offers her the love he withholds. Lachchi's knowing choice of the ghost legitimises female desire within a folk-tale frame, and the twist lets love triumph over propriety.</t>
        </is>
      </c>
      <c r="AR49" s="19" t="inlineStr">
        <is>
          <t>Taran Adarsh called Paheli 'one of the finest films produced in recent times'. A modern reading praises the film for centring a wife's choice, though the resolution depends on possessing her husband's body.</t>
        </is>
      </c>
      <c r="AS49" s="5" t="inlineStr">
        <is>
          <t>SOURCE-058</t>
        </is>
      </c>
      <c r="AT49" s="5" t="inlineStr">
        <is>
          <t>Medium</t>
        </is>
      </c>
    </row>
    <row r="50" ht="64" customHeight="1">
      <c r="A50" s="15" t="inlineStr">
        <is>
          <t>PAIR-049</t>
        </is>
      </c>
      <c r="B50" s="20" t="inlineStr">
        <is>
          <t>FILM-055</t>
        </is>
      </c>
      <c r="C50" s="5" t="inlineStr">
        <is>
          <t>Paheli</t>
        </is>
      </c>
      <c r="D50" s="17" t="n">
        <v>2005</v>
      </c>
      <c r="E50" s="5" t="inlineStr">
        <is>
          <t>Kishanlal</t>
        </is>
      </c>
      <c r="F50" s="5" t="inlineStr">
        <is>
          <t>Rani Mukerji</t>
        </is>
      </c>
      <c r="G50" s="5" t="inlineStr">
        <is>
          <t>Lachchi</t>
        </is>
      </c>
      <c r="H50" s="5" t="inlineStr">
        <is>
          <t>Female lead</t>
        </is>
      </c>
      <c r="I50" s="5" t="inlineStr">
        <is>
          <t>Yes</t>
        </is>
      </c>
      <c r="J50" s="19" t="inlineStr">
        <is>
          <t>Marriage under strain</t>
        </is>
      </c>
      <c r="K50" s="5" t="inlineStr">
        <is>
          <t>Arranged marriage</t>
        </is>
      </c>
      <c r="L50" s="5" t="inlineStr">
        <is>
          <t>An arranged marriage between families from distant villages.</t>
        </is>
      </c>
      <c r="M50" s="5" t="inlineStr">
        <is>
          <t>Not applicable</t>
        </is>
      </c>
      <c r="N50" s="19" t="inlineStr">
        <is>
          <t>None: on their wedding night Kishanlal turns away to finish his bookkeeping and leaves at dawn on a five-year business trip.</t>
        </is>
      </c>
      <c r="O50" s="19" t="inlineStr">
        <is>
          <t>Duty to his father placed above his bride</t>
        </is>
      </c>
      <c r="P50" s="19" t="inlineStr">
        <is>
          <t>His neglect and absence.</t>
        </is>
      </c>
      <c r="Q50" s="18" t="n">
        <v>6</v>
      </c>
      <c r="R50" s="19" t="inlineStr">
        <is>
          <t>Kishanlal's abandonment devastates Lachchi, and on his return he disputes her double's claim, but no quarrel between them is described.</t>
        </is>
      </c>
      <c r="S50" s="18" t="n">
        <v>3</v>
      </c>
      <c r="T50" s="5" t="inlineStr">
        <is>
          <t>Family</t>
        </is>
      </c>
      <c r="U50" s="19" t="inlineStr">
        <is>
          <t>His father's wish that he start a business on an auspicious date takes him away.</t>
        </is>
      </c>
      <c r="V50" s="18" t="n">
        <v>1</v>
      </c>
      <c r="W50" s="19" t="inlineStr">
        <is>
          <t>Kishanlal is the opposite of a lover boy: a workaholic son indifferent to his bride.</t>
        </is>
      </c>
      <c r="X50" s="18" t="n">
        <v>5</v>
      </c>
      <c r="Y50" s="18" t="n">
        <v>3</v>
      </c>
      <c r="Z50" s="18" t="n">
        <v>2</v>
      </c>
      <c r="AA50" s="18" t="n">
        <v>7</v>
      </c>
      <c r="AB50" s="18" t="n">
        <v>4</v>
      </c>
      <c r="AC50" s="19" t="inlineStr">
        <is>
          <t>Interpretive reading; no fetched review assesses this pairing. Kishanlal's coldness towards Lachchi is the point, so the real marriage is played without warmth by design.</t>
        </is>
      </c>
      <c r="AD50" s="5" t="inlineStr">
        <is>
          <t>No</t>
        </is>
      </c>
      <c r="AE50" s="5" t="inlineStr">
        <is>
          <t>Partial</t>
        </is>
      </c>
      <c r="AF50" s="5" t="inlineStr">
        <is>
          <t>Partial</t>
        </is>
      </c>
      <c r="AG50" s="5" t="inlineStr">
        <is>
          <t>Yes</t>
        </is>
      </c>
      <c r="AH50" s="5" t="inlineStr">
        <is>
          <t>Yes</t>
        </is>
      </c>
      <c r="AI50" s="5" t="inlineStr">
        <is>
          <t>No</t>
        </is>
      </c>
      <c r="AJ50" s="5" t="inlineStr">
        <is>
          <t>No</t>
        </is>
      </c>
      <c r="AK50" s="19" t="inlineStr">
        <is>
          <t>Returns on hearing that his wife is pregnant, proves he is the real husband, and is then possessed by the ghost.</t>
        </is>
      </c>
      <c r="AL50" s="19" t="inlineStr">
        <is>
          <t>Turns from her absent husband to the ghost.</t>
        </is>
      </c>
      <c r="AM50" s="5" t="inlineStr">
        <is>
          <t>Identified as the real Kishanlal, he is possessed by the ghost.</t>
        </is>
      </c>
      <c r="AN50" s="5" t="inlineStr">
        <is>
          <t>Yes</t>
        </is>
      </c>
      <c r="AO50" s="5" t="inlineStr">
        <is>
          <t>Unresolved</t>
        </is>
      </c>
      <c r="AP50" s="5" t="n"/>
      <c r="AQ50" s="19" t="inlineStr">
        <is>
          <t>Kishanlal is the anti-lover of Khan's filmography: a son so dutiful and a merchant so diligent that he leaves his bride untouched. His failure is what makes the ghost's romance possible and sympathetic.</t>
        </is>
      </c>
      <c r="AR50" s="19" t="inlineStr">
        <is>
          <t>No reading of the pair was found.</t>
        </is>
      </c>
      <c r="AS50" s="5" t="inlineStr">
        <is>
          <t>SOURCE-058</t>
        </is>
      </c>
      <c r="AT50" s="5" t="inlineStr">
        <is>
          <t>Medium</t>
        </is>
      </c>
    </row>
    <row r="51" ht="79" customHeight="1">
      <c r="A51" s="15" t="inlineStr">
        <is>
          <t>PAIR-050</t>
        </is>
      </c>
      <c r="B51" s="20" t="inlineStr">
        <is>
          <t>FILM-057</t>
        </is>
      </c>
      <c r="C51" s="5" t="inlineStr">
        <is>
          <t>Kabhi Alvida Naa Kehna</t>
        </is>
      </c>
      <c r="D51" s="17" t="n">
        <v>2006</v>
      </c>
      <c r="E51" s="5" t="inlineStr">
        <is>
          <t>Dev Saran</t>
        </is>
      </c>
      <c r="F51" s="5" t="inlineStr">
        <is>
          <t>Rani Mukerji</t>
        </is>
      </c>
      <c r="G51" s="5" t="inlineStr">
        <is>
          <t>Maya Talwar</t>
        </is>
      </c>
      <c r="H51" s="5" t="inlineStr">
        <is>
          <t>Female lead</t>
        </is>
      </c>
      <c r="I51" s="5" t="inlineStr">
        <is>
          <t>Yes</t>
        </is>
      </c>
      <c r="J51" s="19" t="inlineStr">
        <is>
          <t>Forbidden love</t>
        </is>
      </c>
      <c r="K51" s="5" t="inlineStr">
        <is>
          <t>Strangers</t>
        </is>
      </c>
      <c r="L51" s="5" t="inlineStr">
        <is>
          <t>Dev meets Maya by chance on her wedding day; they form an immediate connection, and as he leaves he is hit by a car.</t>
        </is>
      </c>
      <c r="M51" s="5" t="inlineStr">
        <is>
          <t>Mutual</t>
        </is>
      </c>
      <c r="N51" s="19" t="inlineStr">
        <is>
          <t>Four years later their elders' friendship brings them together; they bond over their unhappy marriages, try to help each other repair them, then confess their love at a train station and begin an affair.</t>
        </is>
      </c>
      <c r="O51" s="19" t="inlineStr">
        <is>
          <t>Two unhappy spouses finding recognition in each other, shadowed by guilt</t>
        </is>
      </c>
      <c r="P51" s="19" t="inlineStr">
        <is>
          <t>Guilt towards their spouses and families; later, Dev's belief that Maya has returned to Rishi.</t>
        </is>
      </c>
      <c r="Q51" s="18" t="n">
        <v>4</v>
      </c>
      <c r="R51" s="19" t="inlineStr">
        <is>
          <t>The lovers are aligned; the strain is guilt, their decision to separate and Dev's avoidance of Maya at the station.</t>
        </is>
      </c>
      <c r="S51" s="18" t="n">
        <v>8</v>
      </c>
      <c r="T51" s="5" t="inlineStr">
        <is>
          <t>Existing relationship; Family</t>
        </is>
      </c>
      <c r="U51" s="19" t="inlineStr">
        <is>
          <t>Both are married; their families discover the affair, Sam dies of a heart attack that night, and both marriages end in divorce.</t>
        </is>
      </c>
      <c r="V51" s="18" t="n">
        <v>6</v>
      </c>
      <c r="W51" s="19" t="inlineStr">
        <is>
          <t>Dev becomes a romantic lead, but he begins as a bitter, resentful husband and the film dwells on his guilt.</t>
        </is>
      </c>
      <c r="X51" s="18" t="n">
        <v>10</v>
      </c>
      <c r="Y51" s="18" t="n">
        <v>5</v>
      </c>
      <c r="Z51" s="18" t="n">
        <v>9</v>
      </c>
      <c r="AA51" s="18" t="n">
        <v>7</v>
      </c>
      <c r="AB51" s="18" t="n">
        <v>8</v>
      </c>
      <c r="AC51" s="19" t="inlineStr">
        <is>
          <t>Interpretive reading; Taran Adarsh (Bollywood Hungama) praised the chemistry among the cast. The affair works because Khan and Mukerji make the two unhappy spouses' attraction feel adult and conflicted.</t>
        </is>
      </c>
      <c r="AD51" s="5" t="inlineStr">
        <is>
          <t>Partial</t>
        </is>
      </c>
      <c r="AE51" s="5" t="inlineStr">
        <is>
          <t>Yes</t>
        </is>
      </c>
      <c r="AF51" s="5" t="inlineStr">
        <is>
          <t>No</t>
        </is>
      </c>
      <c r="AG51" s="5" t="inlineStr">
        <is>
          <t>Yes</t>
        </is>
      </c>
      <c r="AH51" s="5" t="inlineStr">
        <is>
          <t>Yes</t>
        </is>
      </c>
      <c r="AI51" s="5" t="inlineStr">
        <is>
          <t>Partial</t>
        </is>
      </c>
      <c r="AJ51" s="5" t="inlineStr">
        <is>
          <t>Partial</t>
        </is>
      </c>
      <c r="AK51" s="19" t="inlineStr">
        <is>
          <t>From a bitter, resentful husband to a man who confesses his affair and, years later, reunites with Maya.</t>
        </is>
      </c>
      <c r="AL51" s="19" t="inlineStr">
        <is>
          <t>From an emotionally distant wife to a divorced woman who chooses to find Dev.</t>
        </is>
      </c>
      <c r="AM51" s="5" t="inlineStr">
        <is>
          <t>After their divorces and three years apart, they reunite on a departing train.</t>
        </is>
      </c>
      <c r="AN51" s="5" t="inlineStr">
        <is>
          <t>Partial</t>
        </is>
      </c>
      <c r="AO51" s="5" t="inlineStr">
        <is>
          <t>Happy</t>
        </is>
      </c>
      <c r="AP51" s="5" t="n"/>
      <c r="AQ51" s="19" t="inlineStr">
        <is>
          <t>KANK is Khan's most direct romance of adultery: Dev is not a lover boy but an injured, resentful husband whose love for Maya grows out of shared marital failure. The film refuses to make either spouse a villain, and its happy ending is weighed down by guilt.</t>
        </is>
      </c>
      <c r="AR51" s="19" t="inlineStr">
        <is>
          <t>Critics praised its bold treatment of infidelity and its performances but criticised its length and melodrama; it has since been called ahead of its time. A modern reading credits its refusal to villainise the spouses.</t>
        </is>
      </c>
      <c r="AS51" s="5" t="inlineStr">
        <is>
          <t>SOURCE-060</t>
        </is>
      </c>
      <c r="AT51" s="5" t="inlineStr">
        <is>
          <t>Medium</t>
        </is>
      </c>
    </row>
    <row r="52" ht="64" customHeight="1">
      <c r="A52" s="15" t="inlineStr">
        <is>
          <t>PAIR-051</t>
        </is>
      </c>
      <c r="B52" s="20" t="inlineStr">
        <is>
          <t>FILM-057</t>
        </is>
      </c>
      <c r="C52" s="5" t="inlineStr">
        <is>
          <t>Kabhi Alvida Naa Kehna</t>
        </is>
      </c>
      <c r="D52" s="17" t="n">
        <v>2006</v>
      </c>
      <c r="E52" s="5" t="inlineStr">
        <is>
          <t>Dev Saran</t>
        </is>
      </c>
      <c r="F52" s="5" t="inlineStr">
        <is>
          <t>Preity Zinta</t>
        </is>
      </c>
      <c r="G52" s="5" t="inlineStr">
        <is>
          <t>Rhea Saran</t>
        </is>
      </c>
      <c r="H52" s="5" t="inlineStr">
        <is>
          <t>Female lead</t>
        </is>
      </c>
      <c r="I52" s="5" t="inlineStr">
        <is>
          <t>Partial</t>
        </is>
      </c>
      <c r="J52" s="19" t="inlineStr">
        <is>
          <t>Marriage under strain</t>
        </is>
      </c>
      <c r="K52" s="5" t="inlineStr">
        <is>
          <t>Married couple</t>
        </is>
      </c>
      <c r="L52" s="5" t="inlineStr">
        <is>
          <t>Not documented; they are married with a son when the film begins.</t>
        </is>
      </c>
      <c r="M52" s="5" t="inlineStr">
        <is>
          <t>Unclear</t>
        </is>
      </c>
      <c r="N52" s="19" t="inlineStr">
        <is>
          <t>Not applicable: an established marriage.</t>
        </is>
      </c>
      <c r="O52" s="19" t="inlineStr">
        <is>
          <t>Dev's resentment of Rhea's success against her efforts to hold the family together</t>
        </is>
      </c>
      <c r="P52" s="19" t="inlineStr">
        <is>
          <t>Dev's insecurity and detachment after his injury, the London promotion Rhea turns down, and his affair.</t>
        </is>
      </c>
      <c r="Q52" s="18" t="n">
        <v>7</v>
      </c>
      <c r="R52" s="19" t="inlineStr">
        <is>
          <t>Dev accuses Rhea of self-centredness; she confronts his resentment; the marriage ends when he confesses his affair.</t>
        </is>
      </c>
      <c r="S52" s="18" t="n">
        <v>2</v>
      </c>
      <c r="T52" s="5" t="inlineStr">
        <is>
          <t>Other</t>
        </is>
      </c>
      <c r="U52" s="19" t="inlineStr">
        <is>
          <t>The pressure comes from Dev's lost career and Rhea's rising one rather than from outsiders.</t>
        </is>
      </c>
      <c r="V52" s="18" t="n">
        <v>2</v>
      </c>
      <c r="W52" s="19" t="inlineStr">
        <is>
          <t>Dev is a detached, jealous husband with no romantic function towards Rhea.</t>
        </is>
      </c>
      <c r="X52" s="18" t="n">
        <v>6</v>
      </c>
      <c r="Y52" s="18" t="n">
        <v>3</v>
      </c>
      <c r="Z52" s="18" t="n">
        <v>4</v>
      </c>
      <c r="AA52" s="18" t="n">
        <v>8</v>
      </c>
      <c r="AB52" s="18" t="n">
        <v>5</v>
      </c>
      <c r="AC52" s="19" t="inlineStr">
        <is>
          <t>Interpretive reading; Taran Adarsh's praise of the cast's chemistry is general. Dev and Rhea's marriage is written as failing, and the two play distance more than intimacy.</t>
        </is>
      </c>
      <c r="AD52" s="5" t="inlineStr">
        <is>
          <t>No</t>
        </is>
      </c>
      <c r="AE52" s="5" t="inlineStr">
        <is>
          <t>Yes</t>
        </is>
      </c>
      <c r="AF52" s="5" t="inlineStr">
        <is>
          <t>Partial</t>
        </is>
      </c>
      <c r="AG52" s="5" t="inlineStr">
        <is>
          <t>Yes</t>
        </is>
      </c>
      <c r="AH52" s="5" t="inlineStr">
        <is>
          <t>Yes</t>
        </is>
      </c>
      <c r="AI52" s="5" t="inlineStr">
        <is>
          <t>Partial</t>
        </is>
      </c>
      <c r="AJ52" s="5" t="inlineStr">
        <is>
          <t>No</t>
        </is>
      </c>
      <c r="AK52" s="19" t="inlineStr">
        <is>
          <t>Confesses the affair and loses the marriage.</t>
        </is>
      </c>
      <c r="AL52" s="19" t="inlineStr">
        <is>
          <t>From a wife who gives up a promotion for her family to a divorced mother who moves on with her boss Jai.</t>
        </is>
      </c>
      <c r="AM52" s="5" t="inlineStr">
        <is>
          <t>Divorced; Rhea dates Jai and encourages Maya to find Dev.</t>
        </is>
      </c>
      <c r="AN52" s="5" t="inlineStr">
        <is>
          <t>No</t>
        </is>
      </c>
      <c r="AO52" s="5" t="inlineStr">
        <is>
          <t>Unresolved</t>
        </is>
      </c>
      <c r="AP52" s="5" t="n"/>
      <c r="AQ52" s="19" t="inlineStr">
        <is>
          <t>Rhea is written with unusual sympathy: the successful wife whose sacrifices go unseen by a husband resentful of her career. Her grace in urging Maya to find Dev lets the film end without a villain.</t>
        </is>
      </c>
      <c r="AR52" s="19" t="inlineStr">
        <is>
          <t>No reading of the pair was found.</t>
        </is>
      </c>
      <c r="AS52" s="5" t="inlineStr">
        <is>
          <t>SOURCE-060</t>
        </is>
      </c>
      <c r="AT52" s="5" t="inlineStr">
        <is>
          <t>Medium</t>
        </is>
      </c>
    </row>
    <row r="53" ht="79" customHeight="1">
      <c r="A53" s="15" t="inlineStr">
        <is>
          <t>PAIR-052</t>
        </is>
      </c>
      <c r="B53" s="20" t="inlineStr">
        <is>
          <t>FILM-058</t>
        </is>
      </c>
      <c r="C53" s="5" t="inlineStr">
        <is>
          <t>Don: The Chase Begins Again</t>
        </is>
      </c>
      <c r="D53" s="17" t="n">
        <v>2006</v>
      </c>
      <c r="E53" s="5" t="inlineStr">
        <is>
          <t>Don posing as Vijay</t>
        </is>
      </c>
      <c r="F53" s="5" t="inlineStr">
        <is>
          <t>Priyanka Chopra</t>
        </is>
      </c>
      <c r="G53" s="5" t="inlineStr">
        <is>
          <t>Roma Bhagat</t>
        </is>
      </c>
      <c r="H53" s="5" t="inlineStr">
        <is>
          <t>Female lead</t>
        </is>
      </c>
      <c r="I53" s="5" t="inlineStr">
        <is>
          <t>Yes</t>
        </is>
      </c>
      <c r="J53" s="19" t="inlineStr">
        <is>
          <t>Romance subordinate to another genre</t>
        </is>
      </c>
      <c r="K53" s="5" t="inlineStr">
        <is>
          <t>Enemies</t>
        </is>
      </c>
      <c r="L53" s="5" t="inlineStr">
        <is>
          <t>Roma infiltrates Don's gang to avenge her brother Ramesh, whom Don killed.</t>
        </is>
      </c>
      <c r="M53" s="5" t="inlineStr">
        <is>
          <t>Roma</t>
        </is>
      </c>
      <c r="N53" s="19" t="inlineStr">
        <is>
          <t>She tries to kill 'Don', learns he is the lookalike Vijay, and allies with him to recover the disc; after the showdown 'Vijay' returns her declared love, but a line Don once said to her reveals who he is.</t>
        </is>
      </c>
      <c r="O53" s="19" t="inlineStr">
        <is>
          <t>A vengeful infiltrator turned ally whose love is exploited</t>
        </is>
      </c>
      <c r="P53" s="19" t="inlineStr">
        <is>
          <t>Don murdered her brother; the man she loves is Don in disguise.</t>
        </is>
      </c>
      <c r="Q53" s="18" t="n">
        <v>9</v>
      </c>
      <c r="R53" s="19" t="inlineStr">
        <is>
          <t>Roma's feelings are for Vijay, but the man who accepts them is her brother's killer deceiving her.</t>
        </is>
      </c>
      <c r="S53" s="18" t="n">
        <v>5</v>
      </c>
      <c r="T53" s="5" t="inlineStr">
        <is>
          <t>Crime; Villain</t>
        </is>
      </c>
      <c r="U53" s="19" t="inlineStr">
        <is>
          <t>The cartel war and Vardhaan's scheme drive the alliance and put both in danger.</t>
        </is>
      </c>
      <c r="V53" s="18" t="n">
        <v>1</v>
      </c>
      <c r="W53" s="19" t="inlineStr">
        <is>
          <t>Don uses romance as cover; there is no romantic devotion.</t>
        </is>
      </c>
      <c r="X53" s="18" t="n">
        <v>3</v>
      </c>
      <c r="Y53" s="18" t="n">
        <v>1</v>
      </c>
      <c r="Z53" s="18" t="n">
        <v>2</v>
      </c>
      <c r="AA53" s="18" t="n">
        <v>7</v>
      </c>
      <c r="AB53" s="18" t="n">
        <v>6</v>
      </c>
      <c r="AC53" s="19" t="inlineStr">
        <is>
          <t>Interpretive reading; no fetched review assesses this pairing. Roma's revenge mission keeps the relationship as wary cat-and-mouse, and Chopra and Khan play the tension rather than romance.</t>
        </is>
      </c>
      <c r="AD53" s="5" t="inlineStr">
        <is>
          <t>Unclear</t>
        </is>
      </c>
      <c r="AE53" s="5" t="inlineStr">
        <is>
          <t>Yes</t>
        </is>
      </c>
      <c r="AF53" s="5" t="inlineStr">
        <is>
          <t>No</t>
        </is>
      </c>
      <c r="AG53" s="5" t="inlineStr">
        <is>
          <t>Yes</t>
        </is>
      </c>
      <c r="AH53" s="5" t="inlineStr">
        <is>
          <t>Unclear</t>
        </is>
      </c>
      <c r="AI53" s="5" t="inlineStr">
        <is>
          <t>No</t>
        </is>
      </c>
      <c r="AJ53" s="5" t="inlineStr">
        <is>
          <t>Yes</t>
        </is>
      </c>
      <c r="AK53" s="19" t="inlineStr">
        <is>
          <t>None: Don's apparent redemption as Vijay is a masquerade.</t>
        </is>
      </c>
      <c r="AL53" s="19" t="inlineStr">
        <is>
          <t>From avenger to a woman who confesses love and realises too late that she has been played.</t>
        </is>
      </c>
      <c r="AM53" s="5" t="inlineStr">
        <is>
          <t>Don, posing as Vijay, accepts her love and becomes kingpin.</t>
        </is>
      </c>
      <c r="AN53" s="5" t="inlineStr">
        <is>
          <t>No</t>
        </is>
      </c>
      <c r="AO53" s="5" t="inlineStr">
        <is>
          <t>Unresolved</t>
        </is>
      </c>
      <c r="AP53" s="5" t="n"/>
      <c r="AQ53" s="19" t="inlineStr">
        <is>
          <t>The romance is the bait for Don's final twist: Roma's love for the good lookalike is answered by her brother's killer. The double role lets the film offer, then withdraw, a redemptive romantic hero.</t>
        </is>
      </c>
      <c r="AR53" s="19" t="inlineStr">
        <is>
          <t>Taran Adarsh praised Priyanka Chopra's action scenes and Khan's Don; Sukanya Verma found Khan inconsistent in the dual roles. A modern reading notes that the heroine's agency in combat does not extend to seeing through the deception.</t>
        </is>
      </c>
      <c r="AS53" s="5" t="inlineStr">
        <is>
          <t>SOURCE-061</t>
        </is>
      </c>
      <c r="AT53" s="5" t="inlineStr">
        <is>
          <t>Low</t>
        </is>
      </c>
    </row>
    <row r="54" ht="94" customHeight="1">
      <c r="A54" s="15" t="inlineStr">
        <is>
          <t>PAIR-053</t>
        </is>
      </c>
      <c r="B54" s="20" t="inlineStr">
        <is>
          <t>FILM-062</t>
        </is>
      </c>
      <c r="C54" s="5" t="inlineStr">
        <is>
          <t>Om Shanti Om</t>
        </is>
      </c>
      <c r="D54" s="17" t="n">
        <v>2007</v>
      </c>
      <c r="E54" s="5" t="inlineStr">
        <is>
          <t>Om Prakash "Omi" Makhija</t>
        </is>
      </c>
      <c r="F54" s="5" t="inlineStr">
        <is>
          <t>Deepika Padukone</t>
        </is>
      </c>
      <c r="G54" s="5" t="inlineStr">
        <is>
          <t>Shantipriya</t>
        </is>
      </c>
      <c r="H54" s="5" t="inlineStr">
        <is>
          <t>Female lead (Hindi debut)</t>
        </is>
      </c>
      <c r="I54" s="5" t="inlineStr">
        <is>
          <t>Yes</t>
        </is>
      </c>
      <c r="J54" s="19" t="inlineStr">
        <is>
          <t>Unrequited love</t>
        </is>
      </c>
      <c r="K54" s="5" t="inlineStr">
        <is>
          <t>Fan and star</t>
        </is>
      </c>
      <c r="L54" s="5" t="inlineStr">
        <is>
          <t>Omi, a junior artist who worships the star Shanti, rescues her when she is trapped in a fire on set.</t>
        </is>
      </c>
      <c r="M54" s="5" t="inlineStr">
        <is>
          <t>Omi</t>
        </is>
      </c>
      <c r="N54" s="19" t="inlineStr">
        <is>
          <t>Omi first poses as a Tamil star, then confesses the truth; Shanti befriends him and they share an evening at the studio, until he learns she is secretly married to Mukesh and pregnant.</t>
        </is>
      </c>
      <c r="O54" s="19" t="inlineStr">
        <is>
          <t>A fan's worshipful love met with warm friendship</t>
        </is>
      </c>
      <c r="P54" s="19" t="inlineStr">
        <is>
          <t>Shanti's secret marriage to Mukesh.</t>
        </is>
      </c>
      <c r="Q54" s="18" t="n">
        <v>2</v>
      </c>
      <c r="R54" s="19" t="inlineStr">
        <is>
          <t>Omi's initial lie is minor and confessed; the only strain is his heartbreak on discovering her marriage.</t>
        </is>
      </c>
      <c r="S54" s="18" t="n">
        <v>10</v>
      </c>
      <c r="T54" s="5" t="inlineStr">
        <is>
          <t>Existing relationship; Villain</t>
        </is>
      </c>
      <c r="U54" s="19" t="inlineStr">
        <is>
          <t>Shanti is married to Mukesh, who murders her and their unborn child in a fire that Omi fails to stop.</t>
        </is>
      </c>
      <c r="V54" s="18" t="n">
        <v>9</v>
      </c>
      <c r="W54" s="19" t="inlineStr">
        <is>
          <t>Omi's life is organised around his adoration of Shanti, and he dies trying to save her; the reborn Om avenges her.</t>
        </is>
      </c>
      <c r="X54" s="18" t="n">
        <v>8</v>
      </c>
      <c r="Y54" s="18" t="n">
        <v>7</v>
      </c>
      <c r="Z54" s="18" t="n">
        <v>4</v>
      </c>
      <c r="AA54" s="18" t="n">
        <v>5</v>
      </c>
      <c r="AB54" s="18" t="n">
        <v>7</v>
      </c>
      <c r="AC54" s="19" t="inlineStr">
        <is>
          <t>Interpretive reading; no fetched review assesses this pairing. Om's worship of the star is played with comic sincerity, and Padukone's debut gives the unattainable Shanti enough warmth for the reincarnation romance to carry.</t>
        </is>
      </c>
      <c r="AD54" s="5" t="inlineStr">
        <is>
          <t>Yes</t>
        </is>
      </c>
      <c r="AE54" s="5" t="inlineStr">
        <is>
          <t>No</t>
        </is>
      </c>
      <c r="AF54" s="5" t="inlineStr">
        <is>
          <t>Partial</t>
        </is>
      </c>
      <c r="AG54" s="5" t="inlineStr">
        <is>
          <t>Partial</t>
        </is>
      </c>
      <c r="AH54" s="5" t="inlineStr">
        <is>
          <t>Yes</t>
        </is>
      </c>
      <c r="AI54" s="5" t="inlineStr">
        <is>
          <t>Yes</t>
        </is>
      </c>
      <c r="AJ54" s="5" t="inlineStr">
        <is>
          <t>Partial</t>
        </is>
      </c>
      <c r="AK54" s="19" t="inlineStr">
        <is>
          <t>Dies trying to rescue her and, reborn as Om Kapoor, avenges her.</t>
        </is>
      </c>
      <c r="AL54" s="19" t="inlineStr">
        <is>
          <t>Her ghost returns to bring about Mukesh's death and find peace.</t>
        </is>
      </c>
      <c r="AM54" s="5" t="inlineStr">
        <is>
          <t>Shanti is murdered; Omi dies trying to save her; his reincarnation and her ghost together avenge her before she departs.</t>
        </is>
      </c>
      <c r="AN54" s="5" t="inlineStr">
        <is>
          <t>No</t>
        </is>
      </c>
      <c r="AO54" s="5" t="inlineStr">
        <is>
          <t>Tragic</t>
        </is>
      </c>
      <c r="AP54" s="5" t="n"/>
      <c r="AQ54" s="19" t="inlineStr">
        <is>
          <t>Om Shanti Om turns the star-crossed romance into a love letter to Hindi cinema: Omi's devotion is a fan's love for a screen idol, unrequited in life and fulfilled only as justice across rebirth. Shanti's ghost, not the reborn hero alone, completes the revenge.</t>
        </is>
      </c>
      <c r="AR54" s="19" t="inlineStr">
        <is>
          <t>A reviewer called the film a 'valentine to the movies', and critics praised Khan and Padukone's debut. A modern reading notes that the heroine's story is told through her murder and her ghost.</t>
        </is>
      </c>
      <c r="AS54" s="5" t="inlineStr">
        <is>
          <t>SOURCE-065</t>
        </is>
      </c>
      <c r="AT54" s="5" t="inlineStr">
        <is>
          <t>Medium</t>
        </is>
      </c>
    </row>
    <row r="55" ht="109" customHeight="1">
      <c r="A55" s="15" t="inlineStr">
        <is>
          <t>PAIR-054</t>
        </is>
      </c>
      <c r="B55" s="20" t="inlineStr">
        <is>
          <t>FILM-067</t>
        </is>
      </c>
      <c r="C55" s="5" t="inlineStr">
        <is>
          <t>Rab Ne Bana Di Jodi</t>
        </is>
      </c>
      <c r="D55" s="17" t="n">
        <v>2008</v>
      </c>
      <c r="E55" s="5" t="inlineStr">
        <is>
          <t>Surinder "Suri" Sahni / Raj</t>
        </is>
      </c>
      <c r="F55" s="5" t="inlineStr">
        <is>
          <t>Anushka Sharma</t>
        </is>
      </c>
      <c r="G55" s="5" t="inlineStr">
        <is>
          <t>Taani Gupta Sahni</t>
        </is>
      </c>
      <c r="H55" s="5" t="inlineStr">
        <is>
          <t>Female lead (debut)</t>
        </is>
      </c>
      <c r="I55" s="5" t="inlineStr">
        <is>
          <t>Yes</t>
        </is>
      </c>
      <c r="J55" s="19" t="inlineStr">
        <is>
          <t>Genuine incompatibility gradually resolved</t>
        </is>
      </c>
      <c r="K55" s="5" t="inlineStr">
        <is>
          <t>Strangers; he loves her from afar</t>
        </is>
      </c>
      <c r="L55" s="5" t="inlineStr">
        <is>
          <t>Suri, an employee of Punjab Power, falls for Taani, his former professor's daughter, during preparations for her wedding.</t>
        </is>
      </c>
      <c r="M55" s="5" t="inlineStr">
        <is>
          <t>Suri</t>
        </is>
      </c>
      <c r="N55" s="19" t="inlineStr">
        <is>
          <t>After her fiancé dies, her dying father asks Suri to marry her; she agrees out of respect but says she cannot love him. Unable to express himself as Suri, he adopts the flamboyant persona Raj, becomes her dance partner and confesses his love as Raj.</t>
        </is>
      </c>
      <c r="O55" s="19" t="inlineStr">
        <is>
          <t>A shy husband's silent devotion; a lively wife drawn to his disguised alter ego</t>
        </is>
      </c>
      <c r="P55" s="19" t="inlineStr">
        <is>
          <t>Taani's inability to love Suri and her attraction to 'Raj'.</t>
        </is>
      </c>
      <c r="Q55" s="18" t="n">
        <v>4</v>
      </c>
      <c r="R55" s="19" t="inlineStr">
        <is>
          <t>Taani tells Suri she cannot love him and nearly elopes with Raj, but there is no hostility; Suri treats her kindly throughout.</t>
        </is>
      </c>
      <c r="S55" s="18" t="n">
        <v>3</v>
      </c>
      <c r="T55" s="5" t="inlineStr">
        <is>
          <t>Fate</t>
        </is>
      </c>
      <c r="U55" s="19" t="inlineStr">
        <is>
          <t>Her fiancé's death and her father's fatal heart attack force the marriage on both of them.</t>
        </is>
      </c>
      <c r="V55" s="18" t="n">
        <v>10</v>
      </c>
      <c r="W55" s="19" t="inlineStr">
        <is>
          <t>A defining lover-boy role: Suri's every action, including inventing Raj, is aimed at winning his wife's love.</t>
        </is>
      </c>
      <c r="X55" s="18" t="n">
        <v>10</v>
      </c>
      <c r="Y55" s="18" t="n">
        <v>5</v>
      </c>
      <c r="Z55" s="18" t="n">
        <v>7</v>
      </c>
      <c r="AA55" s="18" t="n">
        <v>5</v>
      </c>
      <c r="AB55" s="18" t="n">
        <v>7</v>
      </c>
      <c r="AC55" s="19" t="inlineStr">
        <is>
          <t>Interpretive reading; no fetched review assesses this pairing. The double identity splits the chemistry: Suri's shy devotion and Raj's brash flirting, with Sharma's debut performance making Taani's confusion credible.</t>
        </is>
      </c>
      <c r="AD55" s="5" t="inlineStr">
        <is>
          <t>Yes</t>
        </is>
      </c>
      <c r="AE55" s="5" t="inlineStr">
        <is>
          <t>Partial</t>
        </is>
      </c>
      <c r="AF55" s="5" t="inlineStr">
        <is>
          <t>No</t>
        </is>
      </c>
      <c r="AG55" s="5" t="inlineStr">
        <is>
          <t>Yes</t>
        </is>
      </c>
      <c r="AH55" s="5" t="inlineStr">
        <is>
          <t>No</t>
        </is>
      </c>
      <c r="AI55" s="5" t="inlineStr">
        <is>
          <t>No</t>
        </is>
      </c>
      <c r="AJ55" s="5" t="inlineStr">
        <is>
          <t>Yes</t>
        </is>
      </c>
      <c r="AK55" s="19" t="inlineStr">
        <is>
          <t>The shy clerk invents a flamboyant alter ego to court his own wife and is finally loved as himself.</t>
        </is>
      </c>
      <c r="AL55" s="19" t="inlineStr">
        <is>
          <t>From a grieving bride who cannot love her husband to a wife who recognises his devotion and returns it.</t>
        </is>
      </c>
      <c r="AM55" s="5" t="inlineStr">
        <is>
          <t>Taani realises Raj is Suri, accepts him, and they win the competition and leave for a honeymoon in Japan.</t>
        </is>
      </c>
      <c r="AN55" s="5" t="inlineStr">
        <is>
          <t>Yes</t>
        </is>
      </c>
      <c r="AO55" s="5" t="inlineStr">
        <is>
          <t>Happy</t>
        </is>
      </c>
      <c r="AP55" s="5" t="n"/>
      <c r="AQ55" s="19" t="inlineStr">
        <is>
          <t>RNBDJ literalises Khan's two screen selves: the ordinary, devoted husband and the flamboyant romantic hero. The film argues that Taani should love the plain man, yet wins her through the fantasy persona and a disguise that tests her fidelity; she chooses her marriage before she knows the truth.</t>
        </is>
      </c>
      <c r="AR55" s="19" t="inlineStr">
        <is>
          <t>Robert Abele (Los Angeles Times) found Khan's Sellers-to-Jerry Lewis transformation 'agreeably amusing' and Frank Lovece called it 'smarter and more self-aware of its rom-com contrivances than most Hollywood movies'; Derek Elley (Variety) mocked the 'huge credibility gap' of Taani never recognising him. A modern reading notes that the disguise works as a loyalty test the wife never agreed to.</t>
        </is>
      </c>
      <c r="AS55" s="5" t="inlineStr">
        <is>
          <t>SOURCE-070</t>
        </is>
      </c>
      <c r="AT55" s="5" t="inlineStr">
        <is>
          <t>Medium</t>
        </is>
      </c>
    </row>
    <row r="56" ht="79" customHeight="1">
      <c r="A56" s="15" t="inlineStr">
        <is>
          <t>PAIR-055</t>
        </is>
      </c>
      <c r="B56" s="20" t="inlineStr">
        <is>
          <t>FILM-071</t>
        </is>
      </c>
      <c r="C56" s="5" t="inlineStr">
        <is>
          <t>My Name Is Khan</t>
        </is>
      </c>
      <c r="D56" s="17" t="n">
        <v>2010</v>
      </c>
      <c r="E56" s="5" t="inlineStr">
        <is>
          <t>Rizwan Khan</t>
        </is>
      </c>
      <c r="F56" s="5" t="inlineStr">
        <is>
          <t>Kajol</t>
        </is>
      </c>
      <c r="G56" s="5" t="inlineStr">
        <is>
          <t>Mandira Rathod Khan</t>
        </is>
      </c>
      <c r="H56" s="5" t="inlineStr">
        <is>
          <t>Female lead</t>
        </is>
      </c>
      <c r="I56" s="5" t="inlineStr">
        <is>
          <t>Yes</t>
        </is>
      </c>
      <c r="J56" s="19" t="inlineStr">
        <is>
          <t>Marriage under strain</t>
        </is>
      </c>
      <c r="K56" s="5" t="inlineStr">
        <is>
          <t>Strangers</t>
        </is>
      </c>
      <c r="L56" s="5" t="inlineStr">
        <is>
          <t>Selling his brother's beauty products in San Francisco, Rizwan meets Mandira, a Hindu single mother working as a hairstylist.</t>
        </is>
      </c>
      <c r="M56" s="5" t="inlineStr">
        <is>
          <t>Rizwan</t>
        </is>
      </c>
      <c r="N56" s="19" t="inlineStr">
        <is>
          <t>Rizwan falls in love with Mandira and marries her despite his brother Zakir's disapproval of an interfaith match; she and her son Sam take the Khan surname.</t>
        </is>
      </c>
      <c r="O56" s="19" t="inlineStr">
        <is>
          <t>Rizwan's literal, unconditional devotion met with warmth, then shattered by grief</t>
        </is>
      </c>
      <c r="P56" s="19" t="inlineStr">
        <is>
          <t>After Sam is killed in an Islamophobic attack, Mandira blames the Khan name and sends Rizwan away.</t>
        </is>
      </c>
      <c r="Q56" s="18" t="n">
        <v>7</v>
      </c>
      <c r="R56" s="19" t="inlineStr">
        <is>
          <t>Mandira's grief turns on Rizwan and she drives him out with a sarcastic demand he takes literally: a serious rupture, though born of loss rather than hostility.</t>
        </is>
      </c>
      <c r="S56" s="18" t="n">
        <v>9</v>
      </c>
      <c r="T56" s="5" t="inlineStr">
        <is>
          <t>Religion; Family; Community</t>
        </is>
      </c>
      <c r="U56" s="19" t="inlineStr">
        <is>
          <t>Zakir opposes the interfaith marriage; post-9/11 Islamophobia leads to Sam's killing, Rizwan's arrest and his stabbing by an extremist.</t>
        </is>
      </c>
      <c r="V56" s="18" t="n">
        <v>7</v>
      </c>
      <c r="W56" s="19" t="inlineStr">
        <is>
          <t>Devotion to Mandira drives Rizwan's cross-country quest, but his autism and his stand against prejudice define the role as much as romance.</t>
        </is>
      </c>
      <c r="X56" s="18" t="n">
        <v>7</v>
      </c>
      <c r="Y56" s="18" t="n">
        <v>7</v>
      </c>
      <c r="Z56" s="18" t="n">
        <v>7</v>
      </c>
      <c r="AA56" s="18" t="n">
        <v>6</v>
      </c>
      <c r="AB56" s="18" t="n">
        <v>9</v>
      </c>
      <c r="AC56" s="19" t="inlineStr">
        <is>
          <t>Taran Adarsh called Kajol the actress with 'the strongest chemistry' with Khan, and Savera R. Gupta (The Telegraph) welcomed their reunion. Interpretive score.</t>
        </is>
      </c>
      <c r="AD56" s="5" t="inlineStr">
        <is>
          <t>Unclear</t>
        </is>
      </c>
      <c r="AE56" s="5" t="inlineStr">
        <is>
          <t>Yes</t>
        </is>
      </c>
      <c r="AF56" s="5" t="inlineStr">
        <is>
          <t>No</t>
        </is>
      </c>
      <c r="AG56" s="5" t="inlineStr">
        <is>
          <t>No</t>
        </is>
      </c>
      <c r="AH56" s="5" t="inlineStr">
        <is>
          <t>Yes</t>
        </is>
      </c>
      <c r="AI56" s="5" t="inlineStr">
        <is>
          <t>Yes</t>
        </is>
      </c>
      <c r="AJ56" s="5" t="inlineStr">
        <is>
          <t>Partial</t>
        </is>
      </c>
      <c r="AK56" s="19" t="inlineStr">
        <is>
          <t>Takes Mandira's demand literally and crosses America to tell the President he is not a terrorist, becoming a national figure.</t>
        </is>
      </c>
      <c r="AL56" s="19" t="inlineStr">
        <is>
          <t>From a joyful wife to a grieving mother who blames her husband, then seeks justice for Sam and returns to Rizwan.</t>
        </is>
      </c>
      <c r="AM56" s="5" t="inlineStr">
        <is>
          <t>Mandira joins Rizwan in Georgia; after he survives a stabbing and meets President Obama, they return home together.</t>
        </is>
      </c>
      <c r="AN56" s="5" t="inlineStr">
        <is>
          <t>Yes</t>
        </is>
      </c>
      <c r="AO56" s="5" t="inlineStr">
        <is>
          <t>Happy</t>
        </is>
      </c>
      <c r="AP56" s="5" t="n"/>
      <c r="AQ56" s="19" t="inlineStr">
        <is>
          <t>MNIK makes the Khan–Kajol pairing the vessel of a political parable: the interfaith marriage embodies the tolerance that post-9/11 Islamophobia destroys. Rizwan's devotion is literal and unconditional, and his quest to clear the family name is also a quest to win back his wife.</t>
        </is>
      </c>
      <c r="AR56" s="19" t="inlineStr">
        <is>
          <t>Critics praised the lead performances, and Taran Adarsh called Khan's his career best; Shubhra Gupta (The Indian Express) felt the push to make Rizwan more heroic derailed the film's arc. A modern reading notes that the heroine's grief is framed as a wrong the hero must heal.</t>
        </is>
      </c>
      <c r="AS56" s="5" t="inlineStr">
        <is>
          <t>SOURCE-074</t>
        </is>
      </c>
      <c r="AT56" s="5" t="inlineStr">
        <is>
          <t>Medium</t>
        </is>
      </c>
    </row>
    <row r="57" ht="79" customHeight="1">
      <c r="A57" s="15" t="inlineStr">
        <is>
          <t>PAIR-056</t>
        </is>
      </c>
      <c r="B57" s="20" t="inlineStr">
        <is>
          <t>FILM-075</t>
        </is>
      </c>
      <c r="C57" s="5" t="inlineStr">
        <is>
          <t>Ra.One</t>
        </is>
      </c>
      <c r="D57" s="17" t="n">
        <v>2011</v>
      </c>
      <c r="E57" s="5" t="inlineStr">
        <is>
          <t>Shekhar Subramaniam / G.One</t>
        </is>
      </c>
      <c r="F57" s="5" t="inlineStr">
        <is>
          <t>Kareena Kapoor</t>
        </is>
      </c>
      <c r="G57" s="5" t="inlineStr">
        <is>
          <t>Sonia Subramaniam</t>
        </is>
      </c>
      <c r="H57" s="5" t="inlineStr">
        <is>
          <t>Female lead</t>
        </is>
      </c>
      <c r="I57" s="5" t="inlineStr">
        <is>
          <t>Yes</t>
        </is>
      </c>
      <c r="J57" s="19" t="inlineStr">
        <is>
          <t>Established relationship</t>
        </is>
      </c>
      <c r="K57" s="5" t="inlineStr">
        <is>
          <t>Married couple</t>
        </is>
      </c>
      <c r="L57" s="5" t="inlineStr">
        <is>
          <t>Not documented; they are married with a son, Prateek, when the film begins.</t>
        </is>
      </c>
      <c r="M57" s="5" t="inlineStr">
        <is>
          <t>Not applicable</t>
        </is>
      </c>
      <c r="N57" s="19" t="inlineStr">
        <is>
          <t>Not applicable: after Shekhar's death, G.One, who wears his face, promises Sonia to protect their son, and she cannot bring herself to leave him behind.</t>
        </is>
      </c>
      <c r="O57" s="19" t="inlineStr">
        <is>
          <t>A loving marriage cut short, echoed in Sonia's bond with the digital hero who bears her husband's face</t>
        </is>
      </c>
      <c r="P57" s="19" t="inlineStr">
        <is>
          <t>None documented.</t>
        </is>
      </c>
      <c r="Q57" s="18" t="n">
        <v>1</v>
      </c>
      <c r="R57" s="19" t="inlineStr">
        <is>
          <t>No conflict between Shekhar and Sonia is recorded; low score carries Low confidence.</t>
        </is>
      </c>
      <c r="S57" s="18" t="n">
        <v>9</v>
      </c>
      <c r="T57" s="5" t="inlineStr">
        <is>
          <t>Villain</t>
        </is>
      </c>
      <c r="U57" s="19" t="inlineStr">
        <is>
          <t>Ra.One kills Shekhar, later hypnotises Sonia, takes her form and sends her to crash a train.</t>
        </is>
      </c>
      <c r="V57" s="18" t="n">
        <v>3</v>
      </c>
      <c r="W57" s="19" t="inlineStr">
        <is>
          <t>Shekhar is a father and game designer, and G.One a protector; romance is a faint undertone.</t>
        </is>
      </c>
      <c r="X57" s="18" t="n">
        <v>3</v>
      </c>
      <c r="Y57" s="18" t="n">
        <v>8</v>
      </c>
      <c r="Z57" s="18" t="n">
        <v>7</v>
      </c>
      <c r="AA57" s="18" t="n">
        <v>3</v>
      </c>
      <c r="AB57" s="18" t="n">
        <v>5</v>
      </c>
      <c r="AC57" s="19" t="inlineStr">
        <is>
          <t>Interpretive reading; no fetched review assesses this pairing. The marriage is affectionate but sketched, and the film spends more time on Sonia's bond with G.One than with Shekhar.</t>
        </is>
      </c>
      <c r="AD57" s="5" t="inlineStr">
        <is>
          <t>Unclear</t>
        </is>
      </c>
      <c r="AE57" s="5" t="inlineStr">
        <is>
          <t>No</t>
        </is>
      </c>
      <c r="AF57" s="5" t="inlineStr">
        <is>
          <t>No</t>
        </is>
      </c>
      <c r="AG57" s="5" t="inlineStr">
        <is>
          <t>No</t>
        </is>
      </c>
      <c r="AH57" s="5" t="inlineStr">
        <is>
          <t>Yes</t>
        </is>
      </c>
      <c r="AI57" s="5" t="inlineStr">
        <is>
          <t>Yes</t>
        </is>
      </c>
      <c r="AJ57" s="5" t="inlineStr">
        <is>
          <t>Partial</t>
        </is>
      </c>
      <c r="AK57" s="19" t="inlineStr">
        <is>
          <t>Shekhar dies trying to protect his son; G.One, bearing his face, becomes the family's protector.</t>
        </is>
      </c>
      <c r="AL57" s="19" t="inlineStr">
        <is>
          <t>A grieving widow who comes to trust G.One and is saved from the train crash.</t>
        </is>
      </c>
      <c r="AM57" s="5" t="inlineStr">
        <is>
          <t>Shekhar is killed; G.One saves Sonia and Prateek, disintegrates, and is later restored by Prateek.</t>
        </is>
      </c>
      <c r="AN57" s="5" t="inlineStr">
        <is>
          <t>Yes</t>
        </is>
      </c>
      <c r="AO57" s="5" t="inlineStr">
        <is>
          <t>Unresolved</t>
        </is>
      </c>
      <c r="AP57" s="5" t="n"/>
      <c r="AQ57" s="19" t="inlineStr">
        <is>
          <t>The marriage exists mainly to be lost and partly recovered: Shekhar's death leaves Sonia and Prateek with a machine that has his face, and the film hints at, without pursuing, a displaced romance between the widow and the superhero. The marriage itself is shown as affectionate on both sides, with Sonia exasperated by but fond of Shekhar.</t>
        </is>
      </c>
      <c r="AR57" s="19" t="inlineStr">
        <is>
          <t>No reading of the pair was found.</t>
        </is>
      </c>
      <c r="AS57" s="5" t="inlineStr">
        <is>
          <t>SOURCE-078</t>
        </is>
      </c>
      <c r="AT57" s="5" t="inlineStr">
        <is>
          <t>Low</t>
        </is>
      </c>
    </row>
    <row r="58" ht="79" customHeight="1">
      <c r="A58" s="15" t="inlineStr">
        <is>
          <t>PAIR-057</t>
        </is>
      </c>
      <c r="B58" s="20" t="inlineStr">
        <is>
          <t>FILM-076</t>
        </is>
      </c>
      <c r="C58" s="5" t="inlineStr">
        <is>
          <t>Don 2</t>
        </is>
      </c>
      <c r="D58" s="17" t="n">
        <v>2011</v>
      </c>
      <c r="E58" s="5" t="inlineStr">
        <is>
          <t>Mark "Don" Donald</t>
        </is>
      </c>
      <c r="F58" s="5" t="inlineStr">
        <is>
          <t>Priyanka Chopra</t>
        </is>
      </c>
      <c r="G58" s="5" t="inlineStr">
        <is>
          <t>Roma Bhagat</t>
        </is>
      </c>
      <c r="H58" s="5" t="inlineStr">
        <is>
          <t>Female lead</t>
        </is>
      </c>
      <c r="I58" s="5" t="inlineStr">
        <is>
          <t>Yes</t>
        </is>
      </c>
      <c r="J58" s="19" t="inlineStr">
        <is>
          <t>Forbidden love</t>
        </is>
      </c>
      <c r="K58" s="5" t="inlineStr">
        <is>
          <t>Fugitive and Interpol officer</t>
        </is>
      </c>
      <c r="L58" s="5" t="inlineStr">
        <is>
          <t>Continuing from Don (2006): Roma, now with Interpol, receives Don's surrender in Malaysia.</t>
        </is>
      </c>
      <c r="M58" s="5" t="inlineStr">
        <is>
          <t>Unclear</t>
        </is>
      </c>
      <c r="N58" s="19" t="inlineStr">
        <is>
          <t>None: Roma pursues Don across Europe and, in a standoff, cannot bring herself to kill him.</t>
        </is>
      </c>
      <c r="O58" s="19" t="inlineStr">
        <is>
          <t>Suppressed attraction beneath professional enmity</t>
        </is>
      </c>
      <c r="P58" s="19" t="inlineStr">
        <is>
          <t>Don killed her brother, and she is sworn to bring him to justice.</t>
        </is>
      </c>
      <c r="Q58" s="18" t="n">
        <v>8</v>
      </c>
      <c r="R58" s="19" t="inlineStr">
        <is>
          <t>They are adversaries: Roma hunts Don for his crimes, and her feelings survive only as reluctance to kill him outside the law.</t>
        </is>
      </c>
      <c r="S58" s="18" t="n">
        <v>6</v>
      </c>
      <c r="T58" s="5" t="inlineStr">
        <is>
          <t>Crime; Villain</t>
        </is>
      </c>
      <c r="U58" s="19" t="inlineStr">
        <is>
          <t>The European cartel, Vardhaan and the hit man Jabbar turn the standoff violent; Jabbar shoots Roma.</t>
        </is>
      </c>
      <c r="V58" s="18" t="n">
        <v>2</v>
      </c>
      <c r="W58" s="19" t="inlineStr">
        <is>
          <t>Don is a criminal mastermind; his only romantic gesture is getting the wounded Roma to an ambulance.</t>
        </is>
      </c>
      <c r="X58" s="18" t="n">
        <v>3</v>
      </c>
      <c r="Y58" s="18" t="n">
        <v>2</v>
      </c>
      <c r="Z58" s="18" t="n">
        <v>3</v>
      </c>
      <c r="AA58" s="18" t="n">
        <v>7</v>
      </c>
      <c r="AB58" s="18" t="n">
        <v>5</v>
      </c>
      <c r="AC58" s="19" t="inlineStr">
        <is>
          <t>Interpretive reading; no fetched review assesses this pairing. Roma remains Don's adversary, and the hint of attraction is played as tension within the heist rather than as romance.</t>
        </is>
      </c>
      <c r="AD58" s="5" t="inlineStr">
        <is>
          <t>Unclear</t>
        </is>
      </c>
      <c r="AE58" s="5" t="inlineStr">
        <is>
          <t>Yes</t>
        </is>
      </c>
      <c r="AF58" s="5" t="inlineStr">
        <is>
          <t>No</t>
        </is>
      </c>
      <c r="AG58" s="5" t="inlineStr">
        <is>
          <t>Yes</t>
        </is>
      </c>
      <c r="AH58" s="5" t="inlineStr">
        <is>
          <t>Yes</t>
        </is>
      </c>
      <c r="AI58" s="5" t="inlineStr">
        <is>
          <t>Partial</t>
        </is>
      </c>
      <c r="AJ58" s="5" t="inlineStr">
        <is>
          <t>Partial</t>
        </is>
      </c>
      <c r="AK58" s="19" t="inlineStr">
        <is>
          <t>None; Don remains a criminal, though he ensures Roma reaches an ambulance.</t>
        </is>
      </c>
      <c r="AL58" s="19" t="inlineStr">
        <is>
          <t>From avenger to Interpol officer who refuses to kill Don illegally despite her feelings.</t>
        </is>
      </c>
      <c r="AM58" s="5" t="inlineStr">
        <is>
          <t>Roma is shot by Jabbar and taken to an ambulance; Don escapes as king of the underworld.</t>
        </is>
      </c>
      <c r="AN58" s="5" t="inlineStr">
        <is>
          <t>No</t>
        </is>
      </c>
      <c r="AO58" s="5" t="inlineStr">
        <is>
          <t>Unresolved</t>
        </is>
      </c>
      <c r="AP58" s="5" t="n"/>
      <c r="AQ58" s="19" t="inlineStr">
        <is>
          <t>Don 2 keeps the romance as an undercurrent: Roma's lingering feelings for her brother's killer are tested when she will not shoot him outside the law. Don's care for her wound is the film's only concession to romance.</t>
        </is>
      </c>
      <c r="AR58" s="19" t="inlineStr">
        <is>
          <t>Rachit Gupta (Filmfare, 4/5) credited Khan, Chopra and Irani with carrying the film. A modern reading notes that the heroine's integrity is framed through her attraction to the villain.</t>
        </is>
      </c>
      <c r="AS58" s="5" t="inlineStr">
        <is>
          <t>SOURCE-079</t>
        </is>
      </c>
      <c r="AT58" s="5" t="inlineStr">
        <is>
          <t>Low</t>
        </is>
      </c>
    </row>
    <row r="59" ht="94" customHeight="1">
      <c r="A59" s="15" t="inlineStr">
        <is>
          <t>PAIR-058</t>
        </is>
      </c>
      <c r="B59" s="20" t="inlineStr">
        <is>
          <t>FILM-077</t>
        </is>
      </c>
      <c r="C59" s="5" t="inlineStr">
        <is>
          <t>Jab Tak Hai Jaan</t>
        </is>
      </c>
      <c r="D59" s="17" t="n">
        <v>2012</v>
      </c>
      <c r="E59" s="5" t="inlineStr">
        <is>
          <t>Major Samar Anand</t>
        </is>
      </c>
      <c r="F59" s="5" t="inlineStr">
        <is>
          <t>Katrina Kaif</t>
        </is>
      </c>
      <c r="G59" s="5" t="inlineStr">
        <is>
          <t>Meera Thappar</t>
        </is>
      </c>
      <c r="H59" s="5" t="inlineStr">
        <is>
          <t>Female lead</t>
        </is>
      </c>
      <c r="I59" s="5" t="inlineStr">
        <is>
          <t>Yes</t>
        </is>
      </c>
      <c r="J59" s="19" t="inlineStr">
        <is>
          <t>Genuine incompatibility gradually resolved</t>
        </is>
      </c>
      <c r="K59" s="5" t="inlineStr">
        <is>
          <t>Strangers</t>
        </is>
      </c>
      <c r="L59" s="5" t="inlineStr">
        <is>
          <t>Samar, working part-time as a waiter in London, meets Meera at her engagement party to Roger.</t>
        </is>
      </c>
      <c r="M59" s="5" t="inlineStr">
        <is>
          <t>Unclear</t>
        </is>
      </c>
      <c r="N59" s="19" t="inlineStr">
        <is>
          <t>They trade Punjabi lessons for English lessons, fall in love after a night of street dancing, and Samar reconciles Meera with her estranged mother; she decides to break off her engagement.</t>
        </is>
      </c>
      <c r="O59" s="19" t="inlineStr">
        <is>
          <t>Exuberant love overshadowed by her bargains with God</t>
        </is>
      </c>
      <c r="P59" s="19" t="inlineStr">
        <is>
          <t>After Samar's accident Meera vows never to see him again if his life is spared; later, his ultimatum that she be with him or watch him risk death.</t>
        </is>
      </c>
      <c r="Q59" s="18" t="n">
        <v>7</v>
      </c>
      <c r="R59" s="19" t="inlineStr">
        <is>
          <t>Meera's vow and Samar's furious departure cause a ten-year rupture, and their second confrontation ends with his ultimatum.</t>
        </is>
      </c>
      <c r="S59" s="18" t="n">
        <v>5</v>
      </c>
      <c r="T59" s="5" t="inlineStr">
        <is>
          <t>Existing relationship; Fate</t>
        </is>
      </c>
      <c r="U59" s="19" t="inlineStr">
        <is>
          <t>Meera's engagement to Roger stands in the way, and two accidents shape the lovers' separation and reunion.</t>
        </is>
      </c>
      <c r="V59" s="18" t="n">
        <v>9</v>
      </c>
      <c r="W59" s="19" t="inlineStr">
        <is>
          <t>Samar's life is organised around Meera: first courtship, then a decade of daring death to defeat her vow.</t>
        </is>
      </c>
      <c r="X59" s="18" t="n">
        <v>10</v>
      </c>
      <c r="Y59" s="18" t="n">
        <v>5</v>
      </c>
      <c r="Z59" s="18" t="n">
        <v>9</v>
      </c>
      <c r="AA59" s="18" t="n">
        <v>6</v>
      </c>
      <c r="AB59" s="18" t="n">
        <v>6</v>
      </c>
      <c r="AC59" s="19" t="inlineStr">
        <is>
          <t>Interpretive reading; no fetched review assesses this pairing. The London romance has the classic Yash Chopra staging, but the vow-driven separation and Meera's restraint leave the pairing more earnest than electric.</t>
        </is>
      </c>
      <c r="AD59" s="5" t="inlineStr">
        <is>
          <t>Yes</t>
        </is>
      </c>
      <c r="AE59" s="5" t="inlineStr">
        <is>
          <t>Yes</t>
        </is>
      </c>
      <c r="AF59" s="5" t="inlineStr">
        <is>
          <t>No</t>
        </is>
      </c>
      <c r="AG59" s="5" t="inlineStr">
        <is>
          <t>Yes</t>
        </is>
      </c>
      <c r="AH59" s="5" t="inlineStr">
        <is>
          <t>Yes</t>
        </is>
      </c>
      <c r="AI59" s="5" t="inlineStr">
        <is>
          <t>Yes</t>
        </is>
      </c>
      <c r="AJ59" s="5" t="inlineStr">
        <is>
          <t>Partial</t>
        </is>
      </c>
      <c r="AK59" s="19" t="inlineStr">
        <is>
          <t>From a cheerful London street musician to an embittered bomb-disposal officer challenging God to kill him, and back to love.</t>
        </is>
      </c>
      <c r="AL59" s="19" t="inlineStr">
        <is>
          <t>From a woman bound by her bargains with God to one who believes God wants people to love and be happy.</t>
        </is>
      </c>
      <c r="AM59" s="5" t="inlineStr">
        <is>
          <t>Meera travels to Kashmir; Samar defuses his last bomb and proposes.</t>
        </is>
      </c>
      <c r="AN59" s="5" t="inlineStr">
        <is>
          <t>Partial</t>
        </is>
      </c>
      <c r="AO59" s="5" t="inlineStr">
        <is>
          <t>Happy</t>
        </is>
      </c>
      <c r="AP59" s="5" t="n"/>
      <c r="AQ59" s="19" t="inlineStr">
        <is>
          <t>Yash Chopra's last film pits romantic love against religious bargaining: Meera's vows separate the lovers, and Samar's answer is to court death daily. The conflict is genuinely between the couple, and its resolution requires the heroine to revise her faith rather than the hero to change.</t>
        </is>
      </c>
      <c r="AR59" s="19" t="inlineStr">
        <is>
          <t>Taran Adarsh (4/5) found the complex love story more gripping as it went on, and Shabana Ansari (DNA) said Khan 'can still convey love and passion in a fleeting look'. A modern reading sees Samar's ultimatum as emotional coercion.</t>
        </is>
      </c>
      <c r="AS59" s="5" t="inlineStr">
        <is>
          <t>SOURCE-080</t>
        </is>
      </c>
      <c r="AT59" s="5" t="inlineStr">
        <is>
          <t>Medium</t>
        </is>
      </c>
    </row>
    <row r="60" ht="79" customHeight="1">
      <c r="A60" s="15" t="inlineStr">
        <is>
          <t>PAIR-059</t>
        </is>
      </c>
      <c r="B60" s="20" t="inlineStr">
        <is>
          <t>FILM-077</t>
        </is>
      </c>
      <c r="C60" s="5" t="inlineStr">
        <is>
          <t>Jab Tak Hai Jaan</t>
        </is>
      </c>
      <c r="D60" s="17" t="n">
        <v>2012</v>
      </c>
      <c r="E60" s="5" t="inlineStr">
        <is>
          <t>Major Samar Anand</t>
        </is>
      </c>
      <c r="F60" s="5" t="inlineStr">
        <is>
          <t>Anushka Sharma</t>
        </is>
      </c>
      <c r="G60" s="5" t="inlineStr">
        <is>
          <t>Akira Rai</t>
        </is>
      </c>
      <c r="H60" s="5" t="inlineStr">
        <is>
          <t>Second female lead</t>
        </is>
      </c>
      <c r="I60" s="5" t="inlineStr">
        <is>
          <t>Partial</t>
        </is>
      </c>
      <c r="J60" s="19" t="inlineStr">
        <is>
          <t>Unrequited love</t>
        </is>
      </c>
      <c r="K60" s="5" t="inlineStr">
        <is>
          <t>Strangers</t>
        </is>
      </c>
      <c r="L60" s="5" t="inlineStr">
        <is>
          <t>Samar rescues Akira, a Discovery Channel filmmaker, after she dives into Pangong Lake, leaving his jacket and diary with her.</t>
        </is>
      </c>
      <c r="M60" s="5" t="inlineStr">
        <is>
          <t>Akira</t>
        </is>
      </c>
      <c r="N60" s="19" t="inlineStr">
        <is>
          <t>After reading his diary she films his bomb-disposal squad and falls for him; he does not reciprocate because he still loves Meera.</t>
        </is>
      </c>
      <c r="O60" s="19" t="inlineStr">
        <is>
          <t>Akira's admiration against Samar's closed heart</t>
        </is>
      </c>
      <c r="P60" s="19" t="inlineStr">
        <is>
          <t>Samar's unresolved love for Meera.</t>
        </is>
      </c>
      <c r="Q60" s="18" t="n">
        <v>3</v>
      </c>
      <c r="R60" s="19" t="inlineStr">
        <is>
          <t>Samar gently rebuffs Akira; they remain close collaborators.</t>
        </is>
      </c>
      <c r="S60" s="18" t="n">
        <v>4</v>
      </c>
      <c r="T60" s="5" t="inlineStr">
        <is>
          <t>Existing relationship</t>
        </is>
      </c>
      <c r="U60" s="19" t="inlineStr">
        <is>
          <t>Samar's enduring love for Meera is the only obstacle.</t>
        </is>
      </c>
      <c r="V60" s="18" t="n">
        <v>2</v>
      </c>
      <c r="W60" s="19" t="inlineStr">
        <is>
          <t>Samar has no romantic identity towards Akira.</t>
        </is>
      </c>
      <c r="X60" s="18" t="n">
        <v>4</v>
      </c>
      <c r="Y60" s="18" t="n">
        <v>7</v>
      </c>
      <c r="Z60" s="18" t="n">
        <v>2</v>
      </c>
      <c r="AA60" s="18" t="n">
        <v>8</v>
      </c>
      <c r="AB60" s="18" t="n">
        <v>7</v>
      </c>
      <c r="AC60" s="19" t="inlineStr">
        <is>
          <t>Interpretive reading; no fetched review assesses this pairing. Akira's brash flirtation with the older soldier gives the film its liveliest banter, and Sharma's energy plays well against Khan's reserve.</t>
        </is>
      </c>
      <c r="AD60" s="5" t="inlineStr">
        <is>
          <t>Unclear</t>
        </is>
      </c>
      <c r="AE60" s="5" t="inlineStr">
        <is>
          <t>No</t>
        </is>
      </c>
      <c r="AF60" s="5" t="inlineStr">
        <is>
          <t>No</t>
        </is>
      </c>
      <c r="AG60" s="5" t="inlineStr">
        <is>
          <t>Partial</t>
        </is>
      </c>
      <c r="AH60" s="5" t="inlineStr">
        <is>
          <t>Yes</t>
        </is>
      </c>
      <c r="AI60" s="5" t="inlineStr">
        <is>
          <t>Yes</t>
        </is>
      </c>
      <c r="AJ60" s="5" t="inlineStr">
        <is>
          <t>Yes</t>
        </is>
      </c>
      <c r="AK60" s="19" t="inlineStr">
        <is>
          <t>Her documentary draws Samar back to London, leading to the accident and his reunion with Meera.</t>
        </is>
      </c>
      <c r="AL60" s="19" t="inlineStr">
        <is>
          <t>From an impulsive filmmaker infatuated with Samar to the woman who reunites him with Meera.</t>
        </is>
      </c>
      <c r="AM60" s="5" t="inlineStr">
        <is>
          <t>Akira bids farewell as Meera goes to Samar.</t>
        </is>
      </c>
      <c r="AN60" s="5" t="inlineStr">
        <is>
          <t>No</t>
        </is>
      </c>
      <c r="AO60" s="5" t="inlineStr">
        <is>
          <t>Unresolved</t>
        </is>
      </c>
      <c r="AP60" s="5" t="n"/>
      <c r="AQ60" s="19" t="inlineStr">
        <is>
          <t>Akira is the modern, forthright counterpart to Meera's faith-bound reserve. Her love goes unreturned, but she becomes the engine of the lovers' reunion.</t>
        </is>
      </c>
      <c r="AR60" s="19" t="inlineStr">
        <is>
          <t>Anushka Sharma was one of the film's main award winners, though some critics' spoof awards nominated both her and Kaif. No reading of the pair itself was found.</t>
        </is>
      </c>
      <c r="AS60" s="5" t="inlineStr">
        <is>
          <t>SOURCE-080</t>
        </is>
      </c>
      <c r="AT60" s="5" t="inlineStr">
        <is>
          <t>Medium</t>
        </is>
      </c>
    </row>
    <row r="61" ht="94" customHeight="1">
      <c r="A61" s="15" t="inlineStr">
        <is>
          <t>PAIR-060</t>
        </is>
      </c>
      <c r="B61" s="20" t="inlineStr">
        <is>
          <t>FILM-079</t>
        </is>
      </c>
      <c r="C61" s="5" t="inlineStr">
        <is>
          <t>Chennai Express</t>
        </is>
      </c>
      <c r="D61" s="17" t="n">
        <v>2013</v>
      </c>
      <c r="E61" s="5" t="inlineStr">
        <is>
          <t>Rahul Mithaiwala</t>
        </is>
      </c>
      <c r="F61" s="5" t="inlineStr">
        <is>
          <t>Deepika Padukone</t>
        </is>
      </c>
      <c r="G61" s="5" t="inlineStr">
        <is>
          <t>Meenalochini "Meenamma" Azhagusundaram</t>
        </is>
      </c>
      <c r="H61" s="5" t="inlineStr">
        <is>
          <t>Female lead</t>
        </is>
      </c>
      <c r="I61" s="5" t="inlineStr">
        <is>
          <t>Yes</t>
        </is>
      </c>
      <c r="J61" s="19" t="inlineStr">
        <is>
          <t>Playful conflict masking attraction</t>
        </is>
      </c>
      <c r="K61" s="5" t="inlineStr">
        <is>
          <t>Strangers</t>
        </is>
      </c>
      <c r="L61" s="5" t="inlineStr">
        <is>
          <t>Rahul helps Meenamma and her four cousins board the moving Chennai Express, a spoof of the train scene in Dilwale Dulhania Le Jayenge.</t>
        </is>
      </c>
      <c r="M61" s="5" t="inlineStr">
        <is>
          <t>Meenamma</t>
        </is>
      </c>
      <c r="N61" s="19" t="inlineStr">
        <is>
          <t>Meenamma presents Rahul as her lover to escape a forced marriage; they flee together, quarrel, pose as a married couple in a village and scatter his grandfather's ashes, and Rahul takes her home to fight for her.</t>
        </is>
      </c>
      <c r="O61" s="19" t="inlineStr">
        <is>
          <t>Comic bickering across a language barrier turning to love</t>
        </is>
      </c>
      <c r="P61" s="19" t="inlineStr">
        <is>
          <t>Rahul's reluctance and repeated attempts to escape.</t>
        </is>
      </c>
      <c r="Q61" s="18" t="n">
        <v>5</v>
      </c>
      <c r="R61" s="19" t="inlineStr">
        <is>
          <t>They quarrel and part ways once, and Rahul keeps trying to leave, but the conflict is largely comic.</t>
        </is>
      </c>
      <c r="S61" s="18" t="n">
        <v>9</v>
      </c>
      <c r="T61" s="5" t="inlineStr">
        <is>
          <t>Family; Villain; Existing relationship</t>
        </is>
      </c>
      <c r="U61" s="19" t="inlineStr">
        <is>
          <t>Her father, a powerful crime boss, has fixed her marriage to the gangster Tangaballi, whose men and sickle-wielding henchmen pursue the couple.</t>
        </is>
      </c>
      <c r="V61" s="18" t="n">
        <v>7</v>
      </c>
      <c r="W61" s="19" t="inlineStr">
        <is>
          <t>Rahul begins as an unheroic, reluctant bachelor and earns lover-hero status only at the climax, in a self-parody of Khan's romantic image.</t>
        </is>
      </c>
      <c r="X61" s="18" t="n">
        <v>8</v>
      </c>
      <c r="Y61" s="18" t="n">
        <v>6</v>
      </c>
      <c r="Z61" s="18" t="n">
        <v>7</v>
      </c>
      <c r="AA61" s="18" t="n">
        <v>7</v>
      </c>
      <c r="AB61" s="18" t="n">
        <v>8</v>
      </c>
      <c r="AC61" s="19" t="inlineStr">
        <is>
          <t>Interpretive reading; no fetched review assesses this pairing. The road-comedy sparring between Rahul and Meenamma drives the film, and Padukone's comic timing matches Khan's, making the bickering read as attraction.</t>
        </is>
      </c>
      <c r="AD61" s="5" t="inlineStr">
        <is>
          <t>Yes</t>
        </is>
      </c>
      <c r="AE61" s="5" t="inlineStr">
        <is>
          <t>Partial</t>
        </is>
      </c>
      <c r="AF61" s="5" t="inlineStr">
        <is>
          <t>No</t>
        </is>
      </c>
      <c r="AG61" s="5" t="inlineStr">
        <is>
          <t>Yes</t>
        </is>
      </c>
      <c r="AH61" s="5" t="inlineStr">
        <is>
          <t>Yes</t>
        </is>
      </c>
      <c r="AI61" s="5" t="inlineStr">
        <is>
          <t>Yes</t>
        </is>
      </c>
      <c r="AJ61" s="5" t="inlineStr">
        <is>
          <t>Yes</t>
        </is>
      </c>
      <c r="AK61" s="19" t="inlineStr">
        <is>
          <t>From a self-centred bachelor to a 'common man' who takes Tangaballi's blows for love.</t>
        </is>
      </c>
      <c r="AL61" s="19" t="inlineStr">
        <is>
          <t>From a fugitive bride who uses Rahul to a woman whose choice her father accepts.</t>
        </is>
      </c>
      <c r="AM61" s="5" t="inlineStr">
        <is>
          <t>Rahul defeats Tangaballi and Durgesh allows him to marry Meenamma.</t>
        </is>
      </c>
      <c r="AN61" s="5" t="inlineStr">
        <is>
          <t>Partial</t>
        </is>
      </c>
      <c r="AO61" s="5" t="inlineStr">
        <is>
          <t>Happy</t>
        </is>
      </c>
      <c r="AP61" s="5" t="n"/>
      <c r="AQ61" s="19" t="inlineStr">
        <is>
          <t>Chennai Express turns Khan's romantic iconography into comedy: the DDLJ train scene is spoofed at the outset, and the reluctant Rahul must earn the heroism his persona once assumed. The romance also stages a North–South language and culture gap that love is said to overcome.</t>
        </is>
      </c>
      <c r="AR61" s="19" t="inlineStr">
        <is>
          <t>Reviews were mixed. A modern reading notes that humour at the expense of Tamil speech and customs sits uneasily with the film's message that love knows no regional barriers.</t>
        </is>
      </c>
      <c r="AS61" s="5" t="inlineStr">
        <is>
          <t>SOURCE-082</t>
        </is>
      </c>
      <c r="AT61" s="5" t="inlineStr">
        <is>
          <t>Medium</t>
        </is>
      </c>
    </row>
    <row r="62" ht="94" customHeight="1">
      <c r="A62" s="15" t="inlineStr">
        <is>
          <t>PAIR-061</t>
        </is>
      </c>
      <c r="B62" s="20" t="inlineStr">
        <is>
          <t>FILM-081</t>
        </is>
      </c>
      <c r="C62" s="5" t="inlineStr">
        <is>
          <t>Happy New Year</t>
        </is>
      </c>
      <c r="D62" s="17" t="n">
        <v>2014</v>
      </c>
      <c r="E62" s="5" t="inlineStr">
        <is>
          <t>Chandramohan "Charlie" Manohar Sharma</t>
        </is>
      </c>
      <c r="F62" s="5" t="inlineStr">
        <is>
          <t>Deepika Padukone</t>
        </is>
      </c>
      <c r="G62" s="5" t="inlineStr">
        <is>
          <t>Mohini Joshi</t>
        </is>
      </c>
      <c r="H62" s="5" t="inlineStr">
        <is>
          <t>Female lead</t>
        </is>
      </c>
      <c r="I62" s="5" t="inlineStr">
        <is>
          <t>Yes</t>
        </is>
      </c>
      <c r="J62" s="19" t="inlineStr">
        <is>
          <t>Romance subordinate to another genre</t>
        </is>
      </c>
      <c r="K62" s="5" t="inlineStr">
        <is>
          <t>Strangers</t>
        </is>
      </c>
      <c r="L62" s="5" t="inlineStr">
        <is>
          <t>Nandu enlists Mohini, a bar dancer, to train the team for the World Dance Championship.</t>
        </is>
      </c>
      <c r="M62" s="5" t="inlineStr">
        <is>
          <t>Mohini</t>
        </is>
      </c>
      <c r="N62" s="19" t="inlineStr">
        <is>
          <t>Mohini develops feelings for Charlie while training the team; he reveals the heist and his father's suicide, she joins the plan, and at the opening of her dance school he proposes with a ring made from one of the diamonds.</t>
        </is>
      </c>
      <c r="O62" s="19" t="inlineStr">
        <is>
          <t>Her feelings for a man consumed by revenge</t>
        </is>
      </c>
      <c r="P62" s="19" t="inlineStr">
        <is>
          <t>Charlie's concealment of the heist and Mohini's refusal to abandon the finals.</t>
        </is>
      </c>
      <c r="Q62" s="18" t="n">
        <v>4</v>
      </c>
      <c r="R62" s="19" t="inlineStr">
        <is>
          <t>The heist secret and Mohini's decision to dance rather than flee split the group, but the couple is reconciled on stage.</t>
        </is>
      </c>
      <c r="S62" s="18" t="n">
        <v>3</v>
      </c>
      <c r="T62" s="5" t="inlineStr">
        <is>
          <t>Villain</t>
        </is>
      </c>
      <c r="U62" s="19" t="inlineStr">
        <is>
          <t>Grover's scheming threatens the team but not the romance directly.</t>
        </is>
      </c>
      <c r="V62" s="18" t="n">
        <v>3</v>
      </c>
      <c r="W62" s="19" t="inlineStr">
        <is>
          <t>Charlie is driven by revenge; the romance is a late addition.</t>
        </is>
      </c>
      <c r="X62" s="18" t="n">
        <v>3</v>
      </c>
      <c r="Y62" s="18" t="n">
        <v>6</v>
      </c>
      <c r="Z62" s="18" t="n">
        <v>6</v>
      </c>
      <c r="AA62" s="18" t="n">
        <v>7</v>
      </c>
      <c r="AB62" s="18" t="n">
        <v>6</v>
      </c>
      <c r="AC62" s="19" t="inlineStr">
        <is>
          <t>Interpretive reading; no fetched review assesses this pairing. Mohini's dance lessons give the pair some charm, but the heist-ensemble format keeps the romance secondary and broad.</t>
        </is>
      </c>
      <c r="AD62" s="5" t="inlineStr">
        <is>
          <t>Unclear</t>
        </is>
      </c>
      <c r="AE62" s="5" t="inlineStr">
        <is>
          <t>Partial</t>
        </is>
      </c>
      <c r="AF62" s="5" t="inlineStr">
        <is>
          <t>No</t>
        </is>
      </c>
      <c r="AG62" s="5" t="inlineStr">
        <is>
          <t>Yes</t>
        </is>
      </c>
      <c r="AH62" s="5" t="inlineStr">
        <is>
          <t>No</t>
        </is>
      </c>
      <c r="AI62" s="5" t="inlineStr">
        <is>
          <t>No</t>
        </is>
      </c>
      <c r="AJ62" s="5" t="inlineStr">
        <is>
          <t>Yes</t>
        </is>
      </c>
      <c r="AK62" s="19" t="inlineStr">
        <is>
          <t>Revenge gives way to shared triumph and a proposal.</t>
        </is>
      </c>
      <c r="AL62" s="19" t="inlineStr">
        <is>
          <t>From bar dancer to champion and dance-school owner whose integrity changes the team's plan.</t>
        </is>
      </c>
      <c r="AM62" s="5" t="inlineStr">
        <is>
          <t>Charlie proposes to Mohini with a diamond ring at her school's opening.</t>
        </is>
      </c>
      <c r="AN62" s="5" t="inlineStr">
        <is>
          <t>Partial</t>
        </is>
      </c>
      <c r="AO62" s="5" t="inlineStr">
        <is>
          <t>Happy</t>
        </is>
      </c>
      <c r="AP62" s="5" t="n"/>
      <c r="AQ62" s="19" t="inlineStr">
        <is>
          <t>The romance is decorative in a heist caper, though Mohini's insistence on dancing for India turns the gang's escape into the film's patriotic climax.</t>
        </is>
      </c>
      <c r="AR62" s="19" t="inlineStr">
        <is>
          <t>No reading of the pair was found.</t>
        </is>
      </c>
      <c r="AS62" s="5" t="inlineStr">
        <is>
          <t>SOURCE-084</t>
        </is>
      </c>
      <c r="AT62" s="5" t="inlineStr">
        <is>
          <t>Low</t>
        </is>
      </c>
    </row>
    <row r="63" ht="124" customHeight="1">
      <c r="A63" s="15" t="inlineStr">
        <is>
          <t>PAIR-062</t>
        </is>
      </c>
      <c r="B63" s="20" t="inlineStr">
        <is>
          <t>FILM-082</t>
        </is>
      </c>
      <c r="C63" s="5" t="inlineStr">
        <is>
          <t>Dilwale</t>
        </is>
      </c>
      <c r="D63" s="17" t="n">
        <v>2015</v>
      </c>
      <c r="E63" s="5" t="inlineStr">
        <is>
          <t>Raj "Kaali" Bakshi</t>
        </is>
      </c>
      <c r="F63" s="5" t="inlineStr">
        <is>
          <t>Kajol</t>
        </is>
      </c>
      <c r="G63" s="5" t="inlineStr">
        <is>
          <t>Meera Malik</t>
        </is>
      </c>
      <c r="H63" s="5" t="inlineStr">
        <is>
          <t>Female lead</t>
        </is>
      </c>
      <c r="I63" s="5" t="inlineStr">
        <is>
          <t>Yes</t>
        </is>
      </c>
      <c r="J63" s="19" t="inlineStr">
        <is>
          <t>Relationship damaged by mistrust</t>
        </is>
      </c>
      <c r="K63" s="5" t="inlineStr">
        <is>
          <t>Children of rival crime bosses</t>
        </is>
      </c>
      <c r="L63" s="5" t="inlineStr">
        <is>
          <t>In Sofia, Kaali meets Meera during one of his gang's chases with his father's rival, Dev Malik.</t>
        </is>
      </c>
      <c r="M63" s="5" t="inlineStr">
        <is>
          <t>Kaali</t>
        </is>
      </c>
      <c r="N63" s="19" t="inlineStr">
        <is>
          <t>Kaali falls for Meera; she reveals herself as Malik's daughter and spares him, then declares her love after he saves her from falling off a cliff. When their fathers kill each other she believes Kaali betrayed her and shoots him. Fifteen years later their younger siblings' romance brings them together again.</t>
        </is>
      </c>
      <c r="O63" s="19" t="inlineStr">
        <is>
          <t>Passionate love shattered by a misread betrayal</t>
        </is>
      </c>
      <c r="P63" s="19" t="inlineStr">
        <is>
          <t>Meera's belief that Kaali killed her father.</t>
        </is>
      </c>
      <c r="Q63" s="18" t="n">
        <v>8</v>
      </c>
      <c r="R63" s="19" t="inlineStr">
        <is>
          <t>Meera shoots Kaali and later tries to keep her sister from his brother; the rift lasts fifteen years until she learns the truth.</t>
        </is>
      </c>
      <c r="S63" s="18" t="n">
        <v>8</v>
      </c>
      <c r="T63" s="5" t="inlineStr">
        <is>
          <t>Family; Crime; Villain</t>
        </is>
      </c>
      <c r="U63" s="19" t="inlineStr">
        <is>
          <t>Their fathers are warring crime bosses who die in a shootout, and the drug baron King's attack nearly kills Meera.</t>
        </is>
      </c>
      <c r="V63" s="18" t="n">
        <v>8</v>
      </c>
      <c r="W63" s="19" t="inlineStr">
        <is>
          <t>Kaali is a romantic hero in both timelines, though the family and gangster plots share the film.</t>
        </is>
      </c>
      <c r="X63" s="18" t="n">
        <v>7</v>
      </c>
      <c r="Y63" s="18" t="n">
        <v>3</v>
      </c>
      <c r="Z63" s="18" t="n">
        <v>8</v>
      </c>
      <c r="AA63" s="18" t="n">
        <v>7</v>
      </c>
      <c r="AB63" s="18" t="n">
        <v>8</v>
      </c>
      <c r="AC63" s="19" t="inlineStr">
        <is>
          <t>Reviewers praised the Khan–Kajol chemistry; Shubha Shetty-Saha (Mid-Day) said it 'refuses to simmer down even after all these years'. Interpretive score.</t>
        </is>
      </c>
      <c r="AD63" s="5" t="inlineStr">
        <is>
          <t>Unclear</t>
        </is>
      </c>
      <c r="AE63" s="5" t="inlineStr">
        <is>
          <t>Yes</t>
        </is>
      </c>
      <c r="AF63" s="5" t="inlineStr">
        <is>
          <t>No</t>
        </is>
      </c>
      <c r="AG63" s="5" t="inlineStr">
        <is>
          <t>Yes</t>
        </is>
      </c>
      <c r="AH63" s="5" t="inlineStr">
        <is>
          <t>Yes</t>
        </is>
      </c>
      <c r="AI63" s="5" t="inlineStr">
        <is>
          <t>Yes</t>
        </is>
      </c>
      <c r="AJ63" s="5" t="inlineStr">
        <is>
          <t>Partial</t>
        </is>
      </c>
      <c r="AK63" s="19" t="inlineStr">
        <is>
          <t>From a crime boss's son to a car mechanic hiding his past, who fights again as Kaali to protect his family.</t>
        </is>
      </c>
      <c r="AL63" s="19" t="inlineStr">
        <is>
          <t>From a gangster's daughter who shoots her lover to a woman who apologises and takes a bullet for him.</t>
        </is>
      </c>
      <c r="AM63" s="5" t="inlineStr">
        <is>
          <t>Meera takes King's bullet for Raj, recovers and reunites with him.</t>
        </is>
      </c>
      <c r="AN63" s="5" t="inlineStr">
        <is>
          <t>Partial</t>
        </is>
      </c>
      <c r="AO63" s="5" t="inlineStr">
        <is>
          <t>Happy</t>
        </is>
      </c>
      <c r="AP63" s="5" t="n"/>
      <c r="AQ63" s="19" t="inlineStr">
        <is>
          <t>Dilwale trades on the Khan–Kajol legacy, but its romance is built on mistrust: the lovers are children of warring gangsters, and a single misread moment makes Meera shoot Kaali. Reconciliation requires her apology and sacrifice.</t>
        </is>
      </c>
      <c r="AR63" s="19" t="inlineStr">
        <is>
          <t>Critics praised the chemistry while criticising the screenplay and runtime (20% on Rotten Tomatoes). A modern reading notes that the heroine carries the burden of error and atonement.</t>
        </is>
      </c>
      <c r="AS63" s="5" t="inlineStr">
        <is>
          <t>SOURCE-085</t>
        </is>
      </c>
      <c r="AT63" s="5" t="inlineStr">
        <is>
          <t>Medium</t>
        </is>
      </c>
    </row>
    <row r="64" ht="94" customHeight="1">
      <c r="A64" s="15" t="inlineStr">
        <is>
          <t>PAIR-063</t>
        </is>
      </c>
      <c r="B64" s="20" t="inlineStr">
        <is>
          <t>FILM-088</t>
        </is>
      </c>
      <c r="C64" s="5" t="inlineStr">
        <is>
          <t>Jab Harry Met Sejal</t>
        </is>
      </c>
      <c r="D64" s="17" t="n">
        <v>2017</v>
      </c>
      <c r="E64" s="5" t="inlineStr">
        <is>
          <t>Harinder "Harry" Singh Nehra</t>
        </is>
      </c>
      <c r="F64" s="5" t="inlineStr">
        <is>
          <t>Anushka Sharma</t>
        </is>
      </c>
      <c r="G64" s="5" t="inlineStr">
        <is>
          <t>Sejal Zaveri</t>
        </is>
      </c>
      <c r="H64" s="5" t="inlineStr">
        <is>
          <t>Female lead</t>
        </is>
      </c>
      <c r="I64" s="5" t="inlineStr">
        <is>
          <t>Yes</t>
        </is>
      </c>
      <c r="J64" s="19" t="inlineStr">
        <is>
          <t>Playful conflict masking attraction</t>
        </is>
      </c>
      <c r="K64" s="5" t="inlineStr">
        <is>
          <t>Tour guide and client</t>
        </is>
      </c>
      <c r="L64" s="5" t="inlineStr">
        <is>
          <t>Sejal, a Gujarati lawyer who loses her engagement ring on a European tour, stays behind and enlists Harry, her family's guide, to retrace her steps.</t>
        </is>
      </c>
      <c r="M64" s="5" t="inlineStr">
        <is>
          <t>Sejal</t>
        </is>
      </c>
      <c r="N64" s="19" t="inlineStr">
        <is>
          <t>Their bickering turns into closeness across Europe; Sejal hides that she has found the ring to prolong the trip, Harry refuses to cross a line with her, and after she flies home he follows her to India, where her wedding has been called off.</t>
        </is>
      </c>
      <c r="O64" s="19" t="inlineStr">
        <is>
          <t>A cynical, lonely womaniser and a headstrong, naive traveller draw out each other's vulnerability</t>
        </is>
      </c>
      <c r="P64" s="19" t="inlineStr">
        <is>
          <t>Harry's inferiority complex and refusal to admit his feelings; Sejal's engagement.</t>
        </is>
      </c>
      <c r="Q64" s="18" t="n">
        <v>5</v>
      </c>
      <c r="R64" s="19" t="inlineStr">
        <is>
          <t>Constant bickering and a heated argument over where they stand lead Sejal to go home; the conflict is Harry's evasion rather than hostility.</t>
        </is>
      </c>
      <c r="S64" s="18" t="n">
        <v>4</v>
      </c>
      <c r="T64" s="5" t="inlineStr">
        <is>
          <t>Existing relationship; Distance</t>
        </is>
      </c>
      <c r="U64" s="19" t="inlineStr">
        <is>
          <t>Sejal's engagement to Rupen and her family's call to return to India separate them.</t>
        </is>
      </c>
      <c r="V64" s="18" t="n">
        <v>7</v>
      </c>
      <c r="W64" s="19" t="inlineStr">
        <is>
          <t>Harry is a romantic lead whose healing comes through love, though he begins as a jaded womaniser and hesitates until the end.</t>
        </is>
      </c>
      <c r="X64" s="18" t="n">
        <v>10</v>
      </c>
      <c r="Y64" s="18" t="n">
        <v>7</v>
      </c>
      <c r="Z64" s="18" t="n">
        <v>8</v>
      </c>
      <c r="AA64" s="18" t="n">
        <v>7</v>
      </c>
      <c r="AB64" s="18" t="n">
        <v>6</v>
      </c>
      <c r="AC64" s="19" t="inlineStr">
        <is>
          <t>Interpretive reading; no fetched review assesses this pairing. The travelogue romance depends on the leads' banter, which Khan and Sharma keep likeable even where the script meanders.</t>
        </is>
      </c>
      <c r="AD64" s="5" t="inlineStr">
        <is>
          <t>Yes</t>
        </is>
      </c>
      <c r="AE64" s="5" t="inlineStr">
        <is>
          <t>Partial</t>
        </is>
      </c>
      <c r="AF64" s="5" t="inlineStr">
        <is>
          <t>Unclear</t>
        </is>
      </c>
      <c r="AG64" s="5" t="inlineStr">
        <is>
          <t>Yes</t>
        </is>
      </c>
      <c r="AH64" s="5" t="inlineStr">
        <is>
          <t>Yes</t>
        </is>
      </c>
      <c r="AI64" s="5" t="inlineStr">
        <is>
          <t>Partial</t>
        </is>
      </c>
      <c r="AJ64" s="5" t="inlineStr">
        <is>
          <t>Yes</t>
        </is>
      </c>
      <c r="AK64" s="19" t="inlineStr">
        <is>
          <t>From a rootless womaniser hiding homesickness to a man who declares his love and returns to his village.</t>
        </is>
      </c>
      <c r="AL64" s="19" t="inlineStr">
        <is>
          <t>From a sheltered fiancée to a woman who chooses her own partner.</t>
        </is>
      </c>
      <c r="AM64" s="5" t="inlineStr">
        <is>
          <t>They decide to marry and visit Harry's family in Nurmahal.</t>
        </is>
      </c>
      <c r="AN64" s="5" t="inlineStr">
        <is>
          <t>Partial</t>
        </is>
      </c>
      <c r="AO64" s="5" t="inlineStr">
        <is>
          <t>Happy</t>
        </is>
      </c>
      <c r="AP64" s="5" t="n"/>
      <c r="AQ64" s="19" t="inlineStr">
        <is>
          <t>Imtiaz Ali casts Khan as a jaded outsider who must be healed by love, yet keeps him chaste with the woman he loves. The real obstacle is Harry's sense of unworthiness more than Sejal's fiancé, and the romance doubles as his homecoming.</t>
        </is>
      </c>
      <c r="AR64" s="19" t="inlineStr">
        <is>
          <t>Anupama Chopra wrote that Imtiaz Ali could not fit Khan's persona to his own bruised brand of romance: 'Twenty-two years later, Shah Rukh is still Raj – tender, sensitive and resolutely chaste'. A modern reading sees a romance that promises moral complexity but reverts to the chaste lover-boy ideal.</t>
        </is>
      </c>
      <c r="AS64" s="5" t="inlineStr">
        <is>
          <t>SOURCE-091</t>
        </is>
      </c>
      <c r="AT64" s="5" t="inlineStr">
        <is>
          <t>Medium</t>
        </is>
      </c>
    </row>
    <row r="65" ht="79" customHeight="1">
      <c r="A65" s="15" t="inlineStr">
        <is>
          <t>PAIR-064</t>
        </is>
      </c>
      <c r="B65" s="20" t="inlineStr">
        <is>
          <t>FILM-089</t>
        </is>
      </c>
      <c r="C65" s="5" t="inlineStr">
        <is>
          <t>Zero</t>
        </is>
      </c>
      <c r="D65" s="17" t="n">
        <v>2018</v>
      </c>
      <c r="E65" s="5" t="inlineStr">
        <is>
          <t>Bauua Singh</t>
        </is>
      </c>
      <c r="F65" s="5" t="inlineStr">
        <is>
          <t>Anushka Sharma</t>
        </is>
      </c>
      <c r="G65" s="5" t="inlineStr">
        <is>
          <t>Aafia Yusufzai Bhinder</t>
        </is>
      </c>
      <c r="H65" s="5" t="inlineStr">
        <is>
          <t>Female lead</t>
        </is>
      </c>
      <c r="I65" s="5" t="inlineStr">
        <is>
          <t>Yes</t>
        </is>
      </c>
      <c r="J65" s="19" t="inlineStr">
        <is>
          <t>Love triangle</t>
        </is>
      </c>
      <c r="K65" s="5" t="inlineStr">
        <is>
          <t>Matrimonial match</t>
        </is>
      </c>
      <c r="L65" s="5" t="inlineStr">
        <is>
          <t>Through matrimonial agencies, Bauua, a short man from Meerut, finds Aafia, a scientist with cerebral palsy.</t>
        </is>
      </c>
      <c r="M65" s="5" t="inlineStr">
        <is>
          <t>Bauua</t>
        </is>
      </c>
      <c r="N65" s="19" t="inlineStr">
        <is>
          <t>They fall in love, but Bauua dumps her after five months; when Aafia seeks him out their parents fix the marriage, and he flees the wedding to win a contest to meet the star Babita.</t>
        </is>
      </c>
      <c r="O65" s="19" t="inlineStr">
        <is>
          <t>Aafia's steady love against Bauua's immaturity and insecurity</t>
        </is>
      </c>
      <c r="P65" s="19" t="inlineStr">
        <is>
          <t>Bauua's abandonment of Aafia, twice.</t>
        </is>
      </c>
      <c r="Q65" s="18" t="n">
        <v>8</v>
      </c>
      <c r="R65" s="19" t="inlineStr">
        <is>
          <t>Bauua abandons Aafia after five months and again on their wedding day; she later refuses to see him.</t>
        </is>
      </c>
      <c r="S65" s="18" t="n">
        <v>4</v>
      </c>
      <c r="T65" s="5" t="inlineStr">
        <is>
          <t>Other; Distance</t>
        </is>
      </c>
      <c r="U65" s="19" t="inlineStr">
        <is>
          <t>Bauua's fixation on Babita, Aafia's engagement to her colleague Srinivasan, and his Mars mission keep them apart.</t>
        </is>
      </c>
      <c r="V65" s="18" t="n">
        <v>5</v>
      </c>
      <c r="W65" s="19" t="inlineStr">
        <is>
          <t>Bauua becomes a devoted lover only after failing Aafia; much of the role is comic bravado and self-redemption.</t>
        </is>
      </c>
      <c r="X65" s="18" t="n">
        <v>8</v>
      </c>
      <c r="Y65" s="18" t="n">
        <v>3</v>
      </c>
      <c r="Z65" s="18" t="n">
        <v>6</v>
      </c>
      <c r="AA65" s="18" t="n">
        <v>8</v>
      </c>
      <c r="AB65" s="18" t="n">
        <v>6</v>
      </c>
      <c r="AC65" s="19" t="inlineStr">
        <is>
          <t>Interpretive reading; no fetched review assesses this pairing. Bauua's brashness against Aafia's dignity gives the pair friction and some tenderness, though the abandonment plot undercuts it.</t>
        </is>
      </c>
      <c r="AD65" s="5" t="inlineStr">
        <is>
          <t>Unclear</t>
        </is>
      </c>
      <c r="AE65" s="5" t="inlineStr">
        <is>
          <t>Yes</t>
        </is>
      </c>
      <c r="AF65" s="5" t="inlineStr">
        <is>
          <t>Unclear</t>
        </is>
      </c>
      <c r="AG65" s="5" t="inlineStr">
        <is>
          <t>Partial</t>
        </is>
      </c>
      <c r="AH65" s="5" t="inlineStr">
        <is>
          <t>Yes</t>
        </is>
      </c>
      <c r="AI65" s="5" t="inlineStr">
        <is>
          <t>Yes</t>
        </is>
      </c>
      <c r="AJ65" s="5" t="inlineStr">
        <is>
          <t>No</t>
        </is>
      </c>
      <c r="AK65" s="19" t="inlineStr">
        <is>
          <t>From a brash, insecure man who flees commitment to one who volunteers for Mars and declares he always loved her.</t>
        </is>
      </c>
      <c r="AL65" s="19" t="inlineStr">
        <is>
          <t>From a woman who seeks marriage while pregnant to one who rejects Bauua, nearly marries another man, and rushes to see him off.</t>
        </is>
      </c>
      <c r="AM65" s="5" t="inlineStr">
        <is>
          <t>Aafia reaches the launch moments before take-off; after fifteen years lost in space, Bauua's pod returns to Earth.</t>
        </is>
      </c>
      <c r="AN65" s="5" t="inlineStr">
        <is>
          <t>Unclear</t>
        </is>
      </c>
      <c r="AO65" s="5" t="inlineStr">
        <is>
          <t>Unresolved</t>
        </is>
      </c>
      <c r="AP65" s="5" t="n"/>
      <c r="AQ65" s="19" t="inlineStr">
        <is>
          <t>Zero gives Khan his least idealised lover in years: Bauua abandons a disabled partner twice and chases a film star before trying to earn Aafia back with an absurdly grand gesture. The film leans on Aafia's patience for pathos, and the resolution is suspended in space.</t>
        </is>
      </c>
      <c r="AR65" s="19" t="inlineStr">
        <is>
          <t>Critics praised Khan's energy but found the second half overwrought; Rajeev Masand felt it becomes 'an entirely different film'. A modern reading questions whether the film uses Aafia's disability to ennoble Bauua's redemption.</t>
        </is>
      </c>
      <c r="AS65" s="5" t="inlineStr">
        <is>
          <t>SOURCE-092</t>
        </is>
      </c>
      <c r="AT65" s="5" t="inlineStr">
        <is>
          <t>Medium</t>
        </is>
      </c>
    </row>
    <row r="66" ht="79" customHeight="1">
      <c r="A66" s="15" t="inlineStr">
        <is>
          <t>PAIR-065</t>
        </is>
      </c>
      <c r="B66" s="20" t="inlineStr">
        <is>
          <t>FILM-089</t>
        </is>
      </c>
      <c r="C66" s="5" t="inlineStr">
        <is>
          <t>Zero</t>
        </is>
      </c>
      <c r="D66" s="17" t="n">
        <v>2018</v>
      </c>
      <c r="E66" s="5" t="inlineStr">
        <is>
          <t>Bauua Singh</t>
        </is>
      </c>
      <c r="F66" s="5" t="inlineStr">
        <is>
          <t>Katrina Kaif</t>
        </is>
      </c>
      <c r="G66" s="5" t="inlineStr">
        <is>
          <t>Babita Kumari</t>
        </is>
      </c>
      <c r="H66" s="5" t="inlineStr">
        <is>
          <t>Second female lead</t>
        </is>
      </c>
      <c r="I66" s="5" t="inlineStr">
        <is>
          <t>Partial</t>
        </is>
      </c>
      <c r="J66" s="19" t="inlineStr">
        <is>
          <t>Love triangle</t>
        </is>
      </c>
      <c r="K66" s="5" t="inlineStr">
        <is>
          <t>Fan and film star</t>
        </is>
      </c>
      <c r="L66" s="5" t="inlineStr">
        <is>
          <t>Bauua wins a dance contest whose prize is meeting the star Babita Kumari.</t>
        </is>
      </c>
      <c r="M66" s="5" t="inlineStr">
        <is>
          <t>Unclear</t>
        </is>
      </c>
      <c r="N66" s="19" t="inlineStr">
        <is>
          <t>Babita hires Bauua for his knack for reading people; he accompanies her on shoots and helps her patch up with her unfaithful ex-boyfriend Aditya, while she tries to make him see his wrong towards Aafia.</t>
        </is>
      </c>
      <c r="O66" s="19" t="inlineStr">
        <is>
          <t>A lonely star's dependence on a devoted fan-assistant</t>
        </is>
      </c>
      <c r="P66" s="19" t="inlineStr">
        <is>
          <t>Bauua's guilt over Aafia and Babita's attachment to Aditya.</t>
        </is>
      </c>
      <c r="Q66" s="18" t="n">
        <v>5</v>
      </c>
      <c r="R66" s="19" t="inlineStr">
        <is>
          <t>Bauua starts an argument at Babita's party and she throws him out.</t>
        </is>
      </c>
      <c r="S66" s="18" t="n">
        <v>3</v>
      </c>
      <c r="T66" s="5" t="inlineStr">
        <is>
          <t>Existing relationship</t>
        </is>
      </c>
      <c r="U66" s="19" t="inlineStr">
        <is>
          <t>Babita's relationship with Aditya and Bauua's unfinished bond with Aafia.</t>
        </is>
      </c>
      <c r="V66" s="18" t="n">
        <v>2</v>
      </c>
      <c r="W66" s="19" t="inlineStr">
        <is>
          <t>The summary describes employment and companionship, not courtship.</t>
        </is>
      </c>
      <c r="X66" s="18" t="n">
        <v>3</v>
      </c>
      <c r="Y66" s="18" t="n">
        <v>5</v>
      </c>
      <c r="Z66" s="20" t="n"/>
      <c r="AA66" s="18" t="n">
        <v>6</v>
      </c>
      <c r="AB66" s="18" t="n">
        <v>4</v>
      </c>
      <c r="AC66" s="19" t="inlineStr">
        <is>
          <t>Interpretive reading; no fetched review assesses this pairing. Babita's relationship with Bauua is companionship and employment rather than romance, so there is little romantic interplay to judge.</t>
        </is>
      </c>
      <c r="AD66" s="5" t="inlineStr">
        <is>
          <t>Unclear</t>
        </is>
      </c>
      <c r="AE66" s="5" t="inlineStr">
        <is>
          <t>Partial</t>
        </is>
      </c>
      <c r="AF66" s="5" t="inlineStr">
        <is>
          <t>Unclear</t>
        </is>
      </c>
      <c r="AG66" s="5" t="inlineStr">
        <is>
          <t>Yes</t>
        </is>
      </c>
      <c r="AH66" s="5" t="inlineStr">
        <is>
          <t>Yes</t>
        </is>
      </c>
      <c r="AI66" s="5" t="inlineStr">
        <is>
          <t>No</t>
        </is>
      </c>
      <c r="AJ66" s="5" t="inlineStr">
        <is>
          <t>Partial</t>
        </is>
      </c>
      <c r="AK66" s="19" t="inlineStr">
        <is>
          <t>Her invented story about her parents makes him recognise his wrong towards Aafia.</t>
        </is>
      </c>
      <c r="AL66" s="19" t="inlineStr">
        <is>
          <t>An alcoholic star who finally breaks with the unfaithful Aditya.</t>
        </is>
      </c>
      <c r="AM66" s="5" t="inlineStr">
        <is>
          <t>Babita throws Bauua out; she later watches his launch on television.</t>
        </is>
      </c>
      <c r="AN66" s="5" t="inlineStr">
        <is>
          <t>No</t>
        </is>
      </c>
      <c r="AO66" s="5" t="inlineStr">
        <is>
          <t>Unresolved</t>
        </is>
      </c>
      <c r="AP66" s="5" t="n"/>
      <c r="AQ66" s="19" t="inlineStr">
        <is>
          <t>The lead calls this a love triangle, but the plot summary describes a detour of employment, companionship and a moral lesson rather than a romance; mutuality is not scored.</t>
        </is>
      </c>
      <c r="AR66" s="19" t="inlineStr">
        <is>
          <t>Critics widely called Babita Kaif's best performance. No reading of the pair was found.</t>
        </is>
      </c>
      <c r="AS66" s="5" t="inlineStr">
        <is>
          <t>SOURCE-092</t>
        </is>
      </c>
      <c r="AT66" s="5" t="inlineStr">
        <is>
          <t>Low</t>
        </is>
      </c>
    </row>
    <row r="67" ht="79" customHeight="1">
      <c r="A67" s="15" t="inlineStr">
        <is>
          <t>PAIR-066</t>
        </is>
      </c>
      <c r="B67" s="20" t="inlineStr">
        <is>
          <t>FILM-095</t>
        </is>
      </c>
      <c r="C67" s="5" t="inlineStr">
        <is>
          <t>Jawan</t>
        </is>
      </c>
      <c r="D67" s="17" t="n">
        <v>2023</v>
      </c>
      <c r="E67" s="5" t="inlineStr">
        <is>
          <t>Azad Rathore</t>
        </is>
      </c>
      <c r="F67" s="5" t="inlineStr">
        <is>
          <t>Nayanthara</t>
        </is>
      </c>
      <c r="G67" s="5" t="inlineStr">
        <is>
          <t>Narmada Rai</t>
        </is>
      </c>
      <c r="H67" s="5" t="inlineStr">
        <is>
          <t>Female lead</t>
        </is>
      </c>
      <c r="I67" s="5" t="inlineStr">
        <is>
          <t>Yes</t>
        </is>
      </c>
      <c r="J67" s="19" t="inlineStr">
        <is>
          <t>Relationship damaged by mistrust</t>
        </is>
      </c>
      <c r="K67" s="5" t="inlineStr">
        <is>
          <t>Adversaries, unknown to her</t>
        </is>
      </c>
      <c r="L67" s="5" t="inlineStr">
        <is>
          <t>Narmada negotiates with Azad during his metro hijacking; later her daughter Suji, looking for a husband for her mother, is impressed by Azad and arranges a meeting.</t>
        </is>
      </c>
      <c r="M67" s="5" t="inlineStr">
        <is>
          <t>Unclear</t>
        </is>
      </c>
      <c r="N67" s="19" t="inlineStr">
        <is>
          <t>After sharing their views they get engaged and marry, while Narmada is unaware that her husband is the hijacker she is hunting.</t>
        </is>
      </c>
      <c r="O67" s="19" t="inlineStr">
        <is>
          <t>Mutual understanding shadowed by his double life</t>
        </is>
      </c>
      <c r="P67" s="19" t="inlineStr">
        <is>
          <t>Azad's secret identity as the vigilante Narmada is pursuing.</t>
        </is>
      </c>
      <c r="Q67" s="18" t="n">
        <v>6</v>
      </c>
      <c r="R67" s="19" t="inlineStr">
        <is>
          <t>The marriage rests on concealment, and Narmada discovers her husband's alter ego after the wedding.</t>
        </is>
      </c>
      <c r="S67" s="18" t="n">
        <v>7</v>
      </c>
      <c r="T67" s="5" t="inlineStr">
        <is>
          <t>Villain</t>
        </is>
      </c>
      <c r="U67" s="19" t="inlineStr">
        <is>
          <t>Kalee's brother uncovers the secret, and the couple are captured and tortured.</t>
        </is>
      </c>
      <c r="V67" s="18" t="n">
        <v>3</v>
      </c>
      <c r="W67" s="19" t="inlineStr">
        <is>
          <t>Azad's mission dominates; the marriage is a subplot.</t>
        </is>
      </c>
      <c r="X67" s="18" t="n">
        <v>3</v>
      </c>
      <c r="Y67" s="18" t="n">
        <v>5</v>
      </c>
      <c r="Z67" s="18" t="n">
        <v>6</v>
      </c>
      <c r="AA67" s="18" t="n">
        <v>7</v>
      </c>
      <c r="AB67" s="18" t="n">
        <v>6</v>
      </c>
      <c r="AC67" s="19" t="inlineStr">
        <is>
          <t>Interpretive reading; Manjusha Radhakrishnan (Gulf News) praised the star power of Khan and Nayanthara. The pairing is shaped by deception and the action plot, leaving the romance brief.</t>
        </is>
      </c>
      <c r="AD67" s="5" t="inlineStr">
        <is>
          <t>Unclear</t>
        </is>
      </c>
      <c r="AE67" s="5" t="inlineStr">
        <is>
          <t>Yes</t>
        </is>
      </c>
      <c r="AF67" s="5" t="inlineStr">
        <is>
          <t>No</t>
        </is>
      </c>
      <c r="AG67" s="5" t="inlineStr">
        <is>
          <t>Yes</t>
        </is>
      </c>
      <c r="AH67" s="5" t="inlineStr">
        <is>
          <t>Partial</t>
        </is>
      </c>
      <c r="AI67" s="5" t="inlineStr">
        <is>
          <t>No</t>
        </is>
      </c>
      <c r="AJ67" s="5" t="inlineStr">
        <is>
          <t>Partial</t>
        </is>
      </c>
      <c r="AK67" s="19" t="inlineStr">
        <is>
          <t>Not documented.</t>
        </is>
      </c>
      <c r="AL67" s="19" t="inlineStr">
        <is>
          <t>From Force One negotiator to a wife who uncovers the truth about Azad and Vikram by posing as an inmate.</t>
        </is>
      </c>
      <c r="AM67" s="5" t="inlineStr">
        <is>
          <t>Captured and tortured together, then freed; the summary does not describe the marriage afterwards.</t>
        </is>
      </c>
      <c r="AN67" s="5" t="inlineStr">
        <is>
          <t>Yes</t>
        </is>
      </c>
      <c r="AO67" s="5" t="inlineStr">
        <is>
          <t>Unresolved</t>
        </is>
      </c>
      <c r="AP67" s="5" t="n"/>
      <c r="AQ67" s="19" t="inlineStr">
        <is>
          <t>The marriage is a plot device of the vigilante thriller: Azad weds the officer hunting him, and her discovery of his double life is a twist rather than a romantic crisis.</t>
        </is>
      </c>
      <c r="AR67" s="19" t="inlineStr">
        <is>
          <t>No reading of the pair was found.</t>
        </is>
      </c>
      <c r="AS67" s="5" t="inlineStr">
        <is>
          <t>SOURCE-098</t>
        </is>
      </c>
      <c r="AT67" s="5" t="inlineStr">
        <is>
          <t>Low</t>
        </is>
      </c>
    </row>
    <row r="68" ht="79" customHeight="1">
      <c r="A68" s="15" t="inlineStr">
        <is>
          <t>PAIR-067</t>
        </is>
      </c>
      <c r="B68" s="20" t="inlineStr">
        <is>
          <t>FILM-095</t>
        </is>
      </c>
      <c r="C68" s="5" t="inlineStr">
        <is>
          <t>Jawan</t>
        </is>
      </c>
      <c r="D68" s="17" t="n">
        <v>2023</v>
      </c>
      <c r="E68" s="5" t="inlineStr">
        <is>
          <t>Captain Vikram Rathore</t>
        </is>
      </c>
      <c r="F68" s="5" t="inlineStr">
        <is>
          <t>Deepika Padukone</t>
        </is>
      </c>
      <c r="G68" s="5" t="inlineStr">
        <is>
          <t>Aishwarya Rathore</t>
        </is>
      </c>
      <c r="H68" s="5" t="inlineStr">
        <is>
          <t>Special appearance</t>
        </is>
      </c>
      <c r="I68" s="5" t="inlineStr">
        <is>
          <t>No</t>
        </is>
      </c>
      <c r="J68" s="19" t="inlineStr">
        <is>
          <t>Tragic lovers</t>
        </is>
      </c>
      <c r="K68" s="5" t="inlineStr">
        <is>
          <t>Married couple</t>
        </is>
      </c>
      <c r="L68" s="5" t="inlineStr">
        <is>
          <t>Not documented.</t>
        </is>
      </c>
      <c r="M68" s="5" t="inlineStr">
        <is>
          <t>Unclear</t>
        </is>
      </c>
      <c r="N68" s="19" t="inlineStr">
        <is>
          <t>Not applicable: they are married when the flashback begins.</t>
        </is>
      </c>
      <c r="O68" s="19" t="inlineStr">
        <is>
          <t>Not documented</t>
        </is>
      </c>
      <c r="P68" s="19" t="inlineStr">
        <is>
          <t>None documented.</t>
        </is>
      </c>
      <c r="Q68" s="18" t="n">
        <v>0</v>
      </c>
      <c r="R68" s="19" t="inlineStr">
        <is>
          <t>No conflict between the couple is recorded; low score carries Low confidence.</t>
        </is>
      </c>
      <c r="S68" s="18" t="n">
        <v>10</v>
      </c>
      <c r="T68" s="5" t="inlineStr">
        <is>
          <t>Villain; Crime</t>
        </is>
      </c>
      <c r="U68" s="19" t="inlineStr">
        <is>
          <t>Kalee attacks the couple, throws Vikram from a plane and frames him as a traitor; Aishwarya is sentenced to death for killing three of Kalee's policemen.</t>
        </is>
      </c>
      <c r="V68" s="18" t="n">
        <v>3</v>
      </c>
      <c r="W68" s="19" t="inlineStr">
        <is>
          <t>Vikram is a commando whose marriage is backstory to the revenge plot.</t>
        </is>
      </c>
      <c r="X68" s="18" t="n">
        <v>3</v>
      </c>
      <c r="Y68" s="18" t="n">
        <v>7</v>
      </c>
      <c r="Z68" s="18" t="n">
        <v>8</v>
      </c>
      <c r="AA68" s="18" t="n">
        <v>8</v>
      </c>
      <c r="AB68" s="18" t="n">
        <v>7</v>
      </c>
      <c r="AC68" s="19" t="inlineStr">
        <is>
          <t>Interpretive reading; Manjusha Radhakrishnan (Gulf News) praised the chemistry between Khan and Padukone. The flashback marriage is short but carries the film's emotional weight.</t>
        </is>
      </c>
      <c r="AD68" s="5" t="inlineStr">
        <is>
          <t>Unclear</t>
        </is>
      </c>
      <c r="AE68" s="5" t="inlineStr">
        <is>
          <t>No</t>
        </is>
      </c>
      <c r="AF68" s="5" t="inlineStr">
        <is>
          <t>No</t>
        </is>
      </c>
      <c r="AG68" s="5" t="inlineStr">
        <is>
          <t>No</t>
        </is>
      </c>
      <c r="AH68" s="5" t="inlineStr">
        <is>
          <t>Yes</t>
        </is>
      </c>
      <c r="AI68" s="5" t="inlineStr">
        <is>
          <t>Yes</t>
        </is>
      </c>
      <c r="AJ68" s="5" t="inlineStr">
        <is>
          <t>Unclear</t>
        </is>
      </c>
      <c r="AK68" s="19" t="inlineStr">
        <is>
          <t>Vikram loses his memory and lives with a tribe for thirty years before recovering it and avenging her.</t>
        </is>
      </c>
      <c r="AL68" s="19" t="inlineStr">
        <is>
          <t>Kills three corrupt policemen, is sentenced to death, and charges her son with proving Vikram's innocence.</t>
        </is>
      </c>
      <c r="AM68" s="5" t="inlineStr">
        <is>
          <t>Aishwarya is hanged five years after Azad's birth; Vikram and Azad later hang Kalee.</t>
        </is>
      </c>
      <c r="AN68" s="5" t="inlineStr">
        <is>
          <t>Yes</t>
        </is>
      </c>
      <c r="AO68" s="5" t="inlineStr">
        <is>
          <t>Tragic</t>
        </is>
      </c>
      <c r="AP68" s="5" t="n"/>
      <c r="AQ68" s="19" t="inlineStr">
        <is>
          <t>Aishwarya's story is the origin of the vigilante plot: her execution and her last words to her son turn a lost marriage into a mission of justice, and Kalee is hanged as she was. The brief flashback shows a loving, equal marriage.</t>
        </is>
      </c>
      <c r="AR68" s="19" t="inlineStr">
        <is>
          <t>No reading of the pair was found.</t>
        </is>
      </c>
      <c r="AS68" s="5" t="inlineStr">
        <is>
          <t>SOURCE-098</t>
        </is>
      </c>
      <c r="AT68" s="5" t="inlineStr">
        <is>
          <t>Low</t>
        </is>
      </c>
    </row>
    <row r="69" ht="124" customHeight="1">
      <c r="A69" s="15" t="inlineStr">
        <is>
          <t>PAIR-068</t>
        </is>
      </c>
      <c r="B69" s="20" t="inlineStr">
        <is>
          <t>FILM-097</t>
        </is>
      </c>
      <c r="C69" s="5" t="inlineStr">
        <is>
          <t>Dunki</t>
        </is>
      </c>
      <c r="D69" s="17" t="n">
        <v>2023</v>
      </c>
      <c r="E69" s="5" t="inlineStr">
        <is>
          <t>Hardayal "Hardy" Singh Dhillon</t>
        </is>
      </c>
      <c r="F69" s="5" t="inlineStr">
        <is>
          <t>Taapsee Pannu</t>
        </is>
      </c>
      <c r="G69" s="5" t="inlineStr">
        <is>
          <t>Manu Randhawa</t>
        </is>
      </c>
      <c r="H69" s="5" t="inlineStr">
        <is>
          <t>Female lead</t>
        </is>
      </c>
      <c r="I69" s="5" t="inlineStr">
        <is>
          <t>Yes</t>
        </is>
      </c>
      <c r="J69" s="19" t="inlineStr">
        <is>
          <t>Tragic lovers</t>
        </is>
      </c>
      <c r="K69" s="5" t="inlineStr">
        <is>
          <t>Strangers</t>
        </is>
      </c>
      <c r="L69" s="5" t="inlineStr">
        <is>
          <t>Hardy, an ex-soldier, arrives in Laltu to repay a debt to Manu's late brother, who saved his life.</t>
        </is>
      </c>
      <c r="M69" s="5" t="inlineStr">
        <is>
          <t>Unclear</t>
        </is>
      </c>
      <c r="N69" s="19" t="inlineStr">
        <is>
          <t>Hardy commits to getting Manu to England, travels with her on the illegal 'donkey flight' and protects her from an aggressive sham-marriage groom; deported after refusing to lie in court, he is separated from her for 25 years. When she is dying he brings her home, confesses his lifelong love and proposes.</t>
        </is>
      </c>
      <c r="O69" s="19" t="inlineStr">
        <is>
          <t>Protective devotion and loyalty across a 25-year separation</t>
        </is>
      </c>
      <c r="P69" s="19" t="inlineStr">
        <is>
          <t>Hardy's refusal to falsely claim persecution, which splits them.</t>
        </is>
      </c>
      <c r="Q69" s="18" t="n">
        <v>3</v>
      </c>
      <c r="R69" s="19" t="inlineStr">
        <is>
          <t>They take different paths in the London court, but no hostility between them is recorded.</t>
        </is>
      </c>
      <c r="S69" s="18" t="n">
        <v>10</v>
      </c>
      <c r="T69" s="5" t="inlineStr">
        <is>
          <t>Distance; Illness; Other</t>
        </is>
      </c>
      <c r="U69" s="19" t="inlineStr">
        <is>
          <t>Visa rules, the deadly migration route and deportation separate them; Manu's asylum status bars her return, and brain cancer kills her.</t>
        </is>
      </c>
      <c r="V69" s="18" t="n">
        <v>7</v>
      </c>
      <c r="W69" s="19" t="inlineStr">
        <is>
          <t>Hardy's lifelong love and sacrifice define the role, though it is expressed through protection and principle more than courtship.</t>
        </is>
      </c>
      <c r="X69" s="18" t="n">
        <v>6</v>
      </c>
      <c r="Y69" s="18" t="n">
        <v>8</v>
      </c>
      <c r="Z69" s="18" t="n">
        <v>8</v>
      </c>
      <c r="AA69" s="18" t="n">
        <v>7</v>
      </c>
      <c r="AB69" s="18" t="n">
        <v>4</v>
      </c>
      <c r="AC69" s="19" t="inlineStr">
        <is>
          <t>Monika Rawal Kukreja (Hindustan Times) praised Khan's and Pannu's performances but was displeased with their chemistry. Interpretive score.</t>
        </is>
      </c>
      <c r="AD69" s="5" t="inlineStr">
        <is>
          <t>Yes</t>
        </is>
      </c>
      <c r="AE69" s="5" t="inlineStr">
        <is>
          <t>Partial</t>
        </is>
      </c>
      <c r="AF69" s="5" t="inlineStr">
        <is>
          <t>No</t>
        </is>
      </c>
      <c r="AG69" s="5" t="inlineStr">
        <is>
          <t>No</t>
        </is>
      </c>
      <c r="AH69" s="5" t="inlineStr">
        <is>
          <t>Yes</t>
        </is>
      </c>
      <c r="AI69" s="5" t="inlineStr">
        <is>
          <t>Yes</t>
        </is>
      </c>
      <c r="AJ69" s="5" t="inlineStr">
        <is>
          <t>Yes</t>
        </is>
      </c>
      <c r="AK69" s="19" t="inlineStr">
        <is>
          <t>From a debt-paying stranger to a lifelong lover who keeps his promise to bring Manu home.</t>
        </is>
      </c>
      <c r="AL69" s="19" t="inlineStr">
        <is>
          <t>From a poor villager desperate to emigrate to a British citizen who chooses to die in her homeland.</t>
        </is>
      </c>
      <c r="AM69" s="5" t="inlineStr">
        <is>
          <t>Manu accepts Hardy's proposal and dies moments later.</t>
        </is>
      </c>
      <c r="AN69" s="5" t="inlineStr">
        <is>
          <t>No</t>
        </is>
      </c>
      <c r="AO69" s="5" t="inlineStr">
        <is>
          <t>Tragic</t>
        </is>
      </c>
      <c r="AP69" s="5" t="n"/>
      <c r="AQ69" s="19" t="inlineStr">
        <is>
          <t>Dunki recasts Khan's sacrificial lover in a migration drama: Hardy's devotion is expressed through protection and principle rather than courtship, and his patriotism separates him from Manu for 25 years. The proposal comes only at her deathbed.</t>
        </is>
      </c>
      <c r="AR69" s="19" t="inlineStr">
        <is>
          <t>Critics praised the leads, but Monika Rawal Kukreja found their chemistry lacking and Uday Bhatia (Mint Lounge) accused the film of grandstanding on migration. A modern reading notes that the romance is subordinated to the hero's patriotic stand.</t>
        </is>
      </c>
      <c r="AS69" s="5" t="inlineStr">
        <is>
          <t>SOURCE-100</t>
        </is>
      </c>
      <c r="AT69" s="5" t="inlineStr">
        <is>
          <t>Medium</t>
        </is>
      </c>
    </row>
  </sheetData>
  <autoFilter ref="A1:AT69"/>
  <conditionalFormatting sqref="Q2:Q269">
    <cfRule type="colorScale" priority="1">
      <colorScale>
        <cfvo type="num" val="0"/>
        <cfvo type="num" val="5"/>
        <cfvo type="num" val="10"/>
        <color rgb="00FFFFFF"/>
        <color rgb="00FCE7B2"/>
        <color rgb="00E07B39"/>
      </colorScale>
    </cfRule>
  </conditionalFormatting>
  <conditionalFormatting sqref="S2:S269">
    <cfRule type="colorScale" priority="2">
      <colorScale>
        <cfvo type="num" val="0"/>
        <cfvo type="num" val="5"/>
        <cfvo type="num" val="10"/>
        <color rgb="00FFFFFF"/>
        <color rgb="00FCE7B2"/>
        <color rgb="00E07B39"/>
      </colorScale>
    </cfRule>
  </conditionalFormatting>
  <conditionalFormatting sqref="V2:V269">
    <cfRule type="colorScale" priority="3">
      <colorScale>
        <cfvo type="num" val="0"/>
        <cfvo type="num" val="5"/>
        <cfvo type="num" val="10"/>
        <color rgb="00FFFFFF"/>
        <color rgb="00FCE7B2"/>
        <color rgb="00E07B39"/>
      </colorScale>
    </cfRule>
  </conditionalFormatting>
  <conditionalFormatting sqref="X2:X269">
    <cfRule type="colorScale" priority="4">
      <colorScale>
        <cfvo type="num" val="0"/>
        <cfvo type="num" val="5"/>
        <cfvo type="num" val="10"/>
        <color rgb="00FFFFFF"/>
        <color rgb="00FCE7B2"/>
        <color rgb="00E07B39"/>
      </colorScale>
    </cfRule>
  </conditionalFormatting>
  <conditionalFormatting sqref="Y2:Y269">
    <cfRule type="colorScale" priority="5">
      <colorScale>
        <cfvo type="num" val="0"/>
        <cfvo type="num" val="5"/>
        <cfvo type="num" val="10"/>
        <color rgb="00FFFFFF"/>
        <color rgb="00FCE7B2"/>
        <color rgb="00E07B39"/>
      </colorScale>
    </cfRule>
  </conditionalFormatting>
  <conditionalFormatting sqref="Z2:Z269">
    <cfRule type="colorScale" priority="6">
      <colorScale>
        <cfvo type="num" val="0"/>
        <cfvo type="num" val="5"/>
        <cfvo type="num" val="10"/>
        <color rgb="00FFFFFF"/>
        <color rgb="00FCE7B2"/>
        <color rgb="00E07B39"/>
      </colorScale>
    </cfRule>
  </conditionalFormatting>
  <conditionalFormatting sqref="AA2:AA269">
    <cfRule type="colorScale" priority="7">
      <colorScale>
        <cfvo type="num" val="0"/>
        <cfvo type="num" val="5"/>
        <cfvo type="num" val="10"/>
        <color rgb="00FFFFFF"/>
        <color rgb="00FCE7B2"/>
        <color rgb="00E07B39"/>
      </colorScale>
    </cfRule>
  </conditionalFormatting>
  <conditionalFormatting sqref="AB2:AB269">
    <cfRule type="colorScale" priority="8">
      <colorScale>
        <cfvo type="num" val="0"/>
        <cfvo type="num" val="5"/>
        <cfvo type="num" val="10"/>
        <color rgb="00FFFFFF"/>
        <color rgb="00FCE7B2"/>
        <color rgb="00E07B39"/>
      </colorScale>
    </cfRule>
  </conditionalFormatting>
  <dataValidations count="20">
    <dataValidation sqref="I2:I269" showDropDown="0" showInputMessage="0" showErrorMessage="1" allowBlank="1" errorTitle="Principal Female Lead" error="Choose a value from the list." type="list">
      <formula1>"Yes,No,Partial,Unclear,Not applicable"</formula1>
    </dataValidation>
    <dataValidation sqref="J2:J269" showDropDown="0" showInputMessage="0" showErrorMessage="1" allowBlank="1" errorTitle="Relationship Category" error="Choose a value from the list." type="list">
      <formula1>Overview!$AN$2:$AN$20</formula1>
    </dataValidation>
    <dataValidation sqref="Q2:Q269" showDropDown="0" showInputMessage="0" showErrorMessage="1" allowBlank="1" errorTitle="Pair Friction Score" error="Enter a score from 0 to 10." type="decimal" operator="between">
      <formula1>0</formula1>
      <formula2>10</formula2>
    </dataValidation>
    <dataValidation sqref="S2:S269" showDropDown="0" showInputMessage="0" showErrorMessage="1" allowBlank="1" errorTitle="External Opposition Score" error="Enter a score from 0 to 10." type="decimal" operator="between">
      <formula1>0</formula1>
      <formula2>10</formula2>
    </dataValidation>
    <dataValidation sqref="V2:V269" showDropDown="0" showInputMessage="0" showErrorMessage="1" allowBlank="1" errorTitle="Lover-Boy Score" error="Enter a score from 0 to 10." type="decimal" operator="between">
      <formula1>0</formula1>
      <formula2>10</formula2>
    </dataValidation>
    <dataValidation sqref="X2:X269" showDropDown="0" showInputMessage="0" showErrorMessage="1" allowBlank="1" errorTitle="Romance Centrality Score" error="Enter a score from 0 to 10." type="decimal" operator="between">
      <formula1>0</formula1>
      <formula2>10</formula2>
    </dataValidation>
    <dataValidation sqref="Y2:Y269" showDropDown="0" showInputMessage="0" showErrorMessage="1" allowBlank="1" errorTitle="Relationship Health Score" error="Enter a score from 0 to 10." type="decimal" operator="between">
      <formula1>0</formula1>
      <formula2>10</formula2>
    </dataValidation>
    <dataValidation sqref="Z2:Z269" showDropDown="0" showInputMessage="0" showErrorMessage="1" allowBlank="1" errorTitle="Mutuality Score" error="Enter a score from 0 to 10." type="decimal" operator="between">
      <formula1>0</formula1>
      <formula2>10</formula2>
    </dataValidation>
    <dataValidation sqref="AA2:AA269" showDropDown="0" showInputMessage="0" showErrorMessage="1" allowBlank="1" errorTitle="Female Agency Score" error="Enter a score from 0 to 10." type="decimal" operator="between">
      <formula1>0</formula1>
      <formula2>10</formula2>
    </dataValidation>
    <dataValidation sqref="AB2:AB269" showDropDown="0" showInputMessage="0" showErrorMessage="1" allowBlank="1" errorTitle="Chemistry Score" error="Enter a score from 0 to 10." type="decimal" operator="between">
      <formula1>0</formula1>
      <formula2>10</formula2>
    </dataValidation>
    <dataValidation sqref="AD2:AD269" showDropDown="0" showInputMessage="0" showErrorMessage="1" allowBlank="1" errorTitle="Playful Banter" error="Choose a value from the list." type="list">
      <formula1>"Yes,No,Partial,Unclear,Not applicable"</formula1>
    </dataValidation>
    <dataValidation sqref="AE2:AE269" showDropDown="0" showInputMessage="0" showErrorMessage="1" allowBlank="1" errorTitle="Serious Conflict" error="Choose a value from the list." type="list">
      <formula1>"Yes,No,Partial,Unclear,Not applicable"</formula1>
    </dataValidation>
    <dataValidation sqref="AF2:AF269" showDropDown="0" showInputMessage="0" showErrorMessage="1" allowBlank="1" errorTitle="Jealousy or Possessiveness" error="Choose a value from the list." type="list">
      <formula1>"Yes,No,Partial,Unclear,Not applicable"</formula1>
    </dataValidation>
    <dataValidation sqref="AG2:AG269" showDropDown="0" showInputMessage="0" showErrorMessage="1" allowBlank="1" errorTitle="Deception or Mistaken Identity" error="Choose a value from the list." type="list">
      <formula1>"Yes,No,Partial,Unclear,Not applicable"</formula1>
    </dataValidation>
    <dataValidation sqref="AH2:AH269" showDropDown="0" showInputMessage="0" showErrorMessage="1" allowBlank="1" errorTitle="Separation or Estrangement" error="Choose a value from the list." type="list">
      <formula1>"Yes,No,Partial,Unclear,Not applicable"</formula1>
    </dataValidation>
    <dataValidation sqref="AI2:AI269" showDropDown="0" showInputMessage="0" showErrorMessage="1" allowBlank="1" errorTitle="Sacrifice" error="Choose a value from the list." type="list">
      <formula1>"Yes,No,Partial,Unclear,Not applicable"</formula1>
    </dataValidation>
    <dataValidation sqref="AJ2:AJ269" showDropDown="0" showInputMessage="0" showErrorMessage="1" allowBlank="1" errorTitle="Couple Functions as Team" error="Choose a value from the list." type="list">
      <formula1>"Yes,No,Partial,Unclear,Not applicable"</formula1>
    </dataValidation>
    <dataValidation sqref="AN2:AN269" showDropDown="0" showInputMessage="0" showErrorMessage="1" allowBlank="1" errorTitle="Marriage or Long-Term Union" error="Choose a value from the list." type="list">
      <formula1>"Yes,No,Partial,Unclear,Not applicable"</formula1>
    </dataValidation>
    <dataValidation sqref="AO2:AO269" showDropDown="0" showInputMessage="0" showErrorMessage="1" allowBlank="1" errorTitle="Happy, Tragic or Unresolved Ending" error="Choose a value from the list." type="list">
      <formula1>"Happy,Tragic,Unresolved"</formula1>
    </dataValidation>
    <dataValidation sqref="AT2:AT269"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2" customWidth="1" min="3" max="3"/>
    <col width="9" customWidth="1" min="4" max="4"/>
    <col width="9" customWidth="1" min="5" max="5"/>
    <col width="13" customWidth="1" min="6" max="6"/>
    <col width="18" customWidth="1" min="7" max="7"/>
    <col width="40" customWidth="1" min="8" max="8"/>
    <col width="30" customWidth="1" min="9" max="9"/>
    <col width="36" customWidth="1" min="10" max="10"/>
    <col width="32" customWidth="1" min="11" max="11"/>
    <col width="36" customWidth="1" min="12" max="12"/>
    <col width="32" customWidth="1" min="13" max="13"/>
    <col width="36" customWidth="1" min="14" max="14"/>
    <col width="36" customWidth="1" min="15" max="15"/>
    <col width="14" customWidth="1" min="16" max="16"/>
    <col width="26" customWidth="1" min="17" max="17"/>
    <col width="26" customWidth="1" min="18" max="18"/>
    <col width="90" customWidth="1" min="19" max="19"/>
    <col width="22" customWidth="1" min="20" max="20"/>
    <col width="12" customWidth="1" min="21" max="21"/>
  </cols>
  <sheetData>
    <row r="1" ht="36" customHeight="1">
      <c r="A1" s="12" t="inlineStr">
        <is>
          <t>Person ID</t>
        </is>
      </c>
      <c r="B1" s="12" t="inlineStr">
        <is>
          <t>Name</t>
        </is>
      </c>
      <c r="C1" s="12" t="inlineStr">
        <is>
          <t>Profession or Function</t>
        </is>
      </c>
      <c r="D1" s="12" t="inlineStr">
        <is>
          <t>Birth Year</t>
        </is>
      </c>
      <c r="E1" s="12" t="inlineStr">
        <is>
          <t>Death Year</t>
        </is>
      </c>
      <c r="F1" s="12" t="inlineStr">
        <is>
          <t>Years Active</t>
        </is>
      </c>
      <c r="G1" s="12" t="inlineStr">
        <is>
          <t>Industry or Primary Language</t>
        </is>
      </c>
      <c r="H1" s="12" t="inlineStr">
        <is>
          <t>Career Background</t>
        </is>
      </c>
      <c r="I1" s="12" t="inlineStr">
        <is>
          <t>Debut or Early Breakthrough</t>
        </is>
      </c>
      <c r="J1" s="12" t="inlineStr">
        <is>
          <t>Major Works</t>
        </is>
      </c>
      <c r="K1" s="13" t="inlineStr">
        <is>
          <t>Recurring Genres or Themes</t>
        </is>
      </c>
      <c r="L1" s="13" t="inlineStr">
        <is>
          <t>Creative Style</t>
        </is>
      </c>
      <c r="M1" s="12" t="inlineStr">
        <is>
          <t>Major Awards</t>
        </is>
      </c>
      <c r="N1" s="13" t="inlineStr">
        <is>
          <t>Historical Importance</t>
        </is>
      </c>
      <c r="O1" s="13" t="inlineStr">
        <is>
          <t>Relationship with Selected Actor</t>
        </is>
      </c>
      <c r="P1" s="12" t="inlineStr">
        <is>
          <t>Number of Collaborations</t>
        </is>
      </c>
      <c r="Q1" s="12" t="inlineStr">
        <is>
          <t>Collaboration Film IDs</t>
        </is>
      </c>
      <c r="R1" s="12" t="inlineStr">
        <is>
          <t>Most Important Collaboration</t>
        </is>
      </c>
      <c r="S1" s="12" t="inlineStr">
        <is>
          <t>Extended Biography</t>
        </is>
      </c>
      <c r="T1" s="12" t="inlineStr">
        <is>
          <t>Source IDs</t>
        </is>
      </c>
      <c r="U1" s="12" t="inlineStr">
        <is>
          <t>Confidence Grade</t>
        </is>
      </c>
    </row>
    <row r="2" ht="184" customHeight="1">
      <c r="A2" s="15" t="inlineStr">
        <is>
          <t>PERSON-001</t>
        </is>
      </c>
      <c r="B2" s="5" t="inlineStr">
        <is>
          <t>Red Chillies Entertainment</t>
        </is>
      </c>
      <c r="C2" s="5" t="inlineStr">
        <is>
          <t>Production and distribution company founded by Shah Rukh Khan and Gauri Khan</t>
        </is>
      </c>
      <c r="D2" s="20" t="n"/>
      <c r="E2" s="20" t="n"/>
      <c r="F2" s="5" t="inlineStr">
        <is>
          <t>2002–present</t>
        </is>
      </c>
      <c r="G2" s="5" t="inlineStr">
        <is>
          <t>Hindi</t>
        </is>
      </c>
      <c r="H2" s="5" t="inlineStr">
        <is>
          <t>Evolved from the defunct Dreamz Unlimited; based in Mumbai, with divisions for film and television production, distribution, visual effects (Red Chillies VFX), colour, television commercials and sports.</t>
        </is>
      </c>
      <c r="I2" s="5" t="inlineStr">
        <is>
          <t>First production: Main Hoon Na (2004); second: Paheli (2005).</t>
        </is>
      </c>
      <c r="J2" s="5" t="inlineStr">
        <is>
          <t>Main Hoon Na (2004); Paheli (2005); Om Shanti Om (2007); Billu (2009); My Name Is Khan (2010); Ra.One (2011); Chennai Express (2013); Happy New Year (2014); Dilwale (2015); Dear Zindagi (2016); Raees (2017); Zero (2018); Badla (2019); Jawan (2023); Dunki (2023)</t>
        </is>
      </c>
      <c r="K2" s="19" t="inlineStr">
        <is>
          <t>Large-scale star vehicles for Khan and effects-heavy productions.</t>
        </is>
      </c>
      <c r="L2" s="19" t="n"/>
      <c r="M2" s="5" t="inlineStr">
        <is>
          <t>Red Chillies VFX won Filmfare Awards for Best Special Effects for Om Shanti Om, Ra.One, Fan, Zero and Jawan; Paheli was India's Academy Award submission.</t>
        </is>
      </c>
      <c r="N2" s="19" t="inlineStr">
        <is>
          <t>A multinational entertainment company with a major visual-effects division, a 26% stake in the operator of KidZania India, and links to the Kolkata Knight Riders through its CEO.</t>
        </is>
      </c>
      <c r="O2" s="19" t="inlineStr">
        <is>
          <t>Khan's own company, with Khan as managing director and Gauri Khan as joint managing director; it produced or co-produced 18 of his films and has acquired the rights to many of his 1990s films.</t>
        </is>
      </c>
      <c r="P2" s="17" t="n">
        <v>18</v>
      </c>
      <c r="Q2" s="5" t="inlineStr">
        <is>
          <t>FILM-049; FILM-053; FILM-055; FILM-062; FILM-069; FILM-071; FILM-073; FILM-075; FILM-076; FILM-079; FILM-081; FILM-082; FILM-085; FILM-086; FILM-088; FILM-089; FILM-095; FILM-097</t>
        </is>
      </c>
      <c r="R2" s="5" t="inlineStr">
        <is>
          <t>Jawan (2023)</t>
        </is>
      </c>
      <c r="S2" s="5" t="inlineStr">
        <is>
          <t>Red Chillies Entertainment is the Mumbai-based entertainment company founded by Shah Rukh Khan and Gauri Khan out of their earlier partnership Dreamz Unlimited. Its article gives the founding year as 2002; Gauri Khan's article gives both 2001 and 2002. Its activities span development, production, marketing, distribution, licensing, merchandising and syndication, and it runs the visual-effects house Red Chillies VFX, a colour division and a television-commercials unit. It owns 26% of ImagiNation Edutainment, which runs KidZania India; Venky Mysore, also CEO of the Kolkata Knight Riders, became its CEO in 2013. Khan is managing director and Gauri Khan joint managing director. Its first production was Farah Khan's Main Hoon Na (2004), and its second, Paheli (2005), was India's Academy Award submission. Most of its films have starred Khan, including Om Shanti Om, My Name Is Khan, Ra.One, Chennai Express, Happy New Year, Dilwale, Raees, Zero, Jawan and Dunki, although it has also backed films without him, such as Badla (2019). The company has acquired the rights to many of Khan's earlier films, including Kabhi Haan Kabhi Naa, Anjaam, Ram Jaane, Yes Boss and One 2 Ka 4. Red Chillies VFX has repeatedly won the Filmfare Award for Best Special Effects.</t>
        </is>
      </c>
      <c r="T2" s="5" t="inlineStr">
        <is>
          <t>SOURCE-148; SOURCE-003; SOURCE-052; SOURCE-065; SOURCE-098</t>
        </is>
      </c>
      <c r="U2" s="5" t="inlineStr">
        <is>
          <t>Medium</t>
        </is>
      </c>
    </row>
    <row r="3" ht="124" customHeight="1">
      <c r="A3" s="15" t="inlineStr">
        <is>
          <t>PERSON-002</t>
        </is>
      </c>
      <c r="B3" s="5" t="inlineStr">
        <is>
          <t>Gauri Khan</t>
        </is>
      </c>
      <c r="C3" s="5" t="inlineStr">
        <is>
          <t>Producer (co-founder of Red Chillies Entertainment); interior designer</t>
        </is>
      </c>
      <c r="D3" s="17" t="n">
        <v>1970</v>
      </c>
      <c r="E3" s="20" t="n"/>
      <c r="F3" s="5" t="n"/>
      <c r="G3" s="5" t="inlineStr">
        <is>
          <t>Hindi</t>
        </is>
      </c>
      <c r="H3" s="5" t="inlineStr">
        <is>
          <t>Interior designer who launched Gauri Khan Designs in 2013, opened the concept store The Design Cell in 2014 and an Experience Centre in Delhi in 2025.</t>
        </is>
      </c>
      <c r="I3" s="5" t="n"/>
      <c r="J3" s="5" t="inlineStr">
        <is>
          <t>Main Hoon Na (2004); Paheli (2005); Om Shanti Om (2007); My Name Is Khan (2010); Ra.One (2011); Chennai Express (2013); Happy New Year (2014); Dear Zindagi (2016); Jawan (2023); Dunki (2023)</t>
        </is>
      </c>
      <c r="K3" s="19" t="n"/>
      <c r="L3" s="19" t="n"/>
      <c r="M3" s="5" t="n"/>
      <c r="N3" s="19" t="inlineStr">
        <is>
          <t>Included in Fortune magazine's list of the '50 Most Powerful Women' in 2018.</t>
        </is>
      </c>
      <c r="O3" s="19" t="inlineStr">
        <is>
          <t>Married to Khan since 25 October 1991, after they met in Delhi in 1984; co-founder and joint managing director of Red Chillies and credited producer on 16 of his films.</t>
        </is>
      </c>
      <c r="P3" s="17" t="n">
        <v>16</v>
      </c>
      <c r="Q3" s="5" t="inlineStr">
        <is>
          <t>FILM-049; FILM-055; FILM-062; FILM-069; FILM-071; FILM-073; FILM-075; FILM-079; FILM-081; FILM-082; FILM-085; FILM-086; FILM-088; FILM-089; FILM-095; FILM-097</t>
        </is>
      </c>
      <c r="R3" s="5" t="inlineStr">
        <is>
          <t>Om Shanti Om (2007)</t>
        </is>
      </c>
      <c r="S3" s="5" t="inlineStr">
        <is>
          <t>Gauri Khan, born on 8 October 1970, is a film producer and interior designer. She met Shah Rukh Khan in Delhi in 1984 and married him on 25 October 1991. With him she co-founded Red Chillies Entertainment, where she is joint managing director, and she has been the credited producer on 16 of his films, from Main Hoon Na (2004) and Paheli (2005) through Om Shanti Om, Billu, My Name Is Khan, Ra.One, Chennai Express, Happy New Year, Dilwale, Dear Zindagi, Raees, Jab Harry Met Sejal and Zero, to Jawan and Dunki (2023). She also produced the teen comedy Always Kabhi Kabhi (2011), in which Khan appears in a song. Alongside producing, she launched Gauri Khan Designs in 2013, opened the concept store The Design Cell in Worli in 2014 and an Experience Centre in Delhi in 2025. Fortune magazine named her one of its '50 Most Powerful Women' in 2018.</t>
        </is>
      </c>
      <c r="T3" s="5" t="inlineStr">
        <is>
          <t>SOURCE-162; SOURCE-065; SOURCE-098</t>
        </is>
      </c>
      <c r="U3" s="5" t="inlineStr">
        <is>
          <t>Medium</t>
        </is>
      </c>
    </row>
    <row r="4" ht="154" customHeight="1">
      <c r="A4" s="15" t="inlineStr">
        <is>
          <t>PERSON-003</t>
        </is>
      </c>
      <c r="B4" s="5" t="inlineStr">
        <is>
          <t>Anu Malik</t>
        </is>
      </c>
      <c r="C4" s="5" t="inlineStr">
        <is>
          <t>Song composer; singer</t>
        </is>
      </c>
      <c r="D4" s="17" t="n">
        <v>1960</v>
      </c>
      <c r="E4" s="20" t="n"/>
      <c r="F4" s="5" t="n"/>
      <c r="G4" s="5" t="inlineStr">
        <is>
          <t>Hindi</t>
        </is>
      </c>
      <c r="H4" s="5" t="inlineStr">
        <is>
          <t>Son of the composer Sardar Malik and nephew of the lyricist Hasrat Jaipuri.</t>
        </is>
      </c>
      <c r="I4" s="5" t="inlineStr">
        <is>
          <t>Composed one song for Hunterwali 77 (1977); first full soundtrack Poonam (1981).</t>
        </is>
      </c>
      <c r="J4" s="5" t="inlineStr">
        <is>
          <t>Sohni Mahiwal; Baazigar (1993); Baadshah (1999); Refugee (2000); Main Hoon Na (2004); 'Chamma Chamma' from China Gate, later used in Moulin Rouge!</t>
        </is>
      </c>
      <c r="K4" s="19" t="inlineStr">
        <is>
          <t>Melodic, often classical-based songs with prominent tabla.</t>
        </is>
      </c>
      <c r="L4" s="19" t="n"/>
      <c r="M4" s="5" t="inlineStr">
        <is>
          <t>A National Film Award; three Filmfare Awards, including Best Music Director for Baazigar and Main Hoon Na</t>
        </is>
      </c>
      <c r="N4" s="19" t="inlineStr">
        <is>
          <t>One of the most commercially successful Hindi film composers of the 1990s and 2000s; a longtime judge on Indian Idol.</t>
        </is>
      </c>
      <c r="O4" s="19" t="inlineStr">
        <is>
          <t>Khan's most frequent song composer in the 1990s, with 12 films from Chamatkar to Main Hoon Na, including Filmfare-winning scores for both Baazigar and Main Hoon Na.</t>
        </is>
      </c>
      <c r="P4" s="17" t="n">
        <v>12</v>
      </c>
      <c r="Q4" s="5" t="inlineStr">
        <is>
          <t>FILM-002; FILM-008; FILM-017; FILM-020; FILM-022; FILM-028; FILM-032; FILM-035; FILM-036; FILM-040; FILM-044; FILM-049</t>
        </is>
      </c>
      <c r="R4" s="5" t="inlineStr">
        <is>
          <t>Baazigar (1993)</t>
        </is>
      </c>
      <c r="S4" s="5" t="inlineStr">
        <is>
          <t>Anu Malik, born Anwar Sardar Malik on 2 November 1960, is the son of the composer Sardar Malik and the nephew of the lyricist Hasrat Jaipuri. He began at 16 or 17 by composing a song for Hunterwali 77 (1977), got his first full soundtrack with Poonam (1981), and earned a first Filmfare nomination for Sohni Mahiwal. He won his first Filmfare Award for Best Music Director for Baazigar (1993), starring Shah Rukh Khan. Known for melodious, classical-based songs and his use of the tabla, as in 'Woh Ladki Jo' from Baadshah and 'Tumhe Jo Maine Dekha' from Main Hoon Na, he has received a National Film Award and three Filmfare Awards. His song 'Chamma Chamma' was used in Moulin Rouge!. He composed for 12 Khan films, including Chamatkar, Ram Jaane, Chaahat, Duplicate, Baadshah, Josh, Har Dil Jo Pyar Karega and Aśoka, as well as Main Hoon Na (2004), which won him another Filmfare Award. He was a judge on Indian Idol from 2004 until 2018, when he left after a 'Me Too' allegation.</t>
        </is>
      </c>
      <c r="T4" s="5" t="inlineStr">
        <is>
          <t>SOURCE-114; SOURCE-011; SOURCE-052</t>
        </is>
      </c>
      <c r="U4" s="5" t="inlineStr">
        <is>
          <t>Medium</t>
        </is>
      </c>
    </row>
    <row r="5" ht="154" customHeight="1">
      <c r="A5" s="15" t="inlineStr">
        <is>
          <t>PERSON-004</t>
        </is>
      </c>
      <c r="B5" s="5" t="inlineStr">
        <is>
          <t>Pritam</t>
        </is>
      </c>
      <c r="C5" s="5" t="inlineStr">
        <is>
          <t>Song composer; music producer</t>
        </is>
      </c>
      <c r="D5" s="17" t="n">
        <v>1971</v>
      </c>
      <c r="E5" s="20" t="n"/>
      <c r="F5" s="5" t="inlineStr">
        <is>
          <t>2001–present</t>
        </is>
      </c>
      <c r="G5" s="5" t="inlineStr">
        <is>
          <t>Hindi</t>
        </is>
      </c>
      <c r="H5" s="5" t="inlineStr">
        <is>
          <t>Born into a Bengali musical family; studied geology at Presidency College and sound engineering at FTII; played in the bands Jotugriher Pakhi and Chandrabindoo and composed ad jingles and television title tracks.</t>
        </is>
      </c>
      <c r="I5" s="5" t="inlineStr">
        <is>
          <t>Co-composer with Jeet Gannguli on Tere Liye (2001); solo debut Stumped (2003); breakthrough Dhoom (2004).</t>
        </is>
      </c>
      <c r="J5" s="5" t="inlineStr">
        <is>
          <t>Dhoom (2004); Billu (2009); Barfi! (2012); Dilwale (2015); Ae Dil Hai Mushkil (2016); Jab Harry Met Sejal (2017); Brahmāstra: Part One – Shiva (2022); Tiger 3 (2023); Dunki (2023)</t>
        </is>
      </c>
      <c r="K5" s="19" t="inlineStr">
        <is>
          <t>Contemporary romantic ballads and dance songs.</t>
        </is>
      </c>
      <c r="L5" s="19" t="n"/>
      <c r="M5" s="5" t="inlineStr">
        <is>
          <t>National Film Award for Best Music Direction (70th National Film Awards, Brahmāstra); nine Filmfare Awards, including Best Music Director for Brahmāstra</t>
        </is>
      </c>
      <c r="N5" s="19" t="inlineStr">
        <is>
          <t>Has composed for over 125 Bollywood films and founded the music-production platform JAM8 in 2016; his work has also faced plagiarism allegations.</t>
        </is>
      </c>
      <c r="O5" s="19" t="inlineStr">
        <is>
          <t>Khan's most frequent composer of the 2010s–2020s, with 12 films from Kismat Konnection and Billu to Dilwale, Jab Harry Met Sejal and Dunki.</t>
        </is>
      </c>
      <c r="P5" s="17" t="n">
        <v>12</v>
      </c>
      <c r="Q5" s="5" t="inlineStr">
        <is>
          <t>FILM-066; FILM-069; FILM-070; FILM-073; FILM-082; FILM-084; FILM-087; FILM-088; FILM-092; FILM-093; FILM-096; FILM-097</t>
        </is>
      </c>
      <c r="R5" s="5" t="inlineStr">
        <is>
          <t>Dilwale (2015)</t>
        </is>
      </c>
      <c r="S5" s="5" t="inlineStr">
        <is>
          <t>Pritam Chakraborty, born on 14 June 1971 and known as Pritam, trained in music with his father, graduated in geology from Presidency College and studied sound recording at FTII Pune. He played in bands including Chandrabindoo and composed advertising jingles and television title tracks in Mumbai from 1997. After co-composing Tere Liye (2001) with Jeet Gannguli and debuting solo with Stumped (2003), he broke through with Dhoom (2004). In over two decades he has composed for more than 125 Hindi films and won a National Film Award and nine Filmfare Awards; Barfi! was his first background score, and he founded the music-production platform JAM8 in 2016. His work has also drawn plagiarism allegations. Pritam has worked on 12 Shah Rukh Khan films, more than any other composer: Kismat Konnection, Billu, Dulha Mil Gaya, Always Kabhi Kabhi, Dilwale ('Gerua'), Ae Dil Hai Mushkil, Tubelight, Jab Harry Met Sejal ('Hawayein'), Laal Singh Chaddha, Brahmāstra, Tiger 3 and Dunki. His Brahmāstra songs won him the National Film Award and the Filmfare Award for Best Music Director.</t>
        </is>
      </c>
      <c r="T5" s="5" t="inlineStr">
        <is>
          <t>SOURCE-173; SOURCE-096; SOURCE-100</t>
        </is>
      </c>
      <c r="U5" s="5" t="inlineStr">
        <is>
          <t>Medium</t>
        </is>
      </c>
    </row>
    <row r="6" ht="169" customHeight="1">
      <c r="A6" s="15" t="inlineStr">
        <is>
          <t>PERSON-005</t>
        </is>
      </c>
      <c r="B6" s="5" t="inlineStr">
        <is>
          <t>Yash Raj Films</t>
        </is>
      </c>
      <c r="C6" s="5" t="inlineStr">
        <is>
          <t>Production, distribution and studio company</t>
        </is>
      </c>
      <c r="D6" s="20" t="n"/>
      <c r="E6" s="20" t="n"/>
      <c r="F6" s="5" t="inlineStr">
        <is>
          <t>1970–present</t>
        </is>
      </c>
      <c r="G6" s="5" t="inlineStr">
        <is>
          <t>Hindi</t>
        </is>
      </c>
      <c r="H6" s="5" t="inlineStr">
        <is>
          <t>Founded in 1970 by Yash Chopra; its first production was Daag (1973); Aditya Chopra is chairman.</t>
        </is>
      </c>
      <c r="I6" s="5" t="n"/>
      <c r="J6" s="5" t="inlineStr">
        <is>
          <t>Daag (1973); Darr (1993); Dilwale Dulhania Le Jayenge (1995); Dil To Pagal Hai (1997); Mohabbatein (2000); Veer-Zaara (2004); Chak De! India (2007); Rab Ne Bana Di Jodi (2008); Jab Tak Hai Jaan (2012); Fan (2016); Pathaan (2023); Tiger 3 (2023)</t>
        </is>
      </c>
      <c r="K6" s="19" t="inlineStr">
        <is>
          <t>Romantic musicals under Yash and Aditya Chopra; later the YRF Spy Universe.</t>
        </is>
      </c>
      <c r="L6" s="19" t="n"/>
      <c r="M6" s="5" t="inlineStr">
        <is>
          <t>Its Khan films Darr, Dilwale Dulhania Le Jayenge, Dil To Pagal Hai, Veer-Zaara and Chak De! India won the National Film Award for Best Popular Film Providing Wholesome Entertainment.</t>
        </is>
      </c>
      <c r="N6" s="19" t="inlineStr">
        <is>
          <t>Built YRF Studios in Mumbai in 2005 and runs a distribution arm that has handled independent and parallel-cinema titles such as Maqbool; launched the YRF Spy Universe.</t>
        </is>
      </c>
      <c r="O6" s="19" t="inlineStr">
        <is>
          <t>Khan's longest-running studio association, spanning 12 films from Darr (1993) to Pathaan and Tiger 3 (2023).</t>
        </is>
      </c>
      <c r="P6" s="17" t="n">
        <v>12</v>
      </c>
      <c r="Q6" s="5" t="inlineStr">
        <is>
          <t>FILM-009; FILM-016; FILM-027; FILM-037; FILM-045; FILM-050; FILM-060; FILM-067; FILM-077; FILM-083; FILM-094; FILM-096</t>
        </is>
      </c>
      <c r="R6" s="5" t="inlineStr">
        <is>
          <t>Dilwale Dulhania Le Jayenge (1995)</t>
        </is>
      </c>
      <c r="S6" s="5" t="inlineStr">
        <is>
          <t>Yash Raj Films was founded in 1970 by the director and producer Yash Chopra, whose first production under the banner was Daag (1973). In 2005 Chopra built YRF Studios in Mumbai, a 20-acre facility first used for Fanaa (2006) and later rented out for films and television shows. The company also runs a distribution arm that has released other producers' films in India and overseas, including independent and parallel-cinema productions such as Godmother, Zubeidaa, Maqbool and Meenaxi. It is chaired by Aditya Chopra. For Shah Rukh Khan it has been the most enduring studio partner. It produced Darr (1993), Dilwale Dulhania Le Jayenge (1995), Dil To Pagal Hai (1997) and Mohabbatein (2000), the romances that defined his image, followed by Veer-Zaara (2004), Chak De! India (2007), Rab Ne Bana Di Jodi (2008) and Jab Tak Hai Jaan (2012). It co-produced Saathiya (2002) and made Fan (2016). After a gap it returned Khan to box-office dominance with Pathaan (2023), the YRF Spy Universe instalment that established crossovers with Tiger, in which he also cameoed. Five of these films won the National Film Award for Best Popular Film.</t>
        </is>
      </c>
      <c r="T6" s="5" t="inlineStr">
        <is>
          <t>SOURCE-129; SOURCE-019; SOURCE-097</t>
        </is>
      </c>
      <c r="U6" s="5" t="inlineStr">
        <is>
          <t>Medium</t>
        </is>
      </c>
    </row>
    <row r="7" ht="169" customHeight="1">
      <c r="A7" s="15" t="inlineStr">
        <is>
          <t>PERSON-006</t>
        </is>
      </c>
      <c r="B7" s="5" t="inlineStr">
        <is>
          <t>Dharma Productions</t>
        </is>
      </c>
      <c r="C7" s="5" t="inlineStr">
        <is>
          <t>Production company</t>
        </is>
      </c>
      <c r="D7" s="20" t="n"/>
      <c r="E7" s="20" t="n"/>
      <c r="F7" s="5" t="inlineStr">
        <is>
          <t>1976–present</t>
        </is>
      </c>
      <c r="G7" s="5" t="inlineStr">
        <is>
          <t>Hindi</t>
        </is>
      </c>
      <c r="H7" s="5" t="inlineStr">
        <is>
          <t>Founded in 1976 by Yash Johar; later run by his son Karan Johar, with Hiroo Yash Johar and Apoorva Mehta among its credited producers.</t>
        </is>
      </c>
      <c r="I7" s="5" t="inlineStr">
        <is>
          <t>First production: Dostana (1980).</t>
        </is>
      </c>
      <c r="J7" s="5" t="inlineStr">
        <is>
          <t>Dostana (1980); Agneepath (1990); Gumrah (1993); Duplicate (1998); Kuch Kuch Hota Hai (1998); Kabhi Khushi Kabhie Gham (2001); Kal Ho Naa Ho (2003); Kabhi Alvida Naa Kehna (2006); My Name Is Khan (2010); Ae Dil Hai Mushkil (2016); Brahmāstra: Part One – Shiva (2022)</t>
        </is>
      </c>
      <c r="K7" s="19" t="inlineStr">
        <is>
          <t>Family values, lavish sets and exotic locations under Yash Johar; glossy romance and relationship drama under Karan Johar.</t>
        </is>
      </c>
      <c r="L7" s="19" t="n"/>
      <c r="M7" s="5" t="inlineStr">
        <is>
          <t>Kuch Kuch Hota Hai won the National Film Award for Best Popular Film Providing Wholesome Entertainment and the Filmfare Award for Best Film; Agneepath won a National Film Award for Amitabh Bachchan.</t>
        </is>
      </c>
      <c r="N7" s="19" t="inlineStr">
        <is>
          <t>Kuch Kuch Hota Hai opened a new chapter for the company, which became one of India's leading production houses.</t>
        </is>
      </c>
      <c r="O7" s="19" t="inlineStr">
        <is>
          <t>Produced ten of Khan's films, beginning with Duplicate, his first Dharma film, and including all of Karan Johar's features with him.</t>
        </is>
      </c>
      <c r="P7" s="17" t="n">
        <v>10</v>
      </c>
      <c r="Q7" s="5" t="inlineStr">
        <is>
          <t>FILM-028; FILM-031; FILM-041; FILM-047; FILM-053; FILM-057; FILM-071; FILM-084; FILM-085; FILM-093</t>
        </is>
      </c>
      <c r="R7" s="5" t="inlineStr">
        <is>
          <t>Kuch Kuch Hota Hai (1998)</t>
        </is>
      </c>
      <c r="S7" s="5" t="inlineStr">
        <is>
          <t>Dharma Productions was founded in 1976 by Yash Johar. Its first production, Raj Khosla's Dostana (1980), starring Amitabh Bachchan, was one of the year's highest-grossing films; Duniya (1984) and Muqaddar Ka Faisla (1987) did not perform well. Agneepath (1990) was not a commercial success on release but became a cult film and won Bachchan a National Film Award. Two Mahesh Bhatt films followed, Gumrah (1993) and Duplicate (1998), the latter Shah Rukh Khan's first film for the company. The same year, Karan Johar's debut Kuch Kuch Hota Hai, starring Khan, Kajol, Rani Mukerji and Salman Khan, became a phenomenal success, winning the National Film Award for Best Popular Film and the Filmfare Award for Best Film. It opened a new chapter for the company. Under Karan Johar, Dharma produced Khan's Kabhi Khushi Kabhie Gham, Kal Ho Naa Ho, Kabhi Alvida Naa Kehna and My Name Is Khan, co-produced Kaal and Dear Zindagi with Red Chillies, and made Ae Dil Hai Mushkil and Brahmāstra: Part One – Shiva, both featuring Khan in special roles. Hiroo Yash Johar and Apoorva Mehta are credited producers on its later films.</t>
        </is>
      </c>
      <c r="T7" s="5" t="inlineStr">
        <is>
          <t>SOURCE-140; SOURCE-034; SOURCE-044</t>
        </is>
      </c>
      <c r="U7" s="5" t="inlineStr">
        <is>
          <t>Medium</t>
        </is>
      </c>
    </row>
    <row r="8" ht="184" customHeight="1">
      <c r="A8" s="15" t="inlineStr">
        <is>
          <t>PERSON-007</t>
        </is>
      </c>
      <c r="B8" s="5" t="inlineStr">
        <is>
          <t>Karan Johar</t>
        </is>
      </c>
      <c r="C8" s="5" t="inlineStr">
        <is>
          <t>Director; producer; screenwriter (Dharma Productions); television presenter</t>
        </is>
      </c>
      <c r="D8" s="17" t="n">
        <v>1972</v>
      </c>
      <c r="E8" s="20" t="n"/>
      <c r="F8" s="5" t="inlineStr">
        <is>
          <t>1989–present</t>
        </is>
      </c>
      <c r="G8" s="5" t="inlineStr">
        <is>
          <t>Hindi</t>
        </is>
      </c>
      <c r="H8" s="5" t="inlineStr">
        <is>
          <t>Son of the producer Yash Johar; appeared as Raj's friend Ponchi in Dilwale Dulhania Le Jayenge before directing.</t>
        </is>
      </c>
      <c r="I8" s="5" t="inlineStr">
        <is>
          <t>Directorial debut Kuch Kuch Hota Hai (1998).</t>
        </is>
      </c>
      <c r="J8" s="5" t="inlineStr">
        <is>
          <t>Kuch Kuch Hota Hai (1998); Kabhi Khushi Kabhie Gham (2001); Kabhi Alvida Naa Kehna (2006); My Name Is Khan (2010); Ae Dil Hai Mushkil (2016); Raazi (2018, producer); Shershaah (2021, producer); Brahmāstra: Part One – Shiva (2022, producer)</t>
        </is>
      </c>
      <c r="K8" s="19" t="inlineStr">
        <is>
          <t>Family, love triangles and emotional melodrama in affluent and diaspora settings; later marital infidelity and Islamophobia.</t>
        </is>
      </c>
      <c r="L8" s="19" t="inlineStr">
        <is>
          <t>Glossy, emotionally heightened ensemble drama with a contemporary visual style.</t>
        </is>
      </c>
      <c r="M8" s="5" t="inlineStr">
        <is>
          <t>4 National Film Awards; 8 Filmfare Awards, including Best Director for Kuch Kuch Hota Hai and My Name Is Khan; Padma Shri (2020)</t>
        </is>
      </c>
      <c r="N8" s="19" t="inlineStr">
        <is>
          <t>Turned Dharma Productions into a leading studio and launched the careers of many actors and filmmakers.</t>
        </is>
      </c>
      <c r="O8" s="19" t="inlineStr">
        <is>
          <t>Khan's closest director-friend: Johar directed him in five features and a segment of Bombay Talkies, and wrote or produced Kal Ho Naa Ho, Kaal, Dear Zindagi and Brahmāstra.</t>
        </is>
      </c>
      <c r="P8" s="17" t="n">
        <v>10</v>
      </c>
      <c r="Q8" s="5" t="inlineStr">
        <is>
          <t>FILM-031; FILM-041; FILM-047; FILM-053; FILM-057; FILM-071; FILM-078; FILM-084; FILM-085; FILM-093</t>
        </is>
      </c>
      <c r="R8" s="5" t="inlineStr">
        <is>
          <t>Kuch Kuch Hota Hai (1998)</t>
        </is>
      </c>
      <c r="S8" s="5" t="inlineStr">
        <is>
          <t>Karan Johar, born Rahul Kumar Johar on 25 May 1972, is the son of the producer Yash Johar and runs Dharma Productions. Before directing he appeared as Raj's friend Ponchi in Dilwale Dulhania Le Jayenge. His directorial debut, Kuch Kuch Hota Hai (1998), a college love triangle starring Shah Rukh Khan, Kajol and Rani Mukerji, won him the National Film Award for Best Popular Film and the Filmfare Awards for Best Director and Best Screenplay, and swept all four Filmfare acting awards. He followed it with the family drama Kabhi Khushi Kabhie Gham (2001) and the infidelity drama Kabhi Alvida Naa Kehna (2006), both major successes at home and abroad with Khan in the lead. He wrote Kal Ho Naa Ho (2003) for Nikkhil Advani and co-produced Kaal (2005) with Khan's Red Chillies Entertainment. In the post-9/11 drama My Name Is Khan (2010) Khan plays an autistic Muslim man, and it brought Johar his second Filmfare Best Director award. Khan appeared as himself in Johar's segment of Bombay Talkies (2013) and in a cameo in Ae Dil Hai Mushkil (2016). Johar co-produced Dear Zindagi (2016) and Brahmāstra (2022), and produced Raazi and Shershaah. He has received four National Film Awards, eight Filmfare Awards and the Padma Shri (2020).</t>
        </is>
      </c>
      <c r="T8" s="5" t="inlineStr">
        <is>
          <t>SOURCE-147; SOURCE-034; SOURCE-044; SOURCE-074</t>
        </is>
      </c>
      <c r="U8" s="5" t="inlineStr">
        <is>
          <t>Medium</t>
        </is>
      </c>
    </row>
    <row r="9" ht="169" customHeight="1">
      <c r="A9" s="15" t="inlineStr">
        <is>
          <t>PERSON-008</t>
        </is>
      </c>
      <c r="B9" s="5" t="inlineStr">
        <is>
          <t>Aditya Chopra</t>
        </is>
      </c>
      <c r="C9" s="5" t="inlineStr">
        <is>
          <t>Director; producer; screenwriter; chairman of Yash Raj Films</t>
        </is>
      </c>
      <c r="D9" s="17" t="n">
        <v>1971</v>
      </c>
      <c r="E9" s="20" t="n"/>
      <c r="F9" s="5" t="inlineStr">
        <is>
          <t>1988–present</t>
        </is>
      </c>
      <c r="G9" s="5" t="inlineStr">
        <is>
          <t>Hindi</t>
        </is>
      </c>
      <c r="H9" s="5" t="inlineStr">
        <is>
          <t>Son of Yash Chopra and Pamela Chopra; denied admission to the National School of Drama because of a severe stammer.</t>
        </is>
      </c>
      <c r="I9" s="5" t="inlineStr">
        <is>
          <t>Directorial debut Dilwale Dulhania Le Jayenge (1995), made at 23.</t>
        </is>
      </c>
      <c r="J9" s="5" t="inlineStr">
        <is>
          <t>Dilwale Dulhania Le Jayenge (1995); Dil To Pagal Hai (1997, dialogue); Mohabbatein (2000); Veer-Zaara (2004, writer and producer); Rab Ne Bana Di Jodi (2008); Jab Tak Hai Jaan (2012, writer); Pathaan (2023, producer)</t>
        </is>
      </c>
      <c r="K9" s="19" t="inlineStr">
        <is>
          <t>Romantic idealism, tradition versus modernity, and love as a moral force.</t>
        </is>
      </c>
      <c r="L9" s="19" t="inlineStr">
        <is>
          <t>Emotionally direct romance built around star performances; later large franchise productions as a producer.</t>
        </is>
      </c>
      <c r="M9" s="5" t="inlineStr">
        <is>
          <t>Filmfare Award for Best Director for Dilwale Dulhania Le Jayenge; National Film Awards in 1995, 2004, 2007 and 2015</t>
        </is>
      </c>
      <c r="N9" s="19" t="inlineStr">
        <is>
          <t>Described as the highest-grossing Indian film producer of all time and the most influential executive in Indian entertainment; DDLJ is one of the most successful Hindi films.</t>
        </is>
      </c>
      <c r="O9" s="19" t="inlineStr">
        <is>
          <t>Khan's most important creative partner: Chopra directed him in all three of his films as director and wrote or produced six more, from Veer-Zaara to Pathaan and Tiger 3.</t>
        </is>
      </c>
      <c r="P9" s="17" t="n">
        <v>9</v>
      </c>
      <c r="Q9" s="5" t="inlineStr">
        <is>
          <t>FILM-016; FILM-037; FILM-050; FILM-060; FILM-067; FILM-077; FILM-083; FILM-094; FILM-096</t>
        </is>
      </c>
      <c r="R9" s="5" t="inlineStr">
        <is>
          <t>Dilwale Dulhania Le Jayenge (1995)</t>
        </is>
      </c>
      <c r="S9" s="5" t="inlineStr">
        <is>
          <t>Aditya Chopra, born on 21 May 1971, is the son of Yash Chopra and the chairman of Yash Raj Films. As a young applicant he was refused admission to the National School of Drama because of a severe stammer. At 23 he wrote and directed Dilwale Dulhania Le Jayenge (1995), starring Shah Rukh Khan and Kajol, which became one of the biggest hits of all time. It won the National Film Award for Best Popular Film and the Filmfare Award for Best Film, and Chopra won Best Director. He wrote the story and dialogue for his father's Dil To Pagal Hai (1997). He directed Khan again in Mohabbatein (2000), opposite Amitabh Bachchan, and in Rab Ne Bana Di Jodi (2008), which introduced Anushka Sharma. He also wrote and produced Veer-Zaara (2004) and Jab Tak Hai Jaan (2012) for his father. As head of the studio he produced Chak De! India (2007), Fan (2016) and the spy films Pathaan (2023) and Tiger 3 (2023), which returned Khan to box-office dominance. He is described as the highest-grossing Indian film producer of all time and the most influential executive in Indian entertainment, while avoiding publicity. He married Rani Mukerji in 2014.</t>
        </is>
      </c>
      <c r="T9" s="5" t="inlineStr">
        <is>
          <t>SOURCE-133; SOURCE-019; SOURCE-070</t>
        </is>
      </c>
      <c r="U9" s="5" t="inlineStr">
        <is>
          <t>Medium</t>
        </is>
      </c>
    </row>
    <row r="10" ht="154" customHeight="1">
      <c r="A10" s="15" t="inlineStr">
        <is>
          <t>PERSON-009</t>
        </is>
      </c>
      <c r="B10" s="5" t="inlineStr">
        <is>
          <t>Jatin–Lalit</t>
        </is>
      </c>
      <c r="C10" s="5" t="inlineStr">
        <is>
          <t>Song composers (duo)</t>
        </is>
      </c>
      <c r="D10" s="20" t="n"/>
      <c r="E10" s="20" t="n"/>
      <c r="F10" s="5" t="inlineStr">
        <is>
          <t>1991–2006</t>
        </is>
      </c>
      <c r="G10" s="5" t="inlineStr">
        <is>
          <t>Hindi</t>
        </is>
      </c>
      <c r="H10" s="5" t="inlineStr">
        <is>
          <t>Brothers Jatin and Lalit Pandit, nephews of the classical vocalist Pandit Jasraj, trained by their father Pandit Pratap Narayan and by Pyarelal Sharma; their sisters are Sulakshana and Vijayta Pandit.</t>
        </is>
      </c>
      <c r="I10" s="5" t="inlineStr">
        <is>
          <t>Private album Rhythmic Love; first noticed for Khiladi and Jo Jeeta Wohi Sikander.</t>
        </is>
      </c>
      <c r="J10" s="5" t="inlineStr">
        <is>
          <t>Jo Jeeta Wohi Sikander (1992); Khiladi (1992); Kabhi Haan Kabhi Naa (1994); Dilwale Dulhania Le Jayenge (1995); Yes Boss (1997); Kuch Kuch Hota Hai (1998); Mohabbatein (2000); Kabhi Khushi Kabhie Gham (2001); Chalte Chalte (2003)</t>
        </is>
      </c>
      <c r="K10" s="19" t="inlineStr">
        <is>
          <t>Melodious romantic songs.</t>
        </is>
      </c>
      <c r="L10" s="19" t="n"/>
      <c r="M10" s="5" t="inlineStr">
        <is>
          <t>Filmfare Best Music Director nominations including Jo Jeeta Wohi Sikander, Dilwale Dulhania Le Jayenge, Yes Boss and Chalte Chalte</t>
        </is>
      </c>
      <c r="N10" s="19" t="inlineStr">
        <is>
          <t>Their Dilwale Dulhania Le Jayenge score is remembered as one of the best Bollywood soundtracks.</t>
        </is>
      </c>
      <c r="O10" s="19" t="inlineStr">
        <is>
          <t>The sound of Khan's 1990s romances: they scored nine of his films, including Dilwale Dulhania Le Jayenge, Kuch Kuch Hota Hai, Mohabbatein and Kabhi Khushi Kabhie Gham.</t>
        </is>
      </c>
      <c r="P10" s="17" t="n">
        <v>9</v>
      </c>
      <c r="Q10" s="5" t="inlineStr">
        <is>
          <t>FILM-003; FILM-010; FILM-016; FILM-025; FILM-031; FILM-033; FILM-037; FILM-041; FILM-046</t>
        </is>
      </c>
      <c r="R10" s="5" t="inlineStr">
        <is>
          <t>Dilwale Dulhania Le Jayenge (1995)</t>
        </is>
      </c>
      <c r="S10" s="5" t="inlineStr">
        <is>
          <t>Jatin–Lalit are the brothers Jatin and Lalit Pandit, from a musical family originally from Hissar district, Haryana. Their uncle was the classical vocalist Pandit Jasraj, their sisters are the actresses Sulakshana and Vijayta Pandit, and the composer Aadesh Shrivastava was their brother-in-law. Trained by their father and by Pyarelal Sharma, they formed the duo after Jatin's earlier partnership with his brother Mandheer faded, beginning with the private album Rhythmic Love. They were first noticed for Khiladi and Jo Jeeta Wohi Sikander (1992). Their first film with Shah Rukh Khan was Raju Ban Gaya Gentleman (1992), followed by Kabhi Haan Kabhi Naa (1994). Their score for Dilwale Dulhania Le Jayenge (1995) was a massive success and is remembered as one of the best Bollywood soundtracks. They went on to score Khan's Yes Boss, Kuch Kuch Hota Hai, Phir Bhi Dil Hai Hindustani, Mohabbatein, Kabhi Khushi Kabhie Gham and Chalte Chalte, and have worked independently since 2006.</t>
        </is>
      </c>
      <c r="T10" s="5" t="inlineStr">
        <is>
          <t>SOURCE-118; SOURCE-019; SOURCE-034</t>
        </is>
      </c>
      <c r="U10" s="5" t="inlineStr">
        <is>
          <t>Medium</t>
        </is>
      </c>
    </row>
    <row r="11" ht="154" customHeight="1">
      <c r="A11" s="15" t="inlineStr">
        <is>
          <t>PERSON-010</t>
        </is>
      </c>
      <c r="B11" s="5" t="inlineStr">
        <is>
          <t>Shankar–Ehsaan–Loy</t>
        </is>
      </c>
      <c r="C11" s="5" t="inlineStr">
        <is>
          <t>Composers (trio, songs and score)</t>
        </is>
      </c>
      <c r="D11" s="20" t="n"/>
      <c r="E11" s="20" t="n"/>
      <c r="F11" s="5" t="inlineStr">
        <is>
          <t>1997–present</t>
        </is>
      </c>
      <c r="G11" s="5" t="inlineStr">
        <is>
          <t>Hindi; Tamil; Malayalam; Telugu; Marathi; English</t>
        </is>
      </c>
      <c r="H11" s="5" t="inlineStr">
        <is>
          <t>Shankar Mahadevan, Ehsaan Noorani and Loy Mendonsa; Loy composed the title track for Khan's early television serial Fauji.</t>
        </is>
      </c>
      <c r="I11" s="5" t="n"/>
      <c r="J11" s="5" t="inlineStr">
        <is>
          <t>Dil Chahta Hai (2001); Kal Ho Naa Ho (2003); Kabhi Alvida Naa Kehna (2006); Don (2006); My Name Is Khan (2010); Zindagi Na Milegi Dobara (2011); Don 2 (2011); Dil Dhadakne Do (2015)</t>
        </is>
      </c>
      <c r="K11" s="19" t="inlineStr">
        <is>
          <t>Rock, world and Indian classical fusion.</t>
        </is>
      </c>
      <c r="L11" s="19" t="n"/>
      <c r="M11" s="5" t="inlineStr">
        <is>
          <t>National Film Award for Best Music Direction and Filmfare Award for Best Music Director (Kal Ho Naa Ho); IIFA Awards; Padma Shri for Shankar Mahadevan (2019)</t>
        </is>
      </c>
      <c r="N11" s="19" t="inlineStr">
        <is>
          <t>Called the 'Amar Akbar Anthony' of Hindi film music; over 50 soundtracks in five languages.</t>
        </is>
      </c>
      <c r="O11" s="19" t="inlineStr">
        <is>
          <t>Composed eight Khan films, including Kal Ho Naa Ho, Kabhi Alvida Naa Kehna, both Don films and My Name Is Khan; Loy's association with Khan dates back to Fauji.</t>
        </is>
      </c>
      <c r="P11" s="17" t="n">
        <v>8</v>
      </c>
      <c r="Q11" s="5" t="inlineStr">
        <is>
          <t>FILM-047; FILM-057; FILM-058; FILM-061; FILM-068; FILM-071; FILM-076; FILM-090</t>
        </is>
      </c>
      <c r="R11" s="5" t="inlineStr">
        <is>
          <t>Kal Ho Naa Ho (2003)</t>
        </is>
      </c>
      <c r="S11" s="5" t="inlineStr">
        <is>
          <t>Shankar–Ehsaan–Loy is the trio of Shankar Mahadevan, Ehsaan Noorani and Loy Mendonsa, who have composed over 50 soundtracks in Hindi, Tamil, Malayalam, Telugu, Marathi and English and are often called the 'Amar Akbar Anthony' of Hindi film music. They are known for Dil Chahta Hai (2001), Kal Ho Naa Ho (2003), Kabhi Alvida Naa Kehna (2006), My Name Is Khan (2010), Zindagi Na Milegi Dobara (2011) and Dil Dhadakne Do (2015), and have won National Film Awards, Filmfare Awards and IIFA Awards; Shankar Mahadevan received the Padma Shri in 2019. Loy Mendonsa's link with Shah Rukh Khan predates films: he composed the title track for Khan's television serial Fauji. The trio's first collaboration with Karan Johar, Kal Ho Naa Ho, won them the National Film Award for Best Music Direction and the Filmfare Award for Best Music Director. They went on to compose Khan's Kabhi Alvida Naa Kehna, Don, Heyy Babyy, Luck by Chance, My Name Is Khan and Don 2, and The Zoya Factor, which he narrates.</t>
        </is>
      </c>
      <c r="T11" s="5" t="inlineStr">
        <is>
          <t>SOURCE-161; SOURCE-050; SOURCE-074</t>
        </is>
      </c>
      <c r="U11" s="5" t="inlineStr">
        <is>
          <t>Medium</t>
        </is>
      </c>
    </row>
    <row r="12" ht="154" customHeight="1">
      <c r="A12" s="15" t="inlineStr">
        <is>
          <t>PERSON-011</t>
        </is>
      </c>
      <c r="B12" s="5" t="inlineStr">
        <is>
          <t>Vishal–Shekhar</t>
        </is>
      </c>
      <c r="C12" s="5" t="inlineStr">
        <is>
          <t>Song composers (duo)</t>
        </is>
      </c>
      <c r="D12" s="20" t="n"/>
      <c r="E12" s="20" t="n"/>
      <c r="F12" s="5" t="inlineStr">
        <is>
          <t>1999–present</t>
        </is>
      </c>
      <c r="G12" s="5" t="inlineStr">
        <is>
          <t>Hindi</t>
        </is>
      </c>
      <c r="H12" s="5" t="inlineStr">
        <is>
          <t>Vishal Dadlani, vocalist of the electronic band Pentagram, and the classically trained singer Shekhar Ravjiani, childhood friends who met again while recording Pyaar Mein Kabhi Kabhi (1999).</t>
        </is>
      </c>
      <c r="I12" s="5" t="inlineStr">
        <is>
          <t>First duo work as guest composers on Champion.</t>
        </is>
      </c>
      <c r="J12" s="5" t="inlineStr">
        <is>
          <t>Jhankaar Beats (2003); Dus (2005); Om Shanti Om (2007); Dostana (2008); Ra.One (2011); Chennai Express (2013); Happy New Year (2014); War (2019); Pathaan (2023)</t>
        </is>
      </c>
      <c r="K12" s="19" t="inlineStr">
        <is>
          <t>Electronic dance, pop, hip hop and Sufi-inflected film songs.</t>
        </is>
      </c>
      <c r="L12" s="19" t="n"/>
      <c r="M12" s="5" t="inlineStr">
        <is>
          <t>Asian Film Award for Best Composer (Om Shanti Om); multiple Filmfare Best Music Director nominations</t>
        </is>
      </c>
      <c r="N12" s="19" t="inlineStr">
        <is>
          <t>Featured on over 350 film soundtracks, with more than 3 billion YouTube streams and 72 number-one singles.</t>
        </is>
      </c>
      <c r="O12" s="19" t="inlineStr">
        <is>
          <t>Composed the songs for eight Khan films, from I See You and Om Shanti Om to Ra.One, Chennai Express, Happy New Year, Fan and Pathaan; Vishal Dadlani appears in Om Shanti Om.</t>
        </is>
      </c>
      <c r="P12" s="17" t="n">
        <v>8</v>
      </c>
      <c r="Q12" s="5" t="inlineStr">
        <is>
          <t>FILM-059; FILM-062; FILM-065; FILM-075; FILM-079; FILM-081; FILM-083; FILM-094</t>
        </is>
      </c>
      <c r="R12" s="5" t="inlineStr">
        <is>
          <t>Om Shanti Om (2007)</t>
        </is>
      </c>
      <c r="S12" s="5" t="inlineStr">
        <is>
          <t>Vishal–Shekhar are Vishal Dadlani, vocalist of the Mumbai electronic band Pentagram, and Shekhar Ravjiani, a trained classical singer. Childhood friends, they met again in the studio while both contributing to Pyaar Mein Kabhi Kabhi (1999) and formed a duo, first working as guest composers on Champion. Their soundtracks include Jhankaar Beats, Dus, Salaam Namaste, Bluffmaster, Tashan, Dostana, Student of the Year, War and Fighter, and they have collaborated with Akon, Imogen Heap and Diplo. They have been featured on over 350 soundtracks and streamed more than 3 billion times on YouTube. They are Shah Rukh Khan's leading composers of the 2000s–2020s: after a song in I See You (2006), they scored Om Shanti Om (2007), which won the Asian Film Award for Best Composer and in which Dadlani appears as a director, followed by Bhoothnath, Ra.One, Chennai Express, Happy New Year, Fan's marketing song and Pathaan (2023). They have also judged Indian Idol and Sa Re Ga Ma Pa.</t>
        </is>
      </c>
      <c r="T12" s="5" t="inlineStr">
        <is>
          <t>SOURCE-170; SOURCE-065; SOURCE-097</t>
        </is>
      </c>
      <c r="U12" s="5" t="inlineStr">
        <is>
          <t>Medium</t>
        </is>
      </c>
    </row>
    <row r="13" ht="184" customHeight="1">
      <c r="A13" s="15" t="inlineStr">
        <is>
          <t>PERSON-012</t>
        </is>
      </c>
      <c r="B13" s="5" t="inlineStr">
        <is>
          <t>Yash Chopra</t>
        </is>
      </c>
      <c r="C13" s="5" t="inlineStr">
        <is>
          <t>Director; producer (founder of Yash Raj Films)</t>
        </is>
      </c>
      <c r="D13" s="17" t="n">
        <v>1932</v>
      </c>
      <c r="E13" s="17" t="n">
        <v>2012</v>
      </c>
      <c r="F13" s="5" t="inlineStr">
        <is>
          <t>1959–2012</t>
        </is>
      </c>
      <c r="G13" s="5" t="inlineStr">
        <is>
          <t>Hindi</t>
        </is>
      </c>
      <c r="H13" s="5" t="inlineStr">
        <is>
          <t>Began as an assistant director to I. S. Johar and his elder brother B. R. Chopra.</t>
        </is>
      </c>
      <c r="I13" s="5" t="inlineStr">
        <is>
          <t>Directorial debut Dhool Ka Phool (1959); rose to prominence with the ensemble family drama Waqt (1965).</t>
        </is>
      </c>
      <c r="J13" s="5" t="inlineStr">
        <is>
          <t>Dhool Ka Phool (1959); Dharmputra (1961); Waqt (1965); Daag (1973); Darr (1993); Dil To Pagal Hai (1997); Veer-Zaara (2004); Jab Tak Hai Jaan (2012)</t>
        </is>
      </c>
      <c r="K13" s="19" t="inlineStr">
        <is>
          <t>Romantic films with strong female leads; love triangles, obsession and star-crossed lovers.</t>
        </is>
      </c>
      <c r="L13" s="19" t="inlineStr">
        <is>
          <t>Lavish romantic musicals with picturesque locations and prominent songs.</t>
        </is>
      </c>
      <c r="M13" s="5" t="inlineStr">
        <is>
          <t>6 National Film Awards; 8 Filmfare Awards; Dadasaheb Phalke Award (2001); Padma Bhushan (2005); BAFTA lifetime membership (2006), the first Indian so honoured; Filmfare Lifetime Achievement Award (2013, posthumous)</t>
        </is>
      </c>
      <c r="N13" s="19" t="inlineStr">
        <is>
          <t>Considered among the best Hindi filmmakers; Waqt pioneered the ensemble cast, and Yash Raj Films became a major studio.</t>
        </is>
      </c>
      <c r="O13" s="19" t="inlineStr">
        <is>
          <t>Directed four of Khan's defining romances, beginning with Darr, and produced three more, including Dilwale Dulhania Le Jayenge; Jab Tak Hai Jaan, starring Khan, was his last film.</t>
        </is>
      </c>
      <c r="P13" s="17" t="n">
        <v>7</v>
      </c>
      <c r="Q13" s="5" t="inlineStr">
        <is>
          <t>FILM-009; FILM-016; FILM-027; FILM-037; FILM-050; FILM-067; FILM-077</t>
        </is>
      </c>
      <c r="R13" s="5" t="inlineStr">
        <is>
          <t>Dil To Pagal Hai (1997)</t>
        </is>
      </c>
      <c r="S13" s="5" t="inlineStr">
        <is>
          <t>Yash Raj Chopra (27 September 1932 – 21 October 2012) began his career as an assistant director to I. S. Johar and to his elder brother B. R. Chopra. He made his directorial debut with Dhool Ka Phool (1959), a melodrama about illegitimacy, followed it with Dharmputra (1961), and rose to prominence with Waqt (1965), which pioneered ensemble casts in Hindi cinema. In 1970 he founded Yash Raj Films, whose first production was Daag (1973). He became especially admired for romantic films with strong female leads, and won six National Film Awards, eight Filmfare Awards, the Dadasaheb Phalke Award (2001), the Padma Bhushan (2005) and, in 2006, the first BAFTA lifetime membership given to an Indian. Chopra's association with Shah Rukh Khan began with Darr (1993), in which Khan's obsessive lover became a career milestone. As producer he backed his son Aditya's Dilwale Dulhania Le Jayenge (1995) and Mohabbatein (2000). He directed Khan in the love quadrangle Dil To Pagal Hai (1997), which won Khan the Filmfare Award for Best Actor, and in Veer-Zaara (2004), the year's biggest hit. He also produced Rab Ne Bana Di Jodi (2008). His final film, Jab Tak Hai Jaan (2012), was released after his death in October 2012, and he received a posthumous Filmfare Lifetime Achievement Award.</t>
        </is>
      </c>
      <c r="T13" s="5" t="inlineStr">
        <is>
          <t>SOURCE-128; SOURCE-012; SOURCE-053; SOURCE-080</t>
        </is>
      </c>
      <c r="U13" s="5" t="inlineStr">
        <is>
          <t>Medium</t>
        </is>
      </c>
    </row>
    <row r="14" ht="139" customHeight="1">
      <c r="A14" s="15" t="inlineStr">
        <is>
          <t>PERSON-013</t>
        </is>
      </c>
      <c r="B14" s="5" t="inlineStr">
        <is>
          <t>Javed Siddiqui</t>
        </is>
      </c>
      <c r="C14" s="5" t="inlineStr">
        <is>
          <t>Screenwriter; dialogue writer; playwright</t>
        </is>
      </c>
      <c r="D14" s="17" t="n">
        <v>1942</v>
      </c>
      <c r="E14" s="20" t="n"/>
      <c r="F14" s="5" t="inlineStr">
        <is>
          <t>1977–present</t>
        </is>
      </c>
      <c r="G14" s="5" t="inlineStr">
        <is>
          <t>Hindi; Urdu</t>
        </is>
      </c>
      <c r="H14" s="5" t="inlineStr">
        <is>
          <t>A Hindi and Urdu screenwriter and playwright who has worked with art-house directors such as Satyajit Ray and Shyam Benegal and commercial directors such as Yash Chopra and Subhash Ghai.</t>
        </is>
      </c>
      <c r="I14" s="5" t="n"/>
      <c r="J14" s="5" t="inlineStr">
        <is>
          <t>Baazigar (1993); Darr (1993, dialogues); Zamaana Deewana (1995); Dilwale Dulhania Le Jayenge (1995, dialogues); Chaahat (1996); Pardes (1997, dialogues); Duplicate (1998)</t>
        </is>
      </c>
      <c r="K14" s="19" t="inlineStr">
        <is>
          <t>Dialogue for romantic and thriller melodrama.</t>
        </is>
      </c>
      <c r="L14" s="19" t="n"/>
      <c r="M14" s="5" t="inlineStr">
        <is>
          <t>Two Filmfare Awards (1994, 1996): Best Screenplay for Baazigar (shared) and Best Dialogue for Dilwale Dulhania Le Jayenge (shared with Aditya Chopra); two Star Screen Awards; a BFJA Award</t>
        </is>
      </c>
      <c r="N14" s="19" t="inlineStr">
        <is>
          <t>Has written over 50 storylines, screenplays and dialogues across commercial and art cinema.</t>
        </is>
      </c>
      <c r="O14" s="19" t="inlineStr">
        <is>
          <t>Wrote or co-wrote seven Khan films in the 1990s, including the Filmfare-winning screenplay of Baazigar and the dialogue of Dilwale Dulhania Le Jayenge.</t>
        </is>
      </c>
      <c r="P14" s="17" t="n">
        <v>6</v>
      </c>
      <c r="Q14" s="5" t="inlineStr">
        <is>
          <t>FILM-008; FILM-009; FILM-013; FILM-020; FILM-026; FILM-028</t>
        </is>
      </c>
      <c r="R14" s="5" t="inlineStr">
        <is>
          <t>Dilwale Dulhania Le Jayenge (1995)</t>
        </is>
      </c>
      <c r="S14" s="5" t="inlineStr">
        <is>
          <t>Javed Siddiqui, born on 13 January 1942, is a Hindi and Urdu screenwriter, dialogue writer and playwright who has written over 50 storylines, screenplays and dialogues. He has worked with independent directors including Satyajit Ray and Shyam Benegal and commercial directors including Yash Chopra and Subhash Ghai, and has won two Filmfare Awards, two Star Screen Awards and a BFJA Award. In the 1990s he was one of the most frequent writers on Shah Rukh Khan's films. With Robin Bhatt and Akash Khurana he wrote Baazigar (1993), whose screenplay won the Filmfare Award, and the same team wrote Chaahat (1996) and Duplicate (1998). He wrote the dialogue for Yash Chopra's Darr (1993), co-wrote Zamaana Deewana (1995), wrote the dialogue for Subhash Ghai's Pardes (1997), and shared the Filmfare Award for Best Dialogue with Aditya Chopra for Dilwale Dulhania Le Jayenge (1995).</t>
        </is>
      </c>
      <c r="T14" s="5" t="inlineStr">
        <is>
          <t>SOURCE-125; SOURCE-011; SOURCE-019</t>
        </is>
      </c>
      <c r="U14" s="5" t="inlineStr">
        <is>
          <t>Medium</t>
        </is>
      </c>
    </row>
    <row r="15" ht="139" customHeight="1">
      <c r="A15" s="15" t="inlineStr">
        <is>
          <t>PERSON-014</t>
        </is>
      </c>
      <c r="B15" s="5" t="inlineStr">
        <is>
          <t>Salim–Sulaiman</t>
        </is>
      </c>
      <c r="C15" s="5" t="inlineStr">
        <is>
          <t>Composers (duo, songs and score)</t>
        </is>
      </c>
      <c r="D15" s="20" t="n"/>
      <c r="E15" s="20" t="n"/>
      <c r="F15" s="5" t="inlineStr">
        <is>
          <t>1993–present</t>
        </is>
      </c>
      <c r="G15" s="5" t="inlineStr">
        <is>
          <t>Hindi</t>
        </is>
      </c>
      <c r="H15" s="5" t="inlineStr">
        <is>
          <t>Brothers Salim and Sulaiman Merchant, from a family rooted in Mundra, Kutch; inspired by their father Sadruddin Merchant, who led the Ismaili Scouts Orchestra.</t>
        </is>
      </c>
      <c r="I15" s="5" t="n"/>
      <c r="J15" s="5" t="inlineStr">
        <is>
          <t>Kaal (2005); Chak De! India (2007); Neal 'n' Nikki (2005); Rab Ne Bana Di Jodi (2008); Fashion (2008); Love Breakups Zindagi (2011)</t>
        </is>
      </c>
      <c r="K15" s="19" t="inlineStr">
        <is>
          <t>Songs and background scores; Indi-pop and advertising work.</t>
        </is>
      </c>
      <c r="L15" s="19" t="n"/>
      <c r="M15" s="5" t="n"/>
      <c r="N15" s="19" t="inlineStr">
        <is>
          <t>Worked with Yash Chopra, Subhash Ghai and Ram Gopal Varma; Salim Merchant judged Indian Idol season five.</t>
        </is>
      </c>
      <c r="O15" s="19" t="inlineStr">
        <is>
          <t>Composed or scored six Khan films, notably the songs of Chak De! India and Rab Ne Bana Di Jodi.</t>
        </is>
      </c>
      <c r="P15" s="17" t="n">
        <v>6</v>
      </c>
      <c r="Q15" s="5" t="inlineStr">
        <is>
          <t>FILM-053; FILM-060; FILM-061; FILM-065; FILM-067; FILM-074</t>
        </is>
      </c>
      <c r="R15" s="5" t="inlineStr">
        <is>
          <t>Chak De! India (2007)</t>
        </is>
      </c>
      <c r="S15" s="5" t="inlineStr">
        <is>
          <t>Salim–Sulaiman are the brothers Salim and Sulaiman Merchant, whose ancestral town is Mundra in Kutch and who were inspired by their father Sadruddin Merchant, leader of the Ismaili Scouts Orchestra. They composed for Indi-pop acts such as Viva, Aasmaan, Shweta Shetty and Jasmine, produced television commercials, and worked with K. S. Chithra, Zakir Hussain and Sultan Khan before scoring films such as Neal 'n' Nikki, Chak De! India, Rab Ne Bana Di Jodi and Fashion for producers and directors including Yash Chopra, Subhash Ghai and Ram Gopal Varma. Salim Merchant judged the fifth season of Indian Idol. For Shah Rukh Khan they composed songs for the Red Chillies–Dharma horror film Kaal (2005), the songs of Chak De! India (2007) and Rab Ne Bana Di Jodi (2008), whose 'Haule Haule' won Sukhwinder Singh a Filmfare Award, and Love Breakups Zindagi (2011). They also wrote the background scores for Heyy Babyy and Bhoothnath.</t>
        </is>
      </c>
      <c r="T15" s="5" t="inlineStr">
        <is>
          <t>SOURCE-165; SOURCE-063; SOURCE-070</t>
        </is>
      </c>
      <c r="U15" s="5" t="inlineStr">
        <is>
          <t>Medium</t>
        </is>
      </c>
    </row>
    <row r="16" ht="139" customHeight="1">
      <c r="A16" s="15" t="inlineStr">
        <is>
          <t>PERSON-015</t>
        </is>
      </c>
      <c r="B16" s="5" t="inlineStr">
        <is>
          <t>A. R. Rahman</t>
        </is>
      </c>
      <c r="C16" s="5" t="inlineStr">
        <is>
          <t>Composer (songs and score); singer; record producer</t>
        </is>
      </c>
      <c r="D16" s="17" t="n">
        <v>1967</v>
      </c>
      <c r="E16" s="20" t="n"/>
      <c r="F16" s="5" t="n"/>
      <c r="G16" s="5" t="inlineStr">
        <is>
          <t>Tamil; Hindi; international</t>
        </is>
      </c>
      <c r="H16" s="5" t="inlineStr">
        <is>
          <t>Born A. S. Dileep Kumar; began scoring films from his in-house Panchathan Record Inn studio in the early 1990s.</t>
        </is>
      </c>
      <c r="I16" s="5" t="inlineStr">
        <is>
          <t>Roja (1992, Tamil).</t>
        </is>
      </c>
      <c r="J16" s="5" t="inlineStr">
        <is>
          <t>Roja (1992); Bombay (1995); Dil Se.. (1998); Saathiya (2002); Swades (2004); Slumdog Millionaire (2008); Couples Retreat (2009); Jab Tak Hai Jaan (2012)</t>
        </is>
      </c>
      <c r="K16" s="19" t="inlineStr">
        <is>
          <t>Fusion of Indian classical, folk and electronic music.</t>
        </is>
      </c>
      <c r="L16" s="19" t="n"/>
      <c r="M16" s="5" t="inlineStr">
        <is>
          <t>7 National Film Awards; 2 Academy Awards and 2 Grammy Awards (Slumdog Millionaire); a BAFTA and a Golden Globe; 15 Filmfare Awards; 18 Filmfare Awards South; Padma Bhushan (2010)</t>
        </is>
      </c>
      <c r="N16" s="19" t="inlineStr">
        <is>
          <t>India's most internationally celebrated film composer.</t>
        </is>
      </c>
      <c r="O16" s="19" t="inlineStr">
        <is>
          <t>Composed five Khan films, including Dil Se.., whose soundtrack sold six million units, and Swades, which won him the Filmfare Award for Best Background Score.</t>
        </is>
      </c>
      <c r="P16" s="17" t="n">
        <v>5</v>
      </c>
      <c r="Q16" s="5" t="inlineStr">
        <is>
          <t>FILM-030; FILM-039; FILM-045; FILM-051; FILM-077</t>
        </is>
      </c>
      <c r="R16" s="5" t="inlineStr">
        <is>
          <t>Dil Se.. (1998)</t>
        </is>
      </c>
      <c r="S16" s="5" t="inlineStr">
        <is>
          <t>A. R. Rahman, born A. S. Dileep Kumar on 6 January 1967, is a composer, record producer, singer and songwriter working mainly in Tamil and Hindi cinema, with occasional international projects. His film-scoring career began in the early 1990s with Mani Ratnam's Roja, followed by Bombay, Kaadhalan, Thiruda Thiruda and Gentleman. His honours include seven National Film Awards, two Academy Awards and two Grammy Awards for Slumdog Millionaire and 'Jai Ho', a BAFTA, a Golden Globe, fifteen Filmfare Awards, eighteen Filmfare Awards South and the Padma Bhushan (2010). For Shah Rukh Khan he composed Dil Se.. (1998), whose songs, including 'Chaiyya Chaiyya', won him the Filmfare Award for Best Music Director and sold six million units in India. He also scored One 2 Ka 4 (2001), Saathiya (2002), Swades (2004), which won him the Filmfare Award for Best Background Score, and Yash Chopra's Jab Tak Hai Jaan (2012), with lyrics by Gulzar.</t>
        </is>
      </c>
      <c r="T16" s="5" t="inlineStr">
        <is>
          <t>SOURCE-142; SOURCE-033; SOURCE-054</t>
        </is>
      </c>
      <c r="U16" s="5" t="inlineStr">
        <is>
          <t>Medium</t>
        </is>
      </c>
    </row>
    <row r="17" ht="169" customHeight="1">
      <c r="A17" s="15" t="inlineStr">
        <is>
          <t>PERSON-016</t>
        </is>
      </c>
      <c r="B17" s="5" t="inlineStr">
        <is>
          <t>Aziz Mirza</t>
        </is>
      </c>
      <c r="C17" s="5" t="inlineStr">
        <is>
          <t>Director; producer; screenwriter (co-founder of Dreamz Unlimited)</t>
        </is>
      </c>
      <c r="D17" s="17" t="n">
        <v>1947</v>
      </c>
      <c r="E17" s="20" t="n"/>
      <c r="F17" s="5" t="inlineStr">
        <is>
          <t>1985–2008</t>
        </is>
      </c>
      <c r="G17" s="5" t="inlineStr">
        <is>
          <t>Hindi</t>
        </is>
      </c>
      <c r="H17" s="5" t="inlineStr">
        <is>
          <t>Son of the screenwriter Akhtar Mirza and brother of the filmmaker Saeed Mirza; in 1985 he co-founded the production company Iskra with Saeed Mirza and Kundan Shah.</t>
        </is>
      </c>
      <c r="I17" s="5" t="inlineStr">
        <is>
          <t>Directed the television serial Circus (1989), starring Ashutosh Gowariker and Shah Rukh Khan; film debut Raju Ban Gaya Gentleman (1992).</t>
        </is>
      </c>
      <c r="J17" s="5" t="inlineStr">
        <is>
          <t>Circus (TV, 1989); Raju Ban Gaya Gentleman (1992); Yes Boss (1997); Phir Bhi Dil Hai Hindustani (2000); Chalte Chalte (2003); Kismat Konnection (2008)</t>
        </is>
      </c>
      <c r="K17" s="19" t="inlineStr">
        <is>
          <t>Common-man heroes, gentle romantic comedy and moral fables about ambition and integrity.</t>
        </is>
      </c>
      <c r="L17" s="19" t="inlineStr">
        <is>
          <t>Warm, character-driven comedy; Raju Ban Gaya Gentleman was modelled on Raj Kapoor's Shree 420.</t>
        </is>
      </c>
      <c r="M17" s="5" t="inlineStr">
        <is>
          <t>Filmfare Award for Best Screenplay, Raju Ban Gaya Gentleman (shared with Manoj Lalwani)</t>
        </is>
      </c>
      <c r="N17" s="19" t="inlineStr">
        <is>
          <t>One of Khan's earliest mentors, from television to film, and a co-founder with him and Juhi Chawla of Dreamz Unlimited, the forerunner of Red Chillies Entertainment.</t>
        </is>
      </c>
      <c r="O17" s="19" t="inlineStr">
        <is>
          <t>Directed Khan on television in Circus and in four films, co-founded Dreamz Unlimited with him, and made Kismat Konnection with Khan as narrator.</t>
        </is>
      </c>
      <c r="P17" s="17" t="n">
        <v>5</v>
      </c>
      <c r="Q17" s="5" t="inlineStr">
        <is>
          <t>FILM-003; FILM-025; FILM-033; FILM-046; FILM-066</t>
        </is>
      </c>
      <c r="R17" s="5" t="inlineStr">
        <is>
          <t>Chalte Chalte (2003)</t>
        </is>
      </c>
      <c r="S17" s="5" t="inlineStr">
        <is>
          <t>Aziz Mirza, born on 1 January 1947, is the son of the screenwriter Akhtar Mirza and the brother of the filmmaker Saeed Mirza. In 1985 he joined Saeed Mirza and Kundan Shah in founding the production company Iskra. He made his directorial debut with the 1989 television serial Circus, starring Ashutosh Gowariker and Shah Rukh Khan, and moved to cinema with Raju Ban Gaya Gentleman (1992), inspired by Raj Kapoor's Shree 420. Khan played the ambitious engineer Raju, and the film won Mirza and Manoj Lalwani the Filmfare Award for Best Screenplay. Mirza directed Khan again in Yes Boss (1997), and in 1999 he founded Dreamz Unlimited with Khan and Juhi Chawla. The company's first film, the media satire Phir Bhi Dil Hai Hindustani (2000), was directed by Mirza but failed commercially. His third Dreamz Unlimited film, Chalte Chalte (2003), was the company's first box-office hit. After the death of his wife he took a break from directing, returning with Kismat Konnection (2008), for which Khan provided the narration. His films with Khan favour an ordinary, likeable hero whose romance is tied to his moral choices.</t>
        </is>
      </c>
      <c r="T17" s="5" t="inlineStr">
        <is>
          <t>SOURCE-116; SOURCE-006; SOURCE-049</t>
        </is>
      </c>
      <c r="U17" s="5" t="inlineStr">
        <is>
          <t>Medium</t>
        </is>
      </c>
    </row>
    <row r="18" ht="124" customHeight="1">
      <c r="A18" s="15" t="inlineStr">
        <is>
          <t>PERSON-017</t>
        </is>
      </c>
      <c r="B18" s="5" t="inlineStr">
        <is>
          <t>Robin Bhatt</t>
        </is>
      </c>
      <c r="C18" s="5" t="inlineStr">
        <is>
          <t>Screenwriter; producer; actor</t>
        </is>
      </c>
      <c r="D18" s="17" t="n">
        <v>1946</v>
      </c>
      <c r="E18" s="20" t="n"/>
      <c r="F18" s="5" t="inlineStr">
        <is>
          <t>1990–present</t>
        </is>
      </c>
      <c r="G18" s="5" t="inlineStr">
        <is>
          <t>Hindi</t>
        </is>
      </c>
      <c r="H18" s="5" t="inlineStr">
        <is>
          <t>Son of Nanabhai Bhatt and elder half-brother of Mahesh and Mukesh Bhatt; has written many films for Bhatt Productions and acted in over ten films.</t>
        </is>
      </c>
      <c r="I18" s="5" t="inlineStr">
        <is>
          <t>Aashiqui (1990) as writer.</t>
        </is>
      </c>
      <c r="J18" s="5" t="inlineStr">
        <is>
          <t>Aashiqui (1990); Baazigar (1993); Zamaana Deewana (1995); Chaahat (1996); Duplicate (1998); Koi... Mil Gaya (2003); Chalte Chalte (2003); Krrish (2006); Omkara (2006)</t>
        </is>
      </c>
      <c r="K18" s="19" t="inlineStr">
        <is>
          <t>Commercial thrillers and romances.</t>
        </is>
      </c>
      <c r="L18" s="19" t="n"/>
      <c r="M18" s="5" t="inlineStr">
        <is>
          <t>Filmfare Award for Best Screenplay (Baazigar); nominations for Omkara, Koi... Mil Gaya and Krrish; Lifetime Achievement Award, Jaipur International Film Festival (2019)</t>
        </is>
      </c>
      <c r="N18" s="19" t="inlineStr">
        <is>
          <t>Wrote about 66 films in a 20-year career.</t>
        </is>
      </c>
      <c r="O18" s="19" t="inlineStr">
        <is>
          <t>Co-wrote five Khan films, including the Filmfare-winning Baazigar, produced Chaahat, and co-wrote the screenplay of Chalte Chalte, in which he also acted.</t>
        </is>
      </c>
      <c r="P18" s="17" t="n">
        <v>5</v>
      </c>
      <c r="Q18" s="5" t="inlineStr">
        <is>
          <t>FILM-008; FILM-013; FILM-020; FILM-028; FILM-046</t>
        </is>
      </c>
      <c r="R18" s="5" t="inlineStr">
        <is>
          <t>Baazigar (1993)</t>
        </is>
      </c>
      <c r="S18" s="5" t="inlineStr">
        <is>
          <t>Robin Bhatt, born on 10 March 1946, is a screenwriter, the son of Nanabhai Bhatt and the elder half-brother of the filmmakers Mahesh and Mukesh Bhatt. His debut as a writer was Aashiqui (1990), and he has written about 66 films, many for Bhatt Productions, and acted in more than ten, including Chalte Chalte, Golmaal Returns and U Me Aur Hum. He was nominated for Filmfare awards for Omkara, Koi... Mil Gaya and Krrish, won for Baazigar, and received a Lifetime Achievement Award at the Jaipur International Film Festival in 2019. With Shah Rukh Khan he co-wrote Abbas–Mustan's Baazigar (1993), whose screenplay won the Filmfare Award, Zamaana Deewana (1995), Mahesh Bhatt's Chaahat (1996), which he also produced, and Duplicate (1998), and he co-wrote the screenplay of Aziz Mirza's Chalte Chalte (2003).</t>
        </is>
      </c>
      <c r="T18" s="5" t="inlineStr">
        <is>
          <t>SOURCE-126; SOURCE-011</t>
        </is>
      </c>
      <c r="U18" s="5" t="inlineStr">
        <is>
          <t>Medium</t>
        </is>
      </c>
    </row>
    <row r="19" ht="139" customHeight="1">
      <c r="A19" s="15" t="inlineStr">
        <is>
          <t>PERSON-018</t>
        </is>
      </c>
      <c r="B19" s="5" t="inlineStr">
        <is>
          <t>Venus Movies</t>
        </is>
      </c>
      <c r="C19" s="5" t="inlineStr">
        <is>
          <t>Production banner of the Jain brothers</t>
        </is>
      </c>
      <c r="D19" s="20" t="n"/>
      <c r="E19" s="20" t="n"/>
      <c r="F19" s="5" t="n"/>
      <c r="G19" s="5" t="inlineStr">
        <is>
          <t>Hindi</t>
        </is>
      </c>
      <c r="H19" s="5" t="inlineStr">
        <is>
          <t>Films under the banner were produced by members of the Jain family, among them Ganesh, Ratan, Champak, Bhawar, Girish and Umed Jain; Ganesh and Ratan Jain also founded the music label Venus Records &amp; Tapes in 1985.</t>
        </is>
      </c>
      <c r="I19" s="5" t="n"/>
      <c r="J19" s="5" t="inlineStr">
        <is>
          <t>Baazigar (1993); Yes Boss (1997); Baadshah (1999); Josh (2000, as Venus Films); Main Hoon Na (2004, with Red Chillies Entertainment)</t>
        </is>
      </c>
      <c r="K19" s="19" t="inlineStr">
        <is>
          <t>Mainstream thrillers, comedies and musicals with strong soundtracks.</t>
        </is>
      </c>
      <c r="L19" s="19" t="n"/>
      <c r="M19" s="5" t="inlineStr">
        <is>
          <t>Baazigar won four Filmfare Awards, including Best Actor for Khan.</t>
        </is>
      </c>
      <c r="N19" s="19" t="inlineStr">
        <is>
          <t>The associated music label, now Ishtar Music, became a major publisher of Bollywood soundtracks and Indi-pop.</t>
        </is>
      </c>
      <c r="O19" s="19" t="inlineStr">
        <is>
          <t>Produced five Khan films across a decade, from his breakthrough anti-hero in Baazigar to the Red Chillies co-production Main Hoon Na.</t>
        </is>
      </c>
      <c r="P19" s="17" t="n">
        <v>5</v>
      </c>
      <c r="Q19" s="5" t="inlineStr">
        <is>
          <t>FILM-008; FILM-025; FILM-032; FILM-035; FILM-049</t>
        </is>
      </c>
      <c r="R19" s="5" t="inlineStr">
        <is>
          <t>Baazigar (1993)</t>
        </is>
      </c>
      <c r="S19" s="5" t="inlineStr">
        <is>
          <t>Venus Movies is the film banner credited on five Shah Rukh Khan films produced by members of the Jain family. Ganesh and Champak Jain produced Baazigar (1993), Abbas–Mustan's thriller that won Khan the Filmfare Award for Best Actor. Ratan, Umed and Champak Jain produced Aziz Mirza's romantic comedy Yes Boss (1997), and Ganesh, Bhawar and Girish Jain produced Abbas–Mustan's Baadshah (1999). The banner, credited as Venus Films, produced Mansoor Khan's musical Josh (2000), and Ratan Jain co-produced Main Hoon Na (2004) with Gauri Khan's Red Chillies Entertainment. The Wikipedia article consulted covers the related music company rather than the film banner: Ganesh Jain and Ratan Jain founded Venus Music in 1985, which as Venus Records &amp; Tapes published and marketed Bollywood soundtracks and Indi-pop, and which Believe Digital acquired in 2021 and renamed Ishtar Music. The link between the label and the film banner rests on the shared founders' names.</t>
        </is>
      </c>
      <c r="T19" s="5" t="inlineStr">
        <is>
          <t>SOURCE-127; SOURCE-011; SOURCE-028</t>
        </is>
      </c>
      <c r="U19" s="5" t="inlineStr">
        <is>
          <t>Low</t>
        </is>
      </c>
    </row>
    <row r="20" ht="139" customHeight="1">
      <c r="A20" s="15" t="inlineStr">
        <is>
          <t>PERSON-019</t>
        </is>
      </c>
      <c r="B20" s="5" t="inlineStr">
        <is>
          <t>Aadesh Shrivastava</t>
        </is>
      </c>
      <c r="C20" s="5" t="inlineStr">
        <is>
          <t>Composer; playback singer</t>
        </is>
      </c>
      <c r="D20" s="17" t="n">
        <v>1964</v>
      </c>
      <c r="E20" s="17" t="n">
        <v>2015</v>
      </c>
      <c r="F20" s="5" t="inlineStr">
        <is>
          <t>1990–2015</t>
        </is>
      </c>
      <c r="G20" s="5" t="inlineStr">
        <is>
          <t>Hindi</t>
        </is>
      </c>
      <c r="H20" s="5" t="inlineStr">
        <is>
          <t>Born in Katni; worked as a drummer for R. D. Burman and Rajesh Roshan before becoming a composer; married to the actress Vijayta Pandit, sister of Jatin–Lalit.</t>
        </is>
      </c>
      <c r="I20" s="5" t="inlineStr">
        <is>
          <t>First big break with Kanyadaan (1993), for which Lata Mangeshkar sang his first song.</t>
        </is>
      </c>
      <c r="J20" s="5" t="inlineStr">
        <is>
          <t>Aao Pyaar Karen; Shastra; Bas Itna Sa Khwaab Hai (2001); Kabhi Khushi Kabhie Gham (2001); Chalte Chalte (2003); Paheli (2005, score); Alag (2006); Raajneeti (2010, 'Mora Piya')</t>
        </is>
      </c>
      <c r="K20" s="19" t="inlineStr">
        <is>
          <t>Punjabi-inflected popular songs such as 'Shava Shava' and semi-classical numbers.</t>
        </is>
      </c>
      <c r="L20" s="19" t="n"/>
      <c r="M20" s="5" t="n"/>
      <c r="N20" s="19" t="inlineStr">
        <is>
          <t>Composed music for over 100 Hindi films and was a judge on Sa Re Ga Ma Pa.</t>
        </is>
      </c>
      <c r="O20" s="19" t="inlineStr">
        <is>
          <t>Contributed songs to Kabhi Khushi Kabhie Gham, composed the songs and score of Chalte Chalte, scored Paheli and composed Alag, in which Khan appears in a song.</t>
        </is>
      </c>
      <c r="P20" s="17" t="n">
        <v>4</v>
      </c>
      <c r="Q20" s="5" t="inlineStr">
        <is>
          <t>FILM-041; FILM-046; FILM-055; FILM-056</t>
        </is>
      </c>
      <c r="R20" s="5" t="inlineStr">
        <is>
          <t>Chalte Chalte (2003)</t>
        </is>
      </c>
      <c r="S20" s="5" t="inlineStr">
        <is>
          <t>Aadesh Shrivastava (4 September 1964 – 5 September 2015) was born in Katni and worked as a drummer for composers including R. D. Burman and Rajesh Roshan before composing independently. His first break, Kanyadaan (1993), featured Lata Mangeshkar singing his first song; after further setbacks he found hits with Aao Pyaar Karen and Shastra. He sang popular songs including 'Sona Sona' and 'Shava Shava', judged Sa Re Ga Ma Pa, and made a short film on child prostitution, Sanaa; his semi-classical 'Mora Piya' from Raajneeti became popular. He composed for over 100 Hindi films, and he married Vijayta Pandit, sister of the duo Jatin–Lalit. For Shah Rukh Khan he contributed songs to Kabhi Khushi Kabhie Gham (2001), composed songs and the score for Chalte Chalte (2003), wrote the background score for Paheli (2005) and composed Alag (2006), in which Khan appears in a song. He died of cancer a day after his 51st birthday.</t>
        </is>
      </c>
      <c r="T20" s="5" t="inlineStr">
        <is>
          <t>SOURCE-154; SOURCE-049</t>
        </is>
      </c>
      <c r="U20" s="5" t="inlineStr">
        <is>
          <t>Medium</t>
        </is>
      </c>
    </row>
    <row r="21" ht="154" customHeight="1">
      <c r="A21" s="15" t="inlineStr">
        <is>
          <t>PERSON-020</t>
        </is>
      </c>
      <c r="B21" s="5" t="inlineStr">
        <is>
          <t>Excel Entertainment</t>
        </is>
      </c>
      <c r="C21" s="5" t="inlineStr">
        <is>
          <t>Production company (founded by Farhan Akhtar and Ritesh Sidhwani)</t>
        </is>
      </c>
      <c r="D21" s="20" t="n"/>
      <c r="E21" s="20" t="n"/>
      <c r="F21" s="5" t="inlineStr">
        <is>
          <t>1999–present</t>
        </is>
      </c>
      <c r="G21" s="5" t="inlineStr">
        <is>
          <t>Hindi</t>
        </is>
      </c>
      <c r="H21" s="5" t="inlineStr">
        <is>
          <t>Founded in 1999 by Farhan Akhtar and Ritesh Sidhwani, who is credited as producer on all four of Khan's Excel films; later added a streaming division, Excel Media &amp; Entertainment.</t>
        </is>
      </c>
      <c r="I21" s="5" t="inlineStr">
        <is>
          <t>First production: Dil Chahta Hai (2001).</t>
        </is>
      </c>
      <c r="J21" s="5" t="inlineStr">
        <is>
          <t>Dil Chahta Hai (2001); Lakshya (2004); Don (2006); Luck by Chance (2009); Don 2 (2011); Raees (2017); Gully Boy (2019); Inside Edge (2017); Mirzapur (2018); Made in Heaven (2019)</t>
        </is>
      </c>
      <c r="K21" s="19" t="inlineStr">
        <is>
          <t>Contemporary urban stories, genre reinventions and, later, streaming drama.</t>
        </is>
      </c>
      <c r="L21" s="19" t="n"/>
      <c r="M21" s="5" t="inlineStr">
        <is>
          <t>Dil Chahta Hai won the National Film Award for Best Feature Film in Hindi; Sidhwani won a BAFTA for producing Boong (2025).</t>
        </is>
      </c>
      <c r="N21" s="19" t="inlineStr">
        <is>
          <t>One of the first major Indian production companies to move into over-the-top streaming content; Inside Edge was nominated for an International Emmy.</t>
        </is>
      </c>
      <c r="O21" s="19" t="inlineStr">
        <is>
          <t>Produced Khan's two Don films, Zoya Akhtar's Luck by Chance (with Khan as himself) and Raees, the last two Khan films co-produced with Red Chillies.</t>
        </is>
      </c>
      <c r="P21" s="17" t="n">
        <v>4</v>
      </c>
      <c r="Q21" s="5" t="inlineStr">
        <is>
          <t>FILM-058; FILM-068; FILM-076; FILM-086</t>
        </is>
      </c>
      <c r="R21" s="5" t="inlineStr">
        <is>
          <t>Don: The Chase Begins Again (2006)</t>
        </is>
      </c>
      <c r="S21" s="5" t="inlineStr">
        <is>
          <t>Excel Entertainment was founded in 1999 by Farhan Akhtar and Ritesh Sidhwani. Its first production, Akhtar's Dil Chahta Hai (2001), won the National Film Award for Best Feature Film in Hindi and screened at the International Film Festival of India. The war drama Lakshya (2004) was critically acclaimed but failed commercially, later gaining a cult following. Excel then produced Don (2006), Akhtar's reboot of the 1978 thriller, starring Shah Rukh Khan as the drug lord and his lookalike, and its sequel Don 2 (2011), co-produced with Khan. It also produced Zoya Akhtar's Luck by Chance (2009), in which Khan appears as himself, and co-produced Rahul Dholakia's Raees (2017) with Red Chillies, with Khan as a Gujarat bootlegger. Sidhwani, born in 1973, expanded the company into streaming through Excel Media &amp; Entertainment, with Inside Edge (2017), nominated for an International Emmy, Mirzapur (2018) and Made in Heaven (2019), and won a BAFTA for producing Boong (2025).</t>
        </is>
      </c>
      <c r="T21" s="5" t="inlineStr">
        <is>
          <t>SOURCE-167; SOURCE-168; SOURCE-061; SOURCE-079</t>
        </is>
      </c>
      <c r="U21" s="5" t="inlineStr">
        <is>
          <t>Medium</t>
        </is>
      </c>
    </row>
    <row r="22" ht="169" customHeight="1">
      <c r="A22" s="15" t="inlineStr">
        <is>
          <t>PERSON-021</t>
        </is>
      </c>
      <c r="B22" s="5" t="inlineStr">
        <is>
          <t>Farhan Akhtar</t>
        </is>
      </c>
      <c r="C22" s="5" t="inlineStr">
        <is>
          <t>Director; producer; screenwriter; actor (co-founder of Excel Entertainment)</t>
        </is>
      </c>
      <c r="D22" s="17" t="n">
        <v>1974</v>
      </c>
      <c r="E22" s="20" t="n"/>
      <c r="F22" s="5" t="inlineStr">
        <is>
          <t>2001–present</t>
        </is>
      </c>
      <c r="G22" s="5" t="inlineStr">
        <is>
          <t>Hindi</t>
        </is>
      </c>
      <c r="H22" s="5" t="inlineStr">
        <is>
          <t>Son of the screenwriters Javed Akhtar and Honey Irani; co-founded Excel Entertainment with Ritesh Sidhwani in 1999.</t>
        </is>
      </c>
      <c r="I22" s="5" t="inlineStr">
        <is>
          <t>Directorial debut Dil Chahta Hai (2001); acting debut Rock On!! (2008).</t>
        </is>
      </c>
      <c r="J22" s="5" t="inlineStr">
        <is>
          <t>Dil Chahta Hai (2001); Lakshya (2004); Don (2006); Rock On!! (2008); Luck by Chance (2009, lead actor); Zindagi Na Milegi Dobara (2011); Don 2 (2011); Bhaag Milkha Bhaag (2013)</t>
        </is>
      </c>
      <c r="K22" s="19" t="inlineStr">
        <is>
          <t>Urban youth, friendship and stylish genre reinvention.</t>
        </is>
      </c>
      <c r="L22" s="19" t="inlineStr">
        <is>
          <t>Contemporary, polished filmmaking; his Don films reboot a 1970s classic as twist-driven action thrillers.</t>
        </is>
      </c>
      <c r="M22" s="5" t="inlineStr">
        <is>
          <t>National Film Awards for Best Hindi Film (Dil Chahta Hai; Rock On!!, as producer); Filmfare Awards for Best Film (Critics) and Best Screenplay (Dil Chahta Hai), Best Male Debut (Rock On!!), Best Film, Best Supporting Actor and Best Dialogue (Zindagi Na Milegi Dobara) and Best Actor (Bhaag Milkha Bhaag)</t>
        </is>
      </c>
      <c r="N22" s="19" t="inlineStr">
        <is>
          <t>Dil Chahta Hai became a cult classic for its realistic urban youth; Excel became a major film and streaming producer.</t>
        </is>
      </c>
      <c r="O22" s="19" t="inlineStr">
        <is>
          <t>Directed Khan as Don in both reboot films, co-produced Don 2 with Red Chillies, starred opposite Khan's cameo in Luck by Chance, and co-produced Raees.</t>
        </is>
      </c>
      <c r="P22" s="17" t="n">
        <v>4</v>
      </c>
      <c r="Q22" s="5" t="inlineStr">
        <is>
          <t>FILM-058; FILM-068; FILM-076; FILM-086</t>
        </is>
      </c>
      <c r="R22" s="5" t="inlineStr">
        <is>
          <t>Don: The Chase Begins Again (2006)</t>
        </is>
      </c>
      <c r="S22" s="5" t="inlineStr">
        <is>
          <t>Farhan Akhtar, born on 9 January 1974 to the screenwriters Javed Akhtar and Honey Irani, founded Excel Entertainment with Ritesh Sidhwani in 1999. His directorial debut, Dil Chahta Hai (2001), was acclaimed for depicting urban youth realistically, won the National Film Award for Best Hindi Film and two Filmfare Awards, and has become a cult classic. He then directed the war film Lakshya (2004) and Don (2006), a remake of the 1978 Amitabh Bachchan thriller co-written by his father. Shah Rukh Khan played the drug lord Don and his lookalike Vijay, with a final twist revealing that Don had survived. Akhtar made his acting debut in Rock On!! (2008), which won him a second National Film Award as producer and the Filmfare Award for Best Male Debut. He played the struggling actor Vikram in his sister Zoya Akhtar's Luck by Chance (2009), in which Khan appears as himself. Don 2 (2011), co-produced by Akhtar, Sidhwani and Khan, sent Khan's anti-hero to rob a Berlin bank. Akhtar has also starred in Zindagi Na Milegi Dobara (2011) and Bhaag Milkha Bhaag (2013), which won him the Filmfare Award for Best Actor, and co-produced Khan's gangster film Raees (2017).</t>
        </is>
      </c>
      <c r="T22" s="5" t="inlineStr">
        <is>
          <t>SOURCE-169; SOURCE-061; SOURCE-079</t>
        </is>
      </c>
      <c r="U22" s="5" t="inlineStr">
        <is>
          <t>Medium</t>
        </is>
      </c>
    </row>
    <row r="23" ht="184" customHeight="1">
      <c r="A23" s="15" t="inlineStr">
        <is>
          <t>PERSON-022</t>
        </is>
      </c>
      <c r="B23" s="5" t="inlineStr">
        <is>
          <t>Filmkraft Productions</t>
        </is>
      </c>
      <c r="C23" s="5" t="inlineStr">
        <is>
          <t>Production banner</t>
        </is>
      </c>
      <c r="D23" s="20" t="n"/>
      <c r="E23" s="20" t="n"/>
      <c r="F23" s="5" t="n"/>
      <c r="G23" s="5" t="inlineStr">
        <is>
          <t>Hindi cinema</t>
        </is>
      </c>
      <c r="H23" s="5" t="inlineStr">
        <is>
          <t>A production banner credited on 4 films in this filmography, with no Wikipedia article of its own.</t>
        </is>
      </c>
      <c r="I23" s="5" t="n"/>
      <c r="J23" s="5" t="inlineStr">
        <is>
          <t>With Khan: King Uncle (1993), Karan Arjun (1995), Koyla (1997) and Krazzy 4 (2008).</t>
        </is>
      </c>
      <c r="K23" s="19" t="n"/>
      <c r="L23" s="19" t="n"/>
      <c r="M23" s="5" t="n"/>
      <c r="N23" s="19" t="n"/>
      <c r="O23" s="19" t="inlineStr">
        <is>
          <t>4 films with Khan, credited as production banner: King Uncle (1993), directed by Rakesh Roshan, with Khan in a supporting role as Anil Bansal; verdict: Moderate box-office success. Karan Arjun (1995), directed by Rakesh Roshan, with Khan in a co-lead as Arjun Singh; verdict: All-time blockbuster. Koyla (1997), directed by Rakesh Roshan, with Khan in the lead as Shankar Thakur; verdict: Average. Krazzy 4 (2008), directed by Jaideep Sen, with Khan in a self appearance; verdict: Moderate success.</t>
        </is>
      </c>
      <c r="P23" s="17" t="n">
        <v>4</v>
      </c>
      <c r="Q23" s="5" t="inlineStr">
        <is>
          <t>FILM-005; FILM-012; FILM-024; FILM-064</t>
        </is>
      </c>
      <c r="R23" s="5" t="inlineStr">
        <is>
          <t>Karan Arjun (1995)</t>
        </is>
      </c>
      <c r="S23" s="5" t="inlineStr">
        <is>
          <t>Filmkraft Productions is credited as production banner on King Uncle (1993), Karan Arjun (1995), Koyla (1997) and Krazzy 4 (2008). No Wikipedia article or other independent biography was located for the company; this row is built from the film credits alone.</t>
        </is>
      </c>
      <c r="T23" s="5" t="inlineStr">
        <is>
          <t>SOURCE-008; SOURCE-015; SOURCE-027; SOURCE-067</t>
        </is>
      </c>
      <c r="U23" s="5" t="inlineStr">
        <is>
          <t>Low</t>
        </is>
      </c>
    </row>
    <row r="24" ht="184" customHeight="1">
      <c r="A24" s="15" t="inlineStr">
        <is>
          <t>PERSON-023</t>
        </is>
      </c>
      <c r="B24" s="5" t="inlineStr">
        <is>
          <t>Hiroo Yash Johar</t>
        </is>
      </c>
      <c r="C24" s="5" t="inlineStr">
        <is>
          <t>Producer</t>
        </is>
      </c>
      <c r="D24" s="20" t="n"/>
      <c r="E24" s="20" t="n"/>
      <c r="F24" s="5" t="n"/>
      <c r="G24" s="5" t="inlineStr">
        <is>
          <t>Hindi cinema</t>
        </is>
      </c>
      <c r="H24" s="5" t="inlineStr">
        <is>
          <t>A producer credited on 4 films in this filmography, with no Wikipedia article of their own.</t>
        </is>
      </c>
      <c r="I24" s="5" t="n"/>
      <c r="J24" s="5" t="inlineStr">
        <is>
          <t>With Khan: Kabhi Alvida Naa Kehna (2006), My Name Is Khan (2010), Ae Dil Hai Mushkil (2016) and Brahmāstra: Part One – Shiva (2022).</t>
        </is>
      </c>
      <c r="K24" s="19" t="n"/>
      <c r="L24" s="19" t="n"/>
      <c r="M24" s="5" t="n"/>
      <c r="N24" s="19" t="n"/>
      <c r="O24" s="19" t="inlineStr">
        <is>
          <t>4 films with Khan, credited as producer: Kabhi Alvida Naa Kehna (2006), directed by Karan Johar, with Khan in the lead as Dev Saran. My Name Is Khan (2010), directed by Karan Johar, with Khan in the lead as Rizwan Khan; verdict: Financial success. Ae Dil Hai Mushkil (2016), directed by Karan Johar, with Khan in a cameo as Tahir Taliyar Khan. Brahmāstra: Part One – Shiva (2022), directed by Ayan Mukerji, with Khan in an extended special appearance as Mohan Bhargav; verdict: Hit (Box Office India).</t>
        </is>
      </c>
      <c r="P24" s="17" t="n">
        <v>4</v>
      </c>
      <c r="Q24" s="5" t="inlineStr">
        <is>
          <t>FILM-057; FILM-071; FILM-084; FILM-093</t>
        </is>
      </c>
      <c r="R24" s="5" t="inlineStr">
        <is>
          <t>My Name Is Khan (2010)</t>
        </is>
      </c>
      <c r="S24" s="5" t="inlineStr">
        <is>
          <t>Hiroo Yash Johar is credited as producer on Kabhi Alvida Naa Kehna (2006), My Name Is Khan (2010), Ae Dil Hai Mushkil (2016) and Brahmāstra: Part One – Shiva (2022). No Wikipedia article or other independent biography was located; this row is built from the film credits alone.</t>
        </is>
      </c>
      <c r="T24" s="5" t="inlineStr">
        <is>
          <t>SOURCE-060; SOURCE-074; SOURCE-087; SOURCE-096</t>
        </is>
      </c>
      <c r="U24" s="5" t="inlineStr">
        <is>
          <t>Low</t>
        </is>
      </c>
    </row>
    <row r="25" ht="139" customHeight="1">
      <c r="A25" s="15" t="inlineStr">
        <is>
          <t>PERSON-024</t>
        </is>
      </c>
      <c r="B25" s="5" t="inlineStr">
        <is>
          <t>Nadeem–Shravan</t>
        </is>
      </c>
      <c r="C25" s="5" t="inlineStr">
        <is>
          <t>Song composers (duo)</t>
        </is>
      </c>
      <c r="D25" s="20" t="n"/>
      <c r="E25" s="20" t="n"/>
      <c r="F25" s="5" t="inlineStr">
        <is>
          <t>1977–2005, 2009, 2016–present</t>
        </is>
      </c>
      <c r="G25" s="5" t="inlineStr">
        <is>
          <t>Hindi</t>
        </is>
      </c>
      <c r="H25" s="5" t="inlineStr">
        <is>
          <t>Nadeem Akhtar Saifi (born 1954) and Shravan Kumar Rathod (1954–2021) met in 1973; their first assignment was the Bhojpuri film Dangal and their first Hindi film Maine Jeena Seekh Liya (1981).</t>
        </is>
      </c>
      <c r="I25" s="5" t="inlineStr">
        <is>
          <t>Breakthrough with Aashiqui (1990), whose soundtrack sold 20 million units.</t>
        </is>
      </c>
      <c r="J25" s="5" t="inlineStr">
        <is>
          <t>Aashiqui (1990); Saajan (1991); Dil Hai Ki Manta Nahin (1991); Sadak (1991); Deewana (1992); Raja Hindustani (1996); Pardes (1997)</t>
        </is>
      </c>
      <c r="K25" s="19" t="inlineStr">
        <is>
          <t>Melodic romantic songs rooted in Hindustani classical and semi-classical music.</t>
        </is>
      </c>
      <c r="L25" s="19" t="inlineStr">
        <is>
          <t>Heavy use of bansuri, sitar and shehnai in a modern idiom.</t>
        </is>
      </c>
      <c r="M25" s="5" t="inlineStr">
        <is>
          <t>Filmfare Award for Best Music Director for Deewana</t>
        </is>
      </c>
      <c r="N25" s="19" t="inlineStr">
        <is>
          <t>Among the most successful Bollywood composers of the 1990s; their success helped establish T-Series, and Aashiqui is the best-selling Bollywood soundtrack album of all time.</t>
        </is>
      </c>
      <c r="O25" s="19" t="inlineStr">
        <is>
          <t>Scored Khan's debut Deewana, which won them the Filmfare Award, as well as Zamaana Deewana, Pardes and Hum Tumhare Hain Sanam.</t>
        </is>
      </c>
      <c r="P25" s="17" t="n">
        <v>4</v>
      </c>
      <c r="Q25" s="5" t="inlineStr">
        <is>
          <t>FILM-001; FILM-013; FILM-026; FILM-042</t>
        </is>
      </c>
      <c r="R25" s="5" t="inlineStr">
        <is>
          <t>Deewana (1992)</t>
        </is>
      </c>
      <c r="S25" s="5" t="inlineStr">
        <is>
          <t>Nadeem–Shravan were the composer duo of Nadeem Akhtar Saifi and Shravan Kumar Rathod (who died in April 2021), who met in 1973. After the Bhojpuri Dangal and their first Hindi film, Maine Jeena Seekh Liya (1981), they broke through with Aashiqui (1990), whose soundtrack sold 20 million units and remains the best-selling Bollywood album. They became among the most successful composers of the 1990s with Saajan, Dil Hai Ki Manta Nahin, Sadak, Raja and Raja Hindustani, drawing heavily on Hindustani classical music and the bansuri, sitar and shehnai. Their success helped establish the T-Series label; their career halted for a time after the murder of T-Series founder Gulshan Kumar. Their score for Shah Rukh Khan's debut Deewana (1992) was a multi-platinum success and won the Filmfare Award for Best Music Director. They also scored Zamaana Deewana (1995), Subhash Ghai's Pardes (1997) and Hum Tumhare Hain Sanam (2002).</t>
        </is>
      </c>
      <c r="T25" s="5" t="inlineStr">
        <is>
          <t>SOURCE-111; SOURCE-004; SOURCE-029</t>
        </is>
      </c>
      <c r="U25" s="5" t="inlineStr">
        <is>
          <t>Medium</t>
        </is>
      </c>
    </row>
    <row r="26" ht="94" customHeight="1">
      <c r="A26" s="15" t="inlineStr">
        <is>
          <t>PERSON-025</t>
        </is>
      </c>
      <c r="B26" s="5" t="inlineStr">
        <is>
          <t>Niranjan Iyengar</t>
        </is>
      </c>
      <c r="C26" s="5" t="inlineStr">
        <is>
          <t>Screenwriter; dialogue writer; lyricist</t>
        </is>
      </c>
      <c r="D26" s="20" t="n"/>
      <c r="E26" s="20" t="n"/>
      <c r="F26" s="5" t="n"/>
      <c r="G26" s="5" t="inlineStr">
        <is>
          <t>Hindi</t>
        </is>
      </c>
      <c r="H26" s="5" t="inlineStr">
        <is>
          <t>Born in Dombivali, Maharashtra; closely associated with Karan Johar; author of The Making of Kabhi Khushi Kabhie Gham... and host of the talk show Look Who's Talking with Niranjan on Zee Café.</t>
        </is>
      </c>
      <c r="I26" s="5" t="n"/>
      <c r="J26" s="5" t="inlineStr">
        <is>
          <t>Kal Ho Naa Ho (2003, dialogues); Kabhi Alvida Naa Kehna (2006); My Name Is Khan (2010); Ae Dil Hai Mushkil (2016, dialogues)</t>
        </is>
      </c>
      <c r="K26" s="19" t="inlineStr">
        <is>
          <t>Dialogue for relationship dramas.</t>
        </is>
      </c>
      <c r="L26" s="19" t="n"/>
      <c r="M26" s="5" t="n"/>
      <c r="N26" s="19" t="inlineStr">
        <is>
          <t>A key writing collaborator on Dharma Productions' relationship dramas.</t>
        </is>
      </c>
      <c r="O26" s="19" t="inlineStr">
        <is>
          <t>Wrote dialogue or script material for four Khan films, all Karan Johar productions.</t>
        </is>
      </c>
      <c r="P26" s="17" t="n">
        <v>4</v>
      </c>
      <c r="Q26" s="5" t="inlineStr">
        <is>
          <t>FILM-047; FILM-057; FILM-071; FILM-084</t>
        </is>
      </c>
      <c r="R26" s="5" t="inlineStr">
        <is>
          <t>My Name Is Khan (2010)</t>
        </is>
      </c>
      <c r="S26" s="5" t="inlineStr">
        <is>
          <t>Niranjan Iyengar, born in Dombivali, Maharashtra, is a screenwriter and lyricist particularly known for his work with Karan Johar. He wrote The Making of Kabhi Khushi Kabhie Gham..., a book on Johar's 2001 film, and hosts the talk show Look Who's Talking with Niranjan on Zee Café. His writing credits on Shah Rukh Khan's films are all Dharma Productions projects: the dialogues of Kal Ho Naa Ho (2003), script contributions to Kabhi Alvida Naa Kehna (2006), co-writing credit on My Name Is Khan (2010) with Shibani Bathija, and the dialogues of Ae Dil Hai Mushkil (2016), in which Khan makes a cameo.</t>
        </is>
      </c>
      <c r="T26" s="5" t="inlineStr">
        <is>
          <t>SOURCE-160; SOURCE-050; SOURCE-074</t>
        </is>
      </c>
      <c r="U26" s="5" t="inlineStr">
        <is>
          <t>Medium</t>
        </is>
      </c>
    </row>
    <row r="27" ht="124" customHeight="1">
      <c r="A27" s="15" t="inlineStr">
        <is>
          <t>PERSON-026</t>
        </is>
      </c>
      <c r="B27" s="5" t="inlineStr">
        <is>
          <t>Rajesh Roshan</t>
        </is>
      </c>
      <c r="C27" s="5" t="inlineStr">
        <is>
          <t>Song composer</t>
        </is>
      </c>
      <c r="D27" s="17" t="n">
        <v>1955</v>
      </c>
      <c r="E27" s="20" t="n"/>
      <c r="F27" s="5" t="inlineStr">
        <is>
          <t>1974–2017</t>
        </is>
      </c>
      <c r="G27" s="5" t="inlineStr">
        <is>
          <t>Hindi</t>
        </is>
      </c>
      <c r="H27" s="5" t="inlineStr">
        <is>
          <t>Son of the composer Roshan and the singer Ira Roshan; younger brother of Rakesh Roshan and uncle of Hrithik Roshan.</t>
        </is>
      </c>
      <c r="I27" s="5" t="inlineStr">
        <is>
          <t>Kunwara Baap (1974); fame with Julie (1975).</t>
        </is>
      </c>
      <c r="J27" s="5" t="inlineStr">
        <is>
          <t>Kunwara Baap (1974); Julie (1975); Des Pardes; Man Pasand; Karan Arjun (1995); Koyla (1997); Kaho Naa... Pyaar Hai (2000)</t>
        </is>
      </c>
      <c r="K27" s="19" t="inlineStr">
        <is>
          <t>Melodious songs, notably in frequent collaborations with Kishore Kumar.</t>
        </is>
      </c>
      <c r="L27" s="19" t="n"/>
      <c r="M27" s="5" t="inlineStr">
        <is>
          <t>Filmfare Awards for Best Music Director, including Julie and Kaho Naa... Pyaar Hai; Filmfare nomination for Karan Arjun</t>
        </is>
      </c>
      <c r="N27" s="19" t="inlineStr">
        <is>
          <t>A major composer of the 1970s–2000s and the composer of most of his brother Rakesh Roshan's films.</t>
        </is>
      </c>
      <c r="O27" s="19" t="inlineStr">
        <is>
          <t>Composed the songs for all four films Khan made with Rakesh Roshan: King Uncle, Karan Arjun, Koyla and Krazzy 4.</t>
        </is>
      </c>
      <c r="P27" s="17" t="n">
        <v>4</v>
      </c>
      <c r="Q27" s="5" t="inlineStr">
        <is>
          <t>FILM-005; FILM-012; FILM-024; FILM-064</t>
        </is>
      </c>
      <c r="R27" s="5" t="inlineStr">
        <is>
          <t>Karan Arjun (1995)</t>
        </is>
      </c>
      <c r="S27" s="5" t="inlineStr">
        <is>
          <t>Rajesh Roshan, born Rajesh Roshanlal Nagrath on 24 May 1955 in Bombay, is the son of the composer Roshan and the singer Ira Roshan, the younger brother of the filmmaker Rakesh Roshan and the uncle of Hrithik Roshan. He shot to fame with Kunwara Baap (1974) and Julie (1975), which won him the Filmfare Award for Best Music Director, and worked frequently with Kishore Kumar, Basu Chatterjee and Dev Anand on films such as Des Pardes, Man Pasand and Lootmaar. He later won Filmfare Awards for his brother's films, including Kaho Naa... Pyaar Hai. He composed the songs for all four of Rakesh Roshan's projects with Shah Rukh Khan: King Uncle (1993), Karan Arjun (1995), which earned him a Filmfare nomination, Koyla (1997) and Krazzy 4 (2008), in which Khan appears in a song.</t>
        </is>
      </c>
      <c r="T27" s="5" t="inlineStr">
        <is>
          <t>SOURCE-120; SOURCE-015</t>
        </is>
      </c>
      <c r="U27" s="5" t="inlineStr">
        <is>
          <t>Medium</t>
        </is>
      </c>
    </row>
    <row r="28" ht="184" customHeight="1">
      <c r="A28" s="15" t="inlineStr">
        <is>
          <t>PERSON-027</t>
        </is>
      </c>
      <c r="B28" s="5" t="inlineStr">
        <is>
          <t>Rakesh Roshan</t>
        </is>
      </c>
      <c r="C28" s="5" t="inlineStr">
        <is>
          <t>Director; producer; screenwriter (Filmkraft Productions); former actor</t>
        </is>
      </c>
      <c r="D28" s="17" t="n">
        <v>1949</v>
      </c>
      <c r="E28" s="20" t="n"/>
      <c r="F28" s="5" t="inlineStr">
        <is>
          <t>1970–present</t>
        </is>
      </c>
      <c r="G28" s="5" t="inlineStr">
        <is>
          <t>Hindi</t>
        </is>
      </c>
      <c r="H28" s="5" t="inlineStr">
        <is>
          <t>Appeared in 84 films as an actor in the 1970s and 1980s, mostly in supporting roles, before becoming a director and producer; son of the composer Roshan and brother of Rajesh Roshan.</t>
        </is>
      </c>
      <c r="I28" s="5" t="inlineStr">
        <is>
          <t>Khudgarz (1987) began a run of directorial successes with titles beginning with 'K'.</t>
        </is>
      </c>
      <c r="J28" s="5" t="inlineStr">
        <is>
          <t>Khudgarz (1987); Khoon Bhari Maang (1988); Kishen Kanhaiya (1990); King Uncle (1993); Karan Arjun (1995); Koyla (1997); Kaho Naa... Pyaar Hai (2000); Koi... Mil Gaya (2003); the Krrish series (2006–2013)</t>
        </is>
      </c>
      <c r="K28" s="19" t="inlineStr">
        <is>
          <t>Revenge dramas, reincarnation and family melodrama; later science fiction and superheroes.</t>
        </is>
      </c>
      <c r="L28" s="19" t="inlineStr">
        <is>
          <t>Large-scale commercial entertainment built on family bonds and retribution.</t>
        </is>
      </c>
      <c r="M28" s="5" t="inlineStr">
        <is>
          <t>Filmfare Awards for Best Film and Best Director for Kaho Naa... Pyaar Hai and Koi... Mil Gaya</t>
        </is>
      </c>
      <c r="N28" s="19" t="inlineStr">
        <is>
          <t>A leading commercial director-producer whose 'K' films span three decades; King Uncle gave Khan one of his early successful supporting roles.</t>
        </is>
      </c>
      <c r="O28" s="19" t="inlineStr">
        <is>
          <t>Directed and produced three films with Khan and produced a fourth, in which Khan appears in a song; King Uncle was their first film together.</t>
        </is>
      </c>
      <c r="P28" s="17" t="n">
        <v>4</v>
      </c>
      <c r="Q28" s="5" t="inlineStr">
        <is>
          <t>FILM-005; FILM-012; FILM-024; FILM-064</t>
        </is>
      </c>
      <c r="R28" s="5" t="inlineStr">
        <is>
          <t>Karan Arjun (1995)</t>
        </is>
      </c>
      <c r="S28" s="5" t="inlineStr">
        <is>
          <t>Rakesh Roshan Nagrath, born on 6 September 1949, is the son of the composer Roshan and the brother of the composer Rajesh Roshan. He appeared in 84 films in the 1970s and 1980s, mainly in supporting roles in big-budget productions, before building a second career as a producer and director. From Khudgarz (1987) onwards he became known for successes with titles beginning with the letter 'K', among them Khoon Bhari Maang (1988), Kishen Kanhaiya (1990), Kaho Naa... Pyaar Hai (2000) and Koi... Mil Gaya (2003); the last two won him the Filmfare Awards for Best Film and Best Director. His first film with Shah Rukh Khan was the family comedy King Uncle (1993), one of the few early successes in which Khan played a second lead. Roshan then made Karan Arjun (1995), a reincarnation-revenge saga pairing Khan with Salman Khan that became the second-highest-grossing film of the year, and Koyla (1997), with Khan as a mute servant who rebels against a tyrant. He also produced and wrote the story for Krazzy 4 (2008), in which Khan appears in a song. His later work includes the Krrish superhero series with his son Hrithik Roshan, and the Roshan family was the subject of the 2025 Netflix documentary The Roshans.</t>
        </is>
      </c>
      <c r="T28" s="5" t="inlineStr">
        <is>
          <t>SOURCE-121; SOURCE-015; SOURCE-027</t>
        </is>
      </c>
      <c r="U28" s="5" t="inlineStr">
        <is>
          <t>Medium</t>
        </is>
      </c>
    </row>
    <row r="29" ht="124" customHeight="1">
      <c r="A29" s="15" t="inlineStr">
        <is>
          <t>PERSON-028</t>
        </is>
      </c>
      <c r="B29" s="5" t="inlineStr">
        <is>
          <t>Ritesh Sidhwani</t>
        </is>
      </c>
      <c r="C29" s="5" t="inlineStr">
        <is>
          <t>Producer (Excel Entertainment)</t>
        </is>
      </c>
      <c r="D29" s="17" t="n">
        <v>1973</v>
      </c>
      <c r="E29" s="20" t="n"/>
      <c r="F29" s="5" t="inlineStr">
        <is>
          <t>2001–present</t>
        </is>
      </c>
      <c r="G29" s="5" t="inlineStr">
        <is>
          <t>Hindi cinema</t>
        </is>
      </c>
      <c r="H29" s="5" t="inlineStr">
        <is>
          <t>A Mumbai-born Hindi-film producer from a Sindhi family who co-founded Excel Entertainment with Farhan Akhtar and has run its business side since its first film.</t>
        </is>
      </c>
      <c r="I29" s="5" t="inlineStr">
        <is>
          <t>Dil Chahta Hai (2001), Excel's first production, which won a National Film Award.</t>
        </is>
      </c>
      <c r="J29" s="5" t="inlineStr">
        <is>
          <t>With Khan: Don (2006), Luck by Chance (2009), Don 2 (2011), Raees (2017). Wider work: Dil Chahta Hai, Fukrey, Dil Dhadakne Do, Gully Boy; the streaming series Inside Edge, Mirzapur and Made in Heaven.</t>
        </is>
      </c>
      <c r="K29" s="19" t="inlineStr">
        <is>
          <t>Urban, star-driven genre films alongside smaller writer-led projects; from 2017 a large slate of streaming series.</t>
        </is>
      </c>
      <c r="L29" s="19" t="n"/>
      <c r="M29" s="5" t="inlineStr">
        <is>
          <t>National Film Award for Dil Chahta Hai (as producer); BAFTA for Best Children's &amp; Family Film for Boong (2025).</t>
        </is>
      </c>
      <c r="N29" s="19" t="inlineStr">
        <is>
          <t>One of the producers who moved Excel from a single hit into a durable studio and an early leader in Indian streaming content.</t>
        </is>
      </c>
      <c r="O29" s="19" t="inlineStr">
        <is>
          <t>Four films, all Excel productions: the two Don films that rebuilt Khan as an action lead in his forties, Zoya Akhtar's Luck by Chance with Khan as himself, and Rahul Dholakia's Raees, in which Khan played a Gujarat bootlegger. Don and Don 2 are the core of the relationship.</t>
        </is>
      </c>
      <c r="P29" s="17" t="n">
        <v>4</v>
      </c>
      <c r="Q29" s="5" t="inlineStr">
        <is>
          <t>FILM-058; FILM-068; FILM-076; FILM-086</t>
        </is>
      </c>
      <c r="R29" s="5" t="inlineStr">
        <is>
          <t>Don: The Chase Begins Again (2006)</t>
        </is>
      </c>
      <c r="S29" s="5" t="inlineStr">
        <is>
          <t>Ritesh Sidhwani co-founded Excel Entertainment with Farhan Akhtar and has produced every Excel film since Dil Chahta Hai (2001), whose National Award established the company. His work with Shah Rukh Khan is concentrated in two Akhtar-directed films: Don (2006), a remake of the 1978 Amitabh Bachchan thriller that was a hit in India and a blockbuster overseas, and its sequel Don 2 (2011), which was shot partly in Berlin. Between them came Luck by Chance (2009), Zoya Akhtar's satire of the Hindi film industry, in which Khan appears as himself. Raees (2017), a Gujarat crime drama, was a moderate success. Excel later became one of the most active producers of Indian streaming series, including Inside Edge, Mirzapur and Made in Heaven, and Sidhwani won a BAFTA in 2025 for producing Boong.</t>
        </is>
      </c>
      <c r="T29" s="5" t="inlineStr">
        <is>
          <t>SOURCE-168; SOURCE-061; SOURCE-071; SOURCE-079; SOURCE-089</t>
        </is>
      </c>
      <c r="U29" s="5" t="inlineStr">
        <is>
          <t>Medium</t>
        </is>
      </c>
    </row>
    <row r="30" ht="154" customHeight="1">
      <c r="A30" s="15" t="inlineStr">
        <is>
          <t>PERSON-029</t>
        </is>
      </c>
      <c r="B30" s="5" t="inlineStr">
        <is>
          <t>Yash Johar</t>
        </is>
      </c>
      <c r="C30" s="5" t="inlineStr">
        <is>
          <t>Producer (founder of Dharma Productions)</t>
        </is>
      </c>
      <c r="D30" s="17" t="n">
        <v>1929</v>
      </c>
      <c r="E30" s="17" t="n">
        <v>2004</v>
      </c>
      <c r="F30" s="5" t="inlineStr">
        <is>
          <t>1952–2004</t>
        </is>
      </c>
      <c r="G30" s="5" t="inlineStr">
        <is>
          <t>Hindi</t>
        </is>
      </c>
      <c r="H30" s="5" t="inlineStr">
        <is>
          <t>Born in Amritsar; began in the early 1950s as a publicist and still photographer at Filmistan, then handled production for Sunil Dutt's Ajanta Arts and Dev Anand's Navketan Films.</t>
        </is>
      </c>
      <c r="I30" s="5" t="inlineStr">
        <is>
          <t>Founded Dharma Productions in 1976; first production Dostana (1980).</t>
        </is>
      </c>
      <c r="J30" s="5" t="inlineStr">
        <is>
          <t>Guide (1965, production); Jewel Thief (1967, production); Dostana (1980); Agneepath (1990); Duplicate (1998); Kuch Kuch Hota Hai (1998); Kabhi Khushi Kabhie Gham (2001); Kal Ho Naa Ho (2003)</t>
        </is>
      </c>
      <c r="K30" s="19" t="inlineStr">
        <is>
          <t>Indian traditions and family values; lavish sets and exotic locations.</t>
        </is>
      </c>
      <c r="L30" s="19" t="n"/>
      <c r="M30" s="5" t="inlineStr">
        <is>
          <t>Kuch Kuch Hota Hai won the National Film Award for Best Popular Film Providing Wholesome Entertainment.</t>
        </is>
      </c>
      <c r="N30" s="19" t="inlineStr">
        <is>
          <t>Founder of Dharma Productions and a respected production controller on classic Navketan films; father of Karan Johar.</t>
        </is>
      </c>
      <c r="O30" s="19" t="inlineStr">
        <is>
          <t>Credited producer of four Khan films, including his son Karan Johar's first two features, Kuch Kuch Hota Hai and Kabhi Khushi Kabhie Gham.</t>
        </is>
      </c>
      <c r="P30" s="17" t="n">
        <v>4</v>
      </c>
      <c r="Q30" s="5" t="inlineStr">
        <is>
          <t>FILM-028; FILM-031; FILM-041; FILM-047</t>
        </is>
      </c>
      <c r="R30" s="5" t="inlineStr">
        <is>
          <t>Kuch Kuch Hota Hai (1998)</t>
        </is>
      </c>
      <c r="S30" s="5" t="inlineStr">
        <is>
          <t>Yash Johar (6 September 1929 – 26 June 2004) was born in Amritsar and began his film career in the early 1950s as a publicist and still photographer at Sashadhar Mukherjee's Filmistan studio. He was a production executive on Love in Simla (1960), joined Sunil Dutt's Ajanta Arts in 1962, and became known as a skilled production controller with Dev Anand's Navketan Films on Guide (1965), Jewel Thief (1967), Prem Pujari (1970) and Hare Rama Hare Krishna (1971). He married Hiroo Johar, Yash Chopra's sister, in 1971; their son Karan was born in 1972. In 1976 he founded Dharma Productions, whose films became known for lavish sets, exotic locations and an emphasis on Indian traditions and family values. He produced Shah Rukh Khan's Duplicate (1998) and then Karan Johar's Kuch Kuch Hota Hai (1998), a turning point that won the National Film Award for Best Popular Film. He went on to produce Kabhi Khushi Kabhie Gham (2001) and Kal Ho Naa Ho (2003), both starring Khan. He died in Mumbai in June 2004 of a chest infection while also battling cancer.</t>
        </is>
      </c>
      <c r="T30" s="5" t="inlineStr">
        <is>
          <t>SOURCE-141; SOURCE-034</t>
        </is>
      </c>
      <c r="U30" s="5" t="inlineStr">
        <is>
          <t>Medium</t>
        </is>
      </c>
    </row>
    <row r="31" ht="124" customHeight="1">
      <c r="A31" s="15" t="inlineStr">
        <is>
          <t>PERSON-030</t>
        </is>
      </c>
      <c r="B31" s="5" t="inlineStr">
        <is>
          <t>Akash Khurana</t>
        </is>
      </c>
      <c r="C31" s="5" t="inlineStr">
        <is>
          <t>Writer</t>
        </is>
      </c>
      <c r="D31" s="20" t="n"/>
      <c r="E31" s="20" t="n"/>
      <c r="F31" s="5" t="n"/>
      <c r="G31" s="5" t="inlineStr">
        <is>
          <t>Hindi cinema</t>
        </is>
      </c>
      <c r="H31" s="5" t="inlineStr">
        <is>
          <t>An actor, screenwriter, director, author and theatre artist trained as a mechanical engineer (NIT Rourkela) with an MBA from XLRI and a doctorate from the Tata Institute of Social Sciences, where he has taught since 1995.</t>
        </is>
      </c>
      <c r="I31" s="5" t="inlineStr">
        <is>
          <t>First screen appearance in Shyam Benegal's Kalyug (1981); as a writer, Aashiqui (1990).</t>
        </is>
      </c>
      <c r="J31" s="5" t="inlineStr">
        <is>
          <t>With Khan: Baazigar (1993), Chaahat (1996), Duplicate (1998). As writer, over 20 screenplays including Aashiqui and Baazigar; as actor, nearly 60 films including Ardh Satya, Saaransh, Sarfarosh, Company and Barfi!.</t>
        </is>
      </c>
      <c r="K31" s="19" t="inlineStr">
        <is>
          <t>Screenplays for early-1990s romantic thrillers and melodramas, much of it for Mahesh Bhatt.</t>
        </is>
      </c>
      <c r="L31" s="19" t="n"/>
      <c r="M31" s="5" t="inlineStr">
        <is>
          <t>Nandi Award (Special Jury) for Dr. Ambedkar (1992).</t>
        </is>
      </c>
      <c r="N31" s="19" t="inlineStr">
        <is>
          <t>A writer behind two of the defining early-1990s Hindi hits, Aashiqui and Baazigar.</t>
        </is>
      </c>
      <c r="O31" s="19" t="inlineStr">
        <is>
          <t>Three screenplays for Khan in five years. Baazigar (1993) gave him his breakthrough as an anti-hero lead; Chaahat (1996) and Duplicate (1998), both directed by Mahesh Bhatt, did poorly.</t>
        </is>
      </c>
      <c r="P31" s="17" t="n">
        <v>3</v>
      </c>
      <c r="Q31" s="5" t="inlineStr">
        <is>
          <t>FILM-008; FILM-020; FILM-028</t>
        </is>
      </c>
      <c r="R31" s="5" t="inlineStr">
        <is>
          <t>Baazigar (1993)</t>
        </is>
      </c>
      <c r="S31" s="5" t="inlineStr">
        <is>
          <t>Akash Khurana has had parallel careers as an actor, a screenwriter and an academic. After engineering and management degrees he made his first screen appearance in Shyam Benegal's Kalyug and went on to act in nearly sixty films, from Ardh Satya and Saaransh to Company and Barfi!. As a writer he is credited with more than twenty screenplays, including Aashiqui and Baazigar. Baazigar (1993), Abbas–Mustan's thriller in which Khan plays a revenge-driven murderer who romances the daughters of the man he blames for his family's ruin, was a major commercial success and made Khan's anti-hero image. Khurana's other two Khan credits, Mahesh Bhatt's Chaahat (1996) and Duplicate (1998), were below average and a failure respectively. He has been visiting faculty at the Tata Institute of Social Sciences since 1995.</t>
        </is>
      </c>
      <c r="T31" s="5" t="inlineStr">
        <is>
          <t>SOURCE-187; SOURCE-011; SOURCE-023; SOURCE-031</t>
        </is>
      </c>
      <c r="U31" s="5" t="inlineStr">
        <is>
          <t>Medium</t>
        </is>
      </c>
    </row>
    <row r="32" ht="94" customHeight="1">
      <c r="A32" s="15" t="inlineStr">
        <is>
          <t>PERSON-031</t>
        </is>
      </c>
      <c r="B32" s="5" t="inlineStr">
        <is>
          <t>Anand–Milind</t>
        </is>
      </c>
      <c r="C32" s="5" t="inlineStr">
        <is>
          <t>Song composers (duo)</t>
        </is>
      </c>
      <c r="D32" s="20" t="n"/>
      <c r="E32" s="20" t="n"/>
      <c r="F32" s="5" t="inlineStr">
        <is>
          <t>1983–present</t>
        </is>
      </c>
      <c r="G32" s="5" t="inlineStr">
        <is>
          <t>Hindi</t>
        </is>
      </c>
      <c r="H32" s="5" t="inlineStr">
        <is>
          <t>Brothers Anand and Milind Srivastava, sons of the composer Chitragupt.</t>
        </is>
      </c>
      <c r="I32" s="5" t="inlineStr">
        <is>
          <t>Ab Ayega Mazaa (1984); breakthrough with Qayamat Se Qayamat Tak (1988).</t>
        </is>
      </c>
      <c r="J32" s="5" t="inlineStr">
        <is>
          <t>Ab Ayega Mazaa (1984); Jalwa (1987); Qayamat Se Qayamat Tak (1988); Baaghi (1990); Dil Aashna Hai (1992); Anjaam (1994); Army (1996)</t>
        </is>
      </c>
      <c r="K32" s="19" t="n"/>
      <c r="L32" s="19" t="n"/>
      <c r="M32" s="5" t="inlineStr">
        <is>
          <t>Filmfare Award for Best Music Director (Qayamat Se Qayamat Tak)</t>
        </is>
      </c>
      <c r="N32" s="19" t="inlineStr">
        <is>
          <t>Composed for over 200 Bollywood films.</t>
        </is>
      </c>
      <c r="O32" s="19" t="inlineStr">
        <is>
          <t>Scored three early Khan films: Dil Aashna Hai, Anjaam and Army.</t>
        </is>
      </c>
      <c r="P32" s="17" t="n">
        <v>3</v>
      </c>
      <c r="Q32" s="5" t="inlineStr">
        <is>
          <t>FILM-004; FILM-011; FILM-021</t>
        </is>
      </c>
      <c r="R32" s="5" t="inlineStr">
        <is>
          <t>Anjaam (1994)</t>
        </is>
      </c>
      <c r="S32" s="5" t="inlineStr">
        <is>
          <t>Anand–Milind are the composer brothers Anand and Milind Srivastava, sons of the composer Chitragupt, who have written music for over 200 Bollywood films. They debuted in 1984 with Ab Ayega Mazaa and scored Jalwa (1987) before their breakthrough with the romantic musical Qayamat Se Qayamat Tak (1988), which won them the Filmfare Award for Best Music Director; Baaghi (1990) followed. They composed the songs for three of Shah Rukh Khan's early films: Hema Malini's Dil Aashna Hai (1992), Rahul Rawail's thriller Anjaam (1994), with lyrics by Sameer, and the action film Army (1996), in which Khan makes a special appearance.</t>
        </is>
      </c>
      <c r="T32" s="5" t="inlineStr">
        <is>
          <t>SOURCE-119; SOURCE-014</t>
        </is>
      </c>
      <c r="U32" s="5" t="inlineStr">
        <is>
          <t>Medium</t>
        </is>
      </c>
    </row>
    <row r="33" ht="109" customHeight="1">
      <c r="A33" s="15" t="inlineStr">
        <is>
          <t>PERSON-032</t>
        </is>
      </c>
      <c r="B33" s="5" t="inlineStr">
        <is>
          <t>Champak Jain</t>
        </is>
      </c>
      <c r="C33" s="5" t="inlineStr">
        <is>
          <t>Producer (Venus Records &amp; Tapes)</t>
        </is>
      </c>
      <c r="D33" s="17" t="n">
        <v>1967</v>
      </c>
      <c r="E33" s="17" t="n">
        <v>2019</v>
      </c>
      <c r="F33" s="5" t="n"/>
      <c r="G33" s="5" t="inlineStr">
        <is>
          <t>Hindi cinema</t>
        </is>
      </c>
      <c r="H33" s="5" t="inlineStr">
        <is>
          <t>A Hindi-film producer and co-owner of Venus Records &amp; Tapes, the music and video company he ran with his brothers and which became one of the major Hindi-film producers of the 1990s.</t>
        </is>
      </c>
      <c r="I33" s="5" t="inlineStr">
        <is>
          <t>Khiladi (1992), the first Venus production.</t>
        </is>
      </c>
      <c r="J33" s="5" t="inlineStr">
        <is>
          <t>With Khan: Baazigar (1993), Yes Boss (1997), Josh (2000). Wider work: Khiladi, Main Khiladi Tu Anari, Humraaz, Hulchul.</t>
        </is>
      </c>
      <c r="K33" s="19" t="inlineStr">
        <is>
          <t>Music-led commercial thrillers and romances.</t>
        </is>
      </c>
      <c r="L33" s="19" t="n"/>
      <c r="M33" s="5" t="n"/>
      <c r="N33" s="19" t="inlineStr">
        <is>
          <t>Part of the Jain family that turned a cassette business into a leading 1990s film producer.</t>
        </is>
      </c>
      <c r="O33" s="19" t="inlineStr">
        <is>
          <t>Three Venus productions with Khan as lead: Baazigar, his breakthrough; Aziz Mirza's romantic comedy Yes Boss, a hit; and Mansoor Khan's Goa gang musical Josh, an average performer.</t>
        </is>
      </c>
      <c r="P33" s="17" t="n">
        <v>3</v>
      </c>
      <c r="Q33" s="5" t="inlineStr">
        <is>
          <t>FILM-008; FILM-025; FILM-035</t>
        </is>
      </c>
      <c r="R33" s="5" t="inlineStr">
        <is>
          <t>Baazigar (1993)</t>
        </is>
      </c>
      <c r="S33" s="5" t="inlineStr">
        <is>
          <t>Champak Jain was one of the Jain brothers who owned Venus Records &amp; Tapes, a Mumbai cassette and video business that began producing films in the early 1990s and quickly became one of the main sources of commercial Hindi cinema. Venus productions credited to him include Khiladi (1992), Main Khiladi Tu Anari (1994), Humraaz (2002) and Hulchul (2004). For Shah Rukh Khan the company's significance rests on Baazigar (1993), the Abbas–Mustan thriller that made him a star by casting him as a murderer; Venus also backed Yes Boss (1997), a romantic comedy and hit, and Josh (2000), a musical set among Goa gangs. Jain died on 31 October 2019, aged 52.</t>
        </is>
      </c>
      <c r="T33" s="5" t="inlineStr">
        <is>
          <t>SOURCE-188; SOURCE-011; SOURCE-028; SOURCE-038</t>
        </is>
      </c>
      <c r="U33" s="5" t="inlineStr">
        <is>
          <t>Medium</t>
        </is>
      </c>
    </row>
    <row r="34" ht="154" customHeight="1">
      <c r="A34" s="15" t="inlineStr">
        <is>
          <t>PERSON-033</t>
        </is>
      </c>
      <c r="B34" s="5" t="inlineStr">
        <is>
          <t>Dreamz Unlimited</t>
        </is>
      </c>
      <c r="C34" s="5" t="inlineStr">
        <is>
          <t>Production company founded by Shah Rukh Khan, Juhi Chawla and Aziz Mirza</t>
        </is>
      </c>
      <c r="D34" s="20" t="n"/>
      <c r="E34" s="20" t="n"/>
      <c r="F34" s="5" t="inlineStr">
        <is>
          <t>1999–2003</t>
        </is>
      </c>
      <c r="G34" s="5" t="inlineStr">
        <is>
          <t>Hindi</t>
        </is>
      </c>
      <c r="H34" s="5" t="inlineStr">
        <is>
          <t>Set up in 1999 as a partnership of Khan, Juhi Chawla and Aziz Mirza; after it dissolved, Khan and Gauri Khan restructured it as Red Chillies Entertainment.</t>
        </is>
      </c>
      <c r="I34" s="5" t="inlineStr">
        <is>
          <t>First production: Phir Bhi Dil Hai Hindustani (2000).</t>
        </is>
      </c>
      <c r="J34" s="5" t="inlineStr">
        <is>
          <t>Phir Bhi Dil Hai Hindustani (2000); Aśoka (2001); Chalte Chalte (2003); distribution of the Hindi version of Hey Ram (2000)</t>
        </is>
      </c>
      <c r="K34" s="19" t="n"/>
      <c r="L34" s="19" t="n"/>
      <c r="M34" s="5" t="inlineStr">
        <is>
          <t>Phir Bhi Dil Hai Hindustani won the IIFA Award for Best Special Effects; Aśoka won Filmfare and IIFA awards for Best Cinematography.</t>
        </is>
      </c>
      <c r="N34" s="19" t="inlineStr">
        <is>
          <t>Khan's first venture as a producer and the forerunner of Red Chillies Entertainment.</t>
        </is>
      </c>
      <c r="O34" s="19" t="inlineStr">
        <is>
          <t>Khan's own first production company; it produced three films starring him and distributed Hey Ram, in which he co-starred.</t>
        </is>
      </c>
      <c r="P34" s="17" t="n">
        <v>3</v>
      </c>
      <c r="Q34" s="5" t="inlineStr">
        <is>
          <t>FILM-033; FILM-040; FILM-046</t>
        </is>
      </c>
      <c r="R34" s="5" t="inlineStr">
        <is>
          <t>Chalte Chalte (2003)</t>
        </is>
      </c>
      <c r="S34" s="5" t="inlineStr">
        <is>
          <t>Dreamz Unlimited was founded in 1999 by Shah Rukh Khan, Juhi Chawla and Aziz Mirza, marking Khan's move into production. Its first film, Mirza's media satire Phir Bhi Dil Hai Hindustani (2000), starring Khan and Chawla, was a commercial failure that Khan later called the biggest failure for all three partners, though it won the IIFA Award for Best Special Effects. The company also distributed the Hindi version of Kamal Haasan's Hey Ram (2000), in which Khan co-starred. It produced Santosh Sivan's historical epic Aśoka (2001), acclaimed abroad but only moderately successful in India. Mirza's Chalte Chalte (2003) was the company's first box-office hit and its last production before it became Red Chillies Entertainment. Khan's article says that after the partnership dissolved, Khan and Gauri Khan restructured the company as Red Chillies. The sources differ on dates: the Red Chillies article gives its founding as 2002, while the Chalte Chalte article places the rebranding in 2003.</t>
        </is>
      </c>
      <c r="T34" s="5" t="inlineStr">
        <is>
          <t>SOURCE-148; SOURCE-116; SOURCE-003; SOURCE-036; SOURCE-049</t>
        </is>
      </c>
      <c r="U34" s="5" t="inlineStr">
        <is>
          <t>Medium</t>
        </is>
      </c>
    </row>
    <row r="35" ht="169" customHeight="1">
      <c r="A35" s="15" t="inlineStr">
        <is>
          <t>PERSON-034</t>
        </is>
      </c>
      <c r="B35" s="5" t="inlineStr">
        <is>
          <t>Farah Khan</t>
        </is>
      </c>
      <c r="C35" s="5" t="inlineStr">
        <is>
          <t>Director; screenwriter; choreographer</t>
        </is>
      </c>
      <c r="D35" s="17" t="n">
        <v>1965</v>
      </c>
      <c r="E35" s="20" t="n"/>
      <c r="F35" s="5" t="inlineStr">
        <is>
          <t>1987–present</t>
        </is>
      </c>
      <c r="G35" s="5" t="inlineStr">
        <is>
          <t>Hindi</t>
        </is>
      </c>
      <c r="H35" s="5" t="inlineStr">
        <is>
          <t>One of Hindi cinema's leading choreographers, with more than a hundred songs in over 80 films, before directing.</t>
        </is>
      </c>
      <c r="I35" s="5" t="inlineStr">
        <is>
          <t>Directorial debut Main Hoon Na (2004), produced by Red Chillies Entertainment.</t>
        </is>
      </c>
      <c r="J35" s="5" t="inlineStr">
        <is>
          <t>Main Hoon Na (2004); Om Shanti Om (2007); Tees Maar Khan (2010); Happy New Year (2014); choreography for Monsoon Wedding and Bombay Dreams</t>
        </is>
      </c>
      <c r="K35" s="19" t="inlineStr">
        <is>
          <t>Affectionate homage to Hindi popular cinema, masala spectacle and self-referential comedy.</t>
        </is>
      </c>
      <c r="L35" s="19" t="inlineStr">
        <is>
          <t>Retro, song-and-dance-driven entertainment that plays with Bollywood clichés.</t>
        </is>
      </c>
      <c r="M35" s="5" t="inlineStr">
        <is>
          <t>National Film Award for Best Choreography; seven Filmfare Awards for Best Choreography, including 'Chaiyya Chaiyya' (Dil Se..); Filmfare Best Director nominations for Main Hoon Na and Om Shanti Om; Tony Award and Golden Horse nominations for choreography</t>
        </is>
      </c>
      <c r="N35" s="19" t="inlineStr">
        <is>
          <t>A rare woman director of big-budget masala hits, whose films with Khan were among the top earners of their years.</t>
        </is>
      </c>
      <c r="O35" s="19" t="inlineStr">
        <is>
          <t>A close friend since the sets of Kabhi Haan Kabhi Naa; she choreographed 'Chaiyya Chaiyya' in Dil Se.. and directed Khan in three of her four features, all Red Chillies productions: Main Hoon Na, Om Shanti Om and Happy New Year.</t>
        </is>
      </c>
      <c r="P35" s="17" t="n">
        <v>3</v>
      </c>
      <c r="Q35" s="5" t="inlineStr">
        <is>
          <t>FILM-049; FILM-062; FILM-081</t>
        </is>
      </c>
      <c r="R35" s="5" t="inlineStr">
        <is>
          <t>Om Shanti Om (2007)</t>
        </is>
      </c>
      <c r="S35" s="5" t="inlineStr">
        <is>
          <t>Farah Khan, born on 9 January 1965, is a film director, choreographer, writer and producer who has choreographed more than a hundred songs in over 80 films. She has won the National Film Award for Best Choreography and seven Filmfare Awards, and her work on Bombay Dreams and elsewhere brought Tony and Golden Horse nominations. She met Shah Rukh Khan on the sets of Kabhi Haan Kabhi Naa (1994), and the two became close friends and regular collaborators; her choreography for 'Chaiyya Chaiyya' in Dil Se.. (1998) won a Filmfare Award. She made her directorial debut with Main Hoon Na (2004), a masala film produced by Red Chillies Entertainment in which Khan plays an army major undercover at a college; it was the second highest-grossing Indian film of the year. She followed it with the reincarnation melodrama Om Shanti Om (2007), which introduced Deepika Padukone opposite Khan and paid tribute to 1970s Hindi cinema. Both films earned her Filmfare Best Director nominations. After Tees Maar Khan (2010) she directed Khan again in the heist musical Happy New Year (2014), which set a record opening day but drew mixed reviews.</t>
        </is>
      </c>
      <c r="T35" s="5" t="inlineStr">
        <is>
          <t>SOURCE-144; SOURCE-052; SOURCE-065</t>
        </is>
      </c>
      <c r="U35" s="5" t="inlineStr">
        <is>
          <t>Medium</t>
        </is>
      </c>
    </row>
    <row r="36" ht="109" customHeight="1">
      <c r="A36" s="15" t="inlineStr">
        <is>
          <t>PERSON-035</t>
        </is>
      </c>
      <c r="B36" s="5" t="inlineStr">
        <is>
          <t>Ganesh Jain</t>
        </is>
      </c>
      <c r="C36" s="5" t="inlineStr">
        <is>
          <t>Producer (Venus Records &amp; Tapes)</t>
        </is>
      </c>
      <c r="D36" s="20" t="n"/>
      <c r="E36" s="20" t="n"/>
      <c r="F36" s="5" t="n"/>
      <c r="G36" s="5" t="inlineStr">
        <is>
          <t>Hindi cinema</t>
        </is>
      </c>
      <c r="H36" s="5" t="inlineStr">
        <is>
          <t>A Hindi-film producer who, with his brothers Ratan, Girish, Champak, Umed, Ramesh and Bhawar Jain, founded Venus Records &amp; Tapes; he has served as chairman of the Indian Music Industry body.</t>
        </is>
      </c>
      <c r="I36" s="5" t="inlineStr">
        <is>
          <t>Venus began as a video-cassette manufacturer in the early 1980s and moved into film production in 1992 with Khiladi.</t>
        </is>
      </c>
      <c r="J36" s="5" t="inlineStr">
        <is>
          <t>With Khan: Baazigar (1993), Baadshah (1999), Josh (2000). Wider work: Garam Masala, Aap Ki Khatir, De Dana Dan.</t>
        </is>
      </c>
      <c r="K36" s="19" t="inlineStr">
        <is>
          <t>Song-driven mainstream entertainers, from thrillers to comedies.</t>
        </is>
      </c>
      <c r="L36" s="19" t="n"/>
      <c r="M36" s="5" t="n"/>
      <c r="N36" s="19" t="inlineStr">
        <is>
          <t>Co-founder of one of the largest music-rights holders and film producers of 1990s Bollywood.</t>
        </is>
      </c>
      <c r="O36" s="19" t="inlineStr">
        <is>
          <t>Three films with Khan as lead, all Venus productions: Baazigar, Abbas–Mustan's spy comedy Baadshah, and Josh.</t>
        </is>
      </c>
      <c r="P36" s="17" t="n">
        <v>3</v>
      </c>
      <c r="Q36" s="5" t="inlineStr">
        <is>
          <t>FILM-008; FILM-032; FILM-035</t>
        </is>
      </c>
      <c r="R36" s="5" t="inlineStr">
        <is>
          <t>Baazigar (1993)</t>
        </is>
      </c>
      <c r="S36" s="5" t="inlineStr">
        <is>
          <t>Ganesh Jain and his brother Ratan built Venus Records &amp; Tapes from a video-cassette manufacturing business in the early 1980s into a film producer from 1992, beginning with Khiladi. Over the following two decades the company acquired a large library of audio, satellite, video and cable rights, and Jain was elected chairman of the Indian Music Industry. Venus was the producer of Baazigar (1993), the thriller that established Shah Rukh Khan as a leading man, and returned to Khan and the Abbas–Mustan directing team with Baadshah (1999), a comic spy caper that performed averagely. Josh (2000) cast Khan as a Goa gang leader opposite Aishwarya Rai, who played his twin sister. Later Venus productions include Garam Masala, Aap Ki Khatir and De Dana Dan.</t>
        </is>
      </c>
      <c r="T36" s="5" t="inlineStr">
        <is>
          <t>SOURCE-189; SOURCE-011; SOURCE-035; SOURCE-038</t>
        </is>
      </c>
      <c r="U36" s="5" t="inlineStr">
        <is>
          <t>Medium</t>
        </is>
      </c>
    </row>
    <row r="37" ht="139" customHeight="1">
      <c r="A37" s="15" t="inlineStr">
        <is>
          <t>PERSON-036</t>
        </is>
      </c>
      <c r="B37" s="5" t="inlineStr">
        <is>
          <t>Juhi Chawla</t>
        </is>
      </c>
      <c r="C37" s="5" t="inlineStr">
        <is>
          <t>Producer (Dreamz Unlimited co-founder); actress</t>
        </is>
      </c>
      <c r="D37" s="17" t="n">
        <v>1967</v>
      </c>
      <c r="E37" s="20" t="n"/>
      <c r="F37" s="5" t="inlineStr">
        <is>
          <t>1984–present</t>
        </is>
      </c>
      <c r="G37" s="5" t="inlineStr">
        <is>
          <t>Hindi cinema</t>
        </is>
      </c>
      <c r="H37" s="5" t="inlineStr">
        <is>
          <t>An Indian actress, Miss India 1984, who was one of the leading heroines of Hindi cinema from the late 1980s to the early 2000s and later moved to art-house roles.</t>
        </is>
      </c>
      <c r="I37" s="5" t="inlineStr">
        <is>
          <t>Sultanat (1986); breakthrough in Qayamat Se Qayamat Tak (1988), opposite Aamir Khan, which won her the Filmfare Award for Best Female Debut.</t>
        </is>
      </c>
      <c r="J37" s="5" t="inlineStr">
        <is>
          <t>With Khan as producer: Phir Bhi Dil Hai Hindustani (2000), Aśoka (2001), Chalte Chalte (2003). As actress: Qayamat Se Qayamat Tak, Darr, Hum Hain Rahi Pyar Ke, Yes Boss, Jhankaar Beats, My Brother Nikhil, I Am.</t>
        </is>
      </c>
      <c r="K37" s="19" t="inlineStr">
        <is>
          <t>Comic romantic heroines in the 1990s; independent and character roles from the 2000s.</t>
        </is>
      </c>
      <c r="L37" s="19" t="n"/>
      <c r="M37" s="5" t="inlineStr">
        <is>
          <t>Two Filmfare Awards, including Best Actress for Hum Hain Rahi Pyar Ke (1993).</t>
        </is>
      </c>
      <c r="N37" s="19" t="inlineStr">
        <is>
          <t>One of the most popular Hindi-film heroines of the 1990s, and Khan's most frequent leading lady of that decade.</t>
        </is>
      </c>
      <c r="O37" s="19" t="inlineStr">
        <is>
          <t>Khan and Chawla co-founded Dreamz Unlimited, which produced three films, starting with the self-starring Phir Bhi Dil Hai Hindustani (2000), a flop; Santosh Sivan's Aśoka (2001) followed, then Aziz Mirza's Chalte Chalte (2003), a hit. She is also co-owner, with her husband Jay Mehta and Khan, of the Kolkata Knight Riders. Her on-screen pairings with Khan are recorded in Romances.</t>
        </is>
      </c>
      <c r="P37" s="17" t="n">
        <v>3</v>
      </c>
      <c r="Q37" s="5" t="inlineStr">
        <is>
          <t>FILM-033; FILM-040; FILM-046</t>
        </is>
      </c>
      <c r="R37" s="5" t="inlineStr">
        <is>
          <t>Chalte Chalte (2003)</t>
        </is>
      </c>
      <c r="S37" s="5" t="inlineStr">
        <is>
          <t>Juhi Chawla won Miss India in 1984 and became one of Hindi cinema's leading actresses after Qayamat Se Qayamat Tak (1988), which earned her the Filmfare Award for Best Female Debut. She won Best Actress for Hum Hain Rahi Pyar Ke in 1993, a year that also produced Darr with Shah Rukh Khan, and from the 2000s took art-house roles in Jhankaar Beats, 3 Deewarein, My Brother Nikhil and I Am. Her producing work is almost entirely with Khan. The two founded Dreamz Unlimited, whose first film, Phir Bhi Dil Hai Hindustani (2000), starred them both as rival television reporters and failed commercially. The company then backed Aśoka (2001) and Chalte Chalte (2003), the last of which was a hit. Their partnership continued off screen as co-owners of the Kolkata Knight Riders cricket team.</t>
        </is>
      </c>
      <c r="T37" s="5" t="inlineStr">
        <is>
          <t>SOURCE-190; SOURCE-036; SOURCE-043; SOURCE-049</t>
        </is>
      </c>
      <c r="U37" s="5" t="inlineStr">
        <is>
          <t>High</t>
        </is>
      </c>
    </row>
    <row r="38" ht="184" customHeight="1">
      <c r="A38" s="15" t="inlineStr">
        <is>
          <t>PERSON-037</t>
        </is>
      </c>
      <c r="B38" s="5" t="inlineStr">
        <is>
          <t>Mahesh Bhatt</t>
        </is>
      </c>
      <c r="C38" s="5" t="inlineStr">
        <is>
          <t>Director; producer; screenwriter</t>
        </is>
      </c>
      <c r="D38" s="17" t="n">
        <v>1948</v>
      </c>
      <c r="E38" s="20" t="n"/>
      <c r="F38" s="5" t="n"/>
      <c r="G38" s="5" t="inlineStr">
        <is>
          <t>Hindi</t>
        </is>
      </c>
      <c r="H38" s="5" t="inlineStr">
        <is>
          <t>Son of the director Nanabhai Bhatt; turned producer in 1987 with his brother Mukesh Bhatt under the Vishesh Films banner.</t>
        </is>
      </c>
      <c r="I38" s="5" t="inlineStr">
        <is>
          <t>Saaransh (1984) was India's official Academy Award entry; Naam (1986) was his first commercial film.</t>
        </is>
      </c>
      <c r="J38" s="5" t="inlineStr">
        <is>
          <t>Saaransh (1984); Naam (1986); Daddy (1989); Aashiqui (1990); Dil Hai Ki Manta Nahin (1991); Sadak (1991); Hum Hain Rahi Pyar Ke (1993); Chaahat (1996); Tamanna (1996); Duplicate (1998)</t>
        </is>
      </c>
      <c r="K38" s="19" t="inlineStr">
        <is>
          <t>Unconventional narratives and bold themes, alongside commercial romances.</t>
        </is>
      </c>
      <c r="L38" s="19" t="inlineStr">
        <is>
          <t>Moves between art-house films and mainstream romantic hits.</t>
        </is>
      </c>
      <c r="M38" s="5" t="inlineStr">
        <is>
          <t>5 National Film Awards, including the Special Jury Award for Hum Hain Rahi Pyar Ke; 4 Filmfare Awards</t>
        </is>
      </c>
      <c r="N38" s="19" t="inlineStr">
        <is>
          <t>One of the most prominent Hindi filmmakers of the 1980s and 1990s, known for mentoring and launching actors; inducted into the Bollywood Walk of Fame in 2013.</t>
        </is>
      </c>
      <c r="O38" s="19" t="inlineStr">
        <is>
          <t>Directed Khan in the romantic thriller Chaahat and the double-role comedy Duplicate, and produced Gudgudee, in which Khan appears as himself.</t>
        </is>
      </c>
      <c r="P38" s="17" t="n">
        <v>3</v>
      </c>
      <c r="Q38" s="5" t="inlineStr">
        <is>
          <t>FILM-020; FILM-023; FILM-028</t>
        </is>
      </c>
      <c r="R38" s="5" t="inlineStr">
        <is>
          <t>Duplicate (1998)</t>
        </is>
      </c>
      <c r="S38" s="5" t="inlineStr">
        <is>
          <t>Mahesh Bhatt, born on 20 September 1948, is the son of the director Nanabhai Bhatt and a retired director, producer and screenwriter known for unconventional narratives and bold themes. His early Saaransh (1984) was India's official entry for the Academy Awards, and Naam (1986) was his first commercial success. In 1987 he became a producer with his younger brother Mukesh Bhatt under Vishesh Films. He moved between art-house work such as Daddy (1989) and Swayam (1991) and romantic hits such as Aashiqui (1990), Dil Hai Ki Manta Nahin (1991) and Sadak (1991). He won five National Film Awards, including the Special Jury Award for directing Hum Hain Rahi Pyar Ke (1993) and the award for Tamanna (1996), and four Filmfare Awards. With Shah Rukh Khan, Bhatt directed Chaahat (1996), in which Khan's singer is persecuted by an obsessive heiress, and produced Basu Chatterjee's Gudgudee (1997), in which Khan appears as himself. He also directed Duplicate (1998), Khan's first film with Dharma Productions, in which Khan plays both a gentle chef and his gangster double. His half-brother Robin Bhatt co-wrote both Chaahat and Duplicate. Bhatt was inducted into the Bollywood Walk of Fame in 2013.</t>
        </is>
      </c>
      <c r="T38" s="5" t="inlineStr">
        <is>
          <t>SOURCE-136; SOURCE-023; SOURCE-031</t>
        </is>
      </c>
      <c r="U38" s="5" t="inlineStr">
        <is>
          <t>Medium</t>
        </is>
      </c>
    </row>
    <row r="39" ht="154" customHeight="1">
      <c r="A39" s="15" t="inlineStr">
        <is>
          <t>PERSON-038</t>
        </is>
      </c>
      <c r="B39" s="5" t="inlineStr">
        <is>
          <t>Manoj Lalwani</t>
        </is>
      </c>
      <c r="C39" s="5" t="inlineStr">
        <is>
          <t>Writer</t>
        </is>
      </c>
      <c r="D39" s="20" t="n"/>
      <c r="E39" s="20" t="n"/>
      <c r="F39" s="5" t="n"/>
      <c r="G39" s="5" t="inlineStr">
        <is>
          <t>Hindi cinema</t>
        </is>
      </c>
      <c r="H39" s="5" t="inlineStr">
        <is>
          <t>A writer credited on 3 films in this filmography, with no Wikipedia article of their own.</t>
        </is>
      </c>
      <c r="I39" s="5" t="n"/>
      <c r="J39" s="5" t="inlineStr">
        <is>
          <t>With Khan: Raju Ban Gaya Gentleman (1992), Phir Bhi Dil Hai Hindustani (2000) and One 2 Ka 4 (2001).</t>
        </is>
      </c>
      <c r="K39" s="19" t="n"/>
      <c r="L39" s="19" t="n"/>
      <c r="M39" s="5" t="n"/>
      <c r="N39" s="19" t="n"/>
      <c r="O39" s="19" t="inlineStr">
        <is>
          <t>3 films with Khan, credited as writer: Raju Ban Gaya Gentleman (1992), directed by Aziz Mirza, with Khan in the lead as Raj "Raju" Mathur; verdict: Commercial success. Phir Bhi Dil Hai Hindustani (2000), directed by Aziz Mirza, with Khan in the lead as Ajay Bakshi; verdict: Flop. One 2 Ka 4 (2001), directed by Shashilal K. Nair, with Khan in the lead as ACP Arun Verma; verdict: Disaster.</t>
        </is>
      </c>
      <c r="P39" s="17" t="n">
        <v>3</v>
      </c>
      <c r="Q39" s="5" t="inlineStr">
        <is>
          <t>FILM-003; FILM-033; FILM-039</t>
        </is>
      </c>
      <c r="R39" s="5" t="inlineStr">
        <is>
          <t>Raju Ban Gaya Gentleman (1992)</t>
        </is>
      </c>
      <c r="S39" s="5" t="inlineStr">
        <is>
          <t>Manoj Lalwani is credited as writer on Raju Ban Gaya Gentleman (1992), Phir Bhi Dil Hai Hindustani (2000) and One 2 Ka 4 (2001). No Wikipedia article or other independent biography was located; this row is built from the film credits alone.</t>
        </is>
      </c>
      <c r="T39" s="5" t="inlineStr">
        <is>
          <t>SOURCE-006; SOURCE-036; SOURCE-042</t>
        </is>
      </c>
      <c r="U39" s="5" t="inlineStr">
        <is>
          <t>Low</t>
        </is>
      </c>
    </row>
    <row r="40" ht="109" customHeight="1">
      <c r="A40" s="15" t="inlineStr">
        <is>
          <t>PERSON-039</t>
        </is>
      </c>
      <c r="B40" s="5" t="inlineStr">
        <is>
          <t>Mushtaq Shiekh</t>
        </is>
      </c>
      <c r="C40" s="5" t="inlineStr">
        <is>
          <t>Writer</t>
        </is>
      </c>
      <c r="D40" s="20" t="n"/>
      <c r="E40" s="20" t="n"/>
      <c r="F40" s="5" t="n"/>
      <c r="G40" s="5" t="inlineStr">
        <is>
          <t>Hindi cinema</t>
        </is>
      </c>
      <c r="H40" s="5" t="inlineStr">
        <is>
          <t>A Mumbai-born screenwriter, author, producer and actor, and the author of the Shah Rukh Khan biography Still Reading Khan.</t>
        </is>
      </c>
      <c r="I40" s="5" t="inlineStr">
        <is>
          <t>Om Shanti Om (2007), co-written for Farah Khan.</t>
        </is>
      </c>
      <c r="J40" s="5" t="inlineStr">
        <is>
          <t>With Khan: Om Shanti Om (2007), Billu (2009), Ra.One (2011). Wider work: Rangrezz; Ek Deewane Ki Deewaniyat (2025); the novel Secrets Within (2024).</t>
        </is>
      </c>
      <c r="K40" s="19" t="inlineStr">
        <is>
          <t>Big commercial star vehicles; books about Hindi cinema.</t>
        </is>
      </c>
      <c r="L40" s="19" t="n"/>
      <c r="M40" s="5" t="n"/>
      <c r="N40" s="19" t="inlineStr">
        <is>
          <t>A writer closely tied to Khan's Red Chillies output of the late 2000s and one of his biographers.</t>
        </is>
      </c>
      <c r="O40" s="19" t="inlineStr">
        <is>
          <t>Three screenplays for Khan in four years: Om Shanti Om, a reincarnation melodrama and tribute to 1970s Hindi cinema; Priyadarshan's Billu, a Red Chillies production in which Khan plays a film star; and Ra.One, Khan's superhero film. He also wrote Khan's biography, Still Reading Khan.</t>
        </is>
      </c>
      <c r="P40" s="17" t="n">
        <v>3</v>
      </c>
      <c r="Q40" s="5" t="inlineStr">
        <is>
          <t>FILM-062; FILM-069; FILM-075</t>
        </is>
      </c>
      <c r="R40" s="5" t="inlineStr">
        <is>
          <t>Om Shanti Om (2007)</t>
        </is>
      </c>
      <c r="S40" s="5" t="inlineStr">
        <is>
          <t>Mushtaq Shiekh is a screenwriter and author whose film career is closely linked to Shah Rukh Khan. He co-wrote Om Shanti Om (2007), Farah Khan's reincarnation drama and celebration of 1970s Hindi film, in which Khan plays a junior artist reborn as a star; Billu (2009), Priyadarshan's remake of a Malayalam film about a barber whose childhood friend is now a superstar, played by Khan; and Ra.One (2011), Khan's expensive superhero film. He also wrote Still Reading Khan, a biography of the actor, and several other books about Hindi cinema. Away from Khan he wrote Priyadarshan's Rangrezz, worked as associate producer on Mulk (2018) and as a creative director at Sahara One, and wrote the 2025 romance Ek Deewane Ki Deewaniyat.</t>
        </is>
      </c>
      <c r="T40" s="5" t="inlineStr">
        <is>
          <t>SOURCE-191; SOURCE-065; SOURCE-072; SOURCE-078</t>
        </is>
      </c>
      <c r="U40" s="5" t="inlineStr">
        <is>
          <t>Medium</t>
        </is>
      </c>
    </row>
    <row r="41" ht="109" customHeight="1">
      <c r="A41" s="15" t="inlineStr">
        <is>
          <t>PERSON-040</t>
        </is>
      </c>
      <c r="B41" s="5" t="inlineStr">
        <is>
          <t>Neeraj Vora</t>
        </is>
      </c>
      <c r="C41" s="5" t="inlineStr">
        <is>
          <t>Writer; song composer; director; actor</t>
        </is>
      </c>
      <c r="D41" s="17" t="n">
        <v>1963</v>
      </c>
      <c r="E41" s="17" t="n">
        <v>2017</v>
      </c>
      <c r="F41" s="5" t="inlineStr">
        <is>
          <t>1984–2016</t>
        </is>
      </c>
      <c r="G41" s="5" t="inlineStr">
        <is>
          <t>Hindi cinema</t>
        </is>
      </c>
      <c r="H41" s="5" t="inlineStr">
        <is>
          <t>A Gujarati writer, director, actor and composer, born in Bhuj and raised in Mumbai, the son of the classical musician Vinayak Rai Vora; he began in Gujarati theatre and television.</t>
        </is>
      </c>
      <c r="I41" s="5" t="inlineStr">
        <is>
          <t>Worked on Ketan Mehta's Holi (1984); made his mark as a writer on Ram Gopal Varma's Rangeela (1995); directorial debut Khiladi 420 (2000).</t>
        </is>
      </c>
      <c r="J41" s="5" t="inlineStr">
        <is>
          <t>With Khan: Pehla Nasha (1993), Baadshah (1999), Josh (2000). Wider work: Hera Pheri (writer), Phir Hera Pheri (director), Garam Masala, Bhagam Bhag, Golmaal, Bhool Bhulaiyaa (writer).</t>
        </is>
      </c>
      <c r="K41" s="19" t="inlineStr">
        <is>
          <t>Mass comedy dialogue and screenplays, especially for Priyadarshan.</t>
        </is>
      </c>
      <c r="L41" s="19" t="n"/>
      <c r="M41" s="5" t="n"/>
      <c r="N41" s="19" t="inlineStr">
        <is>
          <t>One of the main comedy writers of 2000s Hindi cinema.</t>
        </is>
      </c>
      <c r="O41" s="19" t="inlineStr">
        <is>
          <t>Three credits on Khan films, none central: Pehla Nasha, in which Khan appears as himself and for which Vora is credited with both writing and songs; Abbas–Mustan's spy comedy Baadshah; and Mansoor Khan's Josh, both as writer. None was more than an average performer.</t>
        </is>
      </c>
      <c r="P41" s="17" t="n">
        <v>3</v>
      </c>
      <c r="Q41" s="5" t="inlineStr">
        <is>
          <t>FILM-007; FILM-032; FILM-035</t>
        </is>
      </c>
      <c r="R41" s="5" t="inlineStr">
        <is>
          <t>Baadshah (1999)</t>
        </is>
      </c>
      <c r="S41" s="5" t="inlineStr">
        <is>
          <t>Neeraj Vora came from a family of musicians in Gujarat and began as a stage and television actor before turning to film writing. He made his mark with Rangeela (1995), even playing a role in it when an actor was absent, and became one of the main comedy writers of the 2000s, with credits on the Hera Pheri films, Garam Masala, Bhagam Bhag, Golmaal and Bhool Bhulaiyaa. He directed Khiladi 420 and Phir Hera Pheri. His connection to Shah Rukh Khan is peripheral: he wrote and composed songs for Ashutosh Gowariker's Pehla Nasha, in which Khan appears as himself, and wrote for Baadshah (1999) and Josh (2000), both averages. Vora suffered a stroke in October 2016 while preparing Hera Pheri 3 and died on 14 December 2017.</t>
        </is>
      </c>
      <c r="T41" s="5" t="inlineStr">
        <is>
          <t>SOURCE-192; SOURCE-010; SOURCE-035; SOURCE-038</t>
        </is>
      </c>
      <c r="U41" s="5" t="inlineStr">
        <is>
          <t>Medium</t>
        </is>
      </c>
    </row>
    <row r="42" ht="109" customHeight="1">
      <c r="A42" s="15" t="inlineStr">
        <is>
          <t>PERSON-041</t>
        </is>
      </c>
      <c r="B42" s="5" t="inlineStr">
        <is>
          <t>Nikhil–Vinay</t>
        </is>
      </c>
      <c r="C42" s="5" t="inlineStr">
        <is>
          <t>Song composers (duo)</t>
        </is>
      </c>
      <c r="D42" s="20" t="n"/>
      <c r="E42" s="20" t="n"/>
      <c r="F42" s="5" t="inlineStr">
        <is>
          <t>1991–2006</t>
        </is>
      </c>
      <c r="G42" s="5" t="inlineStr">
        <is>
          <t>Hindi</t>
        </is>
      </c>
      <c r="H42" s="5" t="inlineStr">
        <is>
          <t>Nikhil Kamath and Vinay Tiwari, both classically trained, were discovered by the singer Anuradha Paudwal and recommended to Gulshan Kumar of T-Series.</t>
        </is>
      </c>
      <c r="I42" s="5" t="inlineStr">
        <is>
          <t>Pyar Bhara Dil (1991).</t>
        </is>
      </c>
      <c r="J42" s="5" t="inlineStr">
        <is>
          <t>Pyar Bhara Dil (1991); Bewafa Sanam (1995); English Babu Desi Mem (1996); Tum Bin (2001); Hum Tumhare Hain Sanam (2002); Yeh Lamhe Judaai Ke (2004)</t>
        </is>
      </c>
      <c r="K42" s="19" t="inlineStr">
        <is>
          <t>Sentimental romantic songs, mostly for T-Series.</t>
        </is>
      </c>
      <c r="L42" s="19" t="n"/>
      <c r="M42" s="5" t="n"/>
      <c r="N42" s="19" t="inlineStr">
        <is>
          <t>Bewafa Sanam was a breakthrough for the singer Sonu Nigam; they also composed his albums Jaan and Yaad.</t>
        </is>
      </c>
      <c r="O42" s="19" t="inlineStr">
        <is>
          <t>Composed for three Khan films: English Babu Desi Mem, Hum Tumhare Hain Sanam and the long-delayed Yeh Lamhe Judaai Ke.</t>
        </is>
      </c>
      <c r="P42" s="17" t="n">
        <v>3</v>
      </c>
      <c r="Q42" s="5" t="inlineStr">
        <is>
          <t>FILM-019; FILM-042; FILM-048</t>
        </is>
      </c>
      <c r="R42" s="5" t="inlineStr">
        <is>
          <t>English Babu Desi Mem (1996)</t>
        </is>
      </c>
      <c r="S42" s="5" t="inlineStr">
        <is>
          <t>Nikhil–Vinay were the composer duo of Nikhil Kamath and Vinay Tiwari, active in Hindi films from 1991 until they split in 2006. Both classically trained, they were discovered by Anuradha Paudwal, who recommended them to T-Series owner Gulshan Kumar and the director Chandra Barot, who signed them for Pyar Bhara Dil (1991). Their early successes included Bewafa Sanam (1995), which launched Sonu Nigam as a playback singer, English Babu Desi Mem (1996), Uff Yeh Mohabbat (1997) and Papa The Great (2000), and they composed Nigam's albums Jaan and Yaad. Their later hits included Tum Bin (2001) and Hum Tumhare Hain Sanam (2002). They composed for three Shah Rukh Khan films: English Babu Desi Mem, Hum Tumhare Hain Sanam and Yeh Lamhe Judaai Ke (2004).</t>
        </is>
      </c>
      <c r="T42" s="5" t="inlineStr">
        <is>
          <t>SOURCE-135; SOURCE-022; SOURCE-045</t>
        </is>
      </c>
      <c r="U42" s="5" t="inlineStr">
        <is>
          <t>Medium</t>
        </is>
      </c>
    </row>
    <row r="43" ht="139" customHeight="1">
      <c r="A43" s="15" t="inlineStr">
        <is>
          <t>PERSON-042</t>
        </is>
      </c>
      <c r="B43" s="5" t="inlineStr">
        <is>
          <t>Ratan Jain</t>
        </is>
      </c>
      <c r="C43" s="5" t="inlineStr">
        <is>
          <t>Producer</t>
        </is>
      </c>
      <c r="D43" s="20" t="n"/>
      <c r="E43" s="20" t="n"/>
      <c r="F43" s="5" t="n"/>
      <c r="G43" s="5" t="inlineStr">
        <is>
          <t>Hindi cinema</t>
        </is>
      </c>
      <c r="H43" s="5" t="inlineStr">
        <is>
          <t>A producer credited on 3 films in this filmography, with no Wikipedia article of their own.</t>
        </is>
      </c>
      <c r="I43" s="5" t="n"/>
      <c r="J43" s="5" t="inlineStr">
        <is>
          <t>With Khan: Yes Boss (1997), Josh (2000) and Main Hoon Na (2004).</t>
        </is>
      </c>
      <c r="K43" s="19" t="n"/>
      <c r="L43" s="19" t="n"/>
      <c r="M43" s="5" t="n"/>
      <c r="N43" s="19" t="n"/>
      <c r="O43" s="19" t="inlineStr">
        <is>
          <t>3 films with Khan, credited as producer: Yes Boss (1997), directed by Aziz Mirza, with Khan in the lead as Rahul Joshi; verdict: Hit. Josh (2000), directed by Mansoor Khan, with Khan in the lead as Max Dias; verdict: Average. Main Hoon Na (2004), directed by Farah Khan, with Khan in the lead as Major Ram Prasad Sharma; verdict: Commercial success.</t>
        </is>
      </c>
      <c r="P43" s="17" t="n">
        <v>3</v>
      </c>
      <c r="Q43" s="5" t="inlineStr">
        <is>
          <t>FILM-025; FILM-035; FILM-049</t>
        </is>
      </c>
      <c r="R43" s="5" t="inlineStr">
        <is>
          <t>Yes Boss (1997)</t>
        </is>
      </c>
      <c r="S43" s="5" t="inlineStr">
        <is>
          <t>Ratan Jain is credited as producer on Yes Boss (1997), Josh (2000) and Main Hoon Na (2004). No Wikipedia article or other independent biography was located; this row is built from the film credits alone.</t>
        </is>
      </c>
      <c r="T43" s="5" t="inlineStr">
        <is>
          <t>SOURCE-028; SOURCE-038; SOURCE-052</t>
        </is>
      </c>
      <c r="U43" s="5" t="inlineStr">
        <is>
          <t>Low</t>
        </is>
      </c>
    </row>
    <row r="44" ht="139" customHeight="1">
      <c r="A44" s="15" t="inlineStr">
        <is>
          <t>PERSON-043</t>
        </is>
      </c>
      <c r="B44" s="5" t="inlineStr">
        <is>
          <t>Ravi Kapoor</t>
        </is>
      </c>
      <c r="C44" s="5" t="inlineStr">
        <is>
          <t>Writer</t>
        </is>
      </c>
      <c r="D44" s="20" t="n"/>
      <c r="E44" s="20" t="n"/>
      <c r="F44" s="5" t="n"/>
      <c r="G44" s="5" t="inlineStr">
        <is>
          <t>Hindi cinema</t>
        </is>
      </c>
      <c r="H44" s="5" t="inlineStr">
        <is>
          <t>A writer credited on 3 films in this filmography, with no Wikipedia article of their own.</t>
        </is>
      </c>
      <c r="I44" s="5" t="n"/>
      <c r="J44" s="5" t="inlineStr">
        <is>
          <t>With Khan: King Uncle (1993), Karan Arjun (1995) and Koyla (1997).</t>
        </is>
      </c>
      <c r="K44" s="19" t="n"/>
      <c r="L44" s="19" t="n"/>
      <c r="M44" s="5" t="n"/>
      <c r="N44" s="19" t="n"/>
      <c r="O44" s="19" t="inlineStr">
        <is>
          <t>3 films with Khan, credited as writer: King Uncle (1993), directed by Rakesh Roshan, with Khan in a supporting role as Anil Bansal; verdict: Moderate box-office success. Karan Arjun (1995), directed by Rakesh Roshan, with Khan in a co-lead as Arjun Singh; verdict: All-time blockbuster. Koyla (1997), directed by Rakesh Roshan, with Khan in the lead as Shankar Thakur; verdict: Average.</t>
        </is>
      </c>
      <c r="P44" s="17" t="n">
        <v>3</v>
      </c>
      <c r="Q44" s="5" t="inlineStr">
        <is>
          <t>FILM-005; FILM-012; FILM-024</t>
        </is>
      </c>
      <c r="R44" s="5" t="inlineStr">
        <is>
          <t>Karan Arjun (1995)</t>
        </is>
      </c>
      <c r="S44" s="5" t="inlineStr">
        <is>
          <t>Ravi Kapoor is credited as writer on King Uncle (1993), Karan Arjun (1995) and Koyla (1997). No Wikipedia article or other independent biography was located; this row is built from the film credits alone.</t>
        </is>
      </c>
      <c r="T44" s="5" t="inlineStr">
        <is>
          <t>SOURCE-008; SOURCE-015; SOURCE-027</t>
        </is>
      </c>
      <c r="U44" s="5" t="inlineStr">
        <is>
          <t>Low</t>
        </is>
      </c>
    </row>
    <row r="45" ht="109" customHeight="1">
      <c r="A45" s="15" t="inlineStr">
        <is>
          <t>PERSON-044</t>
        </is>
      </c>
      <c r="B45" s="5" t="inlineStr">
        <is>
          <t>Sachin Bhowmick</t>
        </is>
      </c>
      <c r="C45" s="5" t="inlineStr">
        <is>
          <t>Writer</t>
        </is>
      </c>
      <c r="D45" s="17" t="n">
        <v>1930</v>
      </c>
      <c r="E45" s="17" t="n">
        <v>2011</v>
      </c>
      <c r="F45" s="5" t="inlineStr">
        <is>
          <t>1958–2008</t>
        </is>
      </c>
      <c r="G45" s="5" t="inlineStr">
        <is>
          <t>Hindi cinema</t>
        </is>
      </c>
      <c r="H45" s="5" t="inlineStr">
        <is>
          <t>A Bengali-born Hindi-film writer who wrote stories or screenplays for over 94 films across five decades and contributed to the Bengali film magazine Ultorath.</t>
        </is>
      </c>
      <c r="I45" s="5" t="inlineStr">
        <is>
          <t>Screenplay of Mohan Segal's Lajwanti (1958).</t>
        </is>
      </c>
      <c r="J45" s="5" t="inlineStr">
        <is>
          <t>With Khan: Karan Arjun (1995), Koyla (1997), Achanak (1998). Wider work: Anuradha, An Evening in Paris, Brahmachari, Aradhana, Gol Maal, Karz, Karma, Koi Mil Gaya, Krrish; directed Raja Rani (1973).</t>
        </is>
      </c>
      <c r="K45" s="19" t="inlineStr">
        <is>
          <t>Romance, comedy and reincarnation or revenge melodrama across the mainstream.</t>
        </is>
      </c>
      <c r="L45" s="19" t="n"/>
      <c r="M45" s="5" t="n"/>
      <c r="N45" s="19" t="inlineStr">
        <is>
          <t>One of the longest-serving writers in Hindi cinema, with hits in every decade from the 1960s to the 2000s.</t>
        </is>
      </c>
      <c r="O45" s="19" t="inlineStr">
        <is>
          <t>Three films, two of them for Rakesh Roshan: the reincarnation revenge epic Karan Arjun (1995), an all-time blockbuster with Khan and Salman Khan as reborn brothers, and the action romance Koyla (1997). Achanak (1998), in which Khan appears as himself, failed.</t>
        </is>
      </c>
      <c r="P45" s="17" t="n">
        <v>3</v>
      </c>
      <c r="Q45" s="5" t="inlineStr">
        <is>
          <t>FILM-012; FILM-024; FILM-029</t>
        </is>
      </c>
      <c r="R45" s="5" t="inlineStr">
        <is>
          <t>Karan Arjun (1995)</t>
        </is>
      </c>
      <c r="S45" s="5" t="inlineStr">
        <is>
          <t>Sachin Bhowmick wrote for Hindi cinema for half a century, from Lajwanti (1958) to Krrish (2006), and is credited with stories or screenplays for more than ninety films. His successes include Anuradha, An Evening in Paris, Brahmachari, Aradhana, Gol Maal, Karz and Karma; he directed one film, Raja Rani (1973). In the 1990s he worked chiefly with Rakesh Roshan, for whom he wrote Karan Arjun (1995), the reincarnation revenge story in which Shah Rukh Khan and Salman Khan play murdered brothers reborn to avenge their mother, and Koyla (1997), with Khan as a mute servant fighting a feudal tyrant. Karan Arjun was one of the biggest hits of the decade. Bhowmick continued with Roshan into Koi Mil Gaya and Krrish. He died on 12 April 2011.</t>
        </is>
      </c>
      <c r="T45" s="5" t="inlineStr">
        <is>
          <t>SOURCE-193; SOURCE-015; SOURCE-027; SOURCE-032</t>
        </is>
      </c>
      <c r="U45" s="5" t="inlineStr">
        <is>
          <t>Medium</t>
        </is>
      </c>
    </row>
    <row r="46" ht="109" customHeight="1">
      <c r="A46" s="15" t="inlineStr">
        <is>
          <t>PERSON-045</t>
        </is>
      </c>
      <c r="B46" s="5" t="inlineStr">
        <is>
          <t>Sandeep Chowta</t>
        </is>
      </c>
      <c r="C46" s="5" t="inlineStr">
        <is>
          <t>Background-score composer; music director</t>
        </is>
      </c>
      <c r="D46" s="20" t="n"/>
      <c r="E46" s="20" t="n"/>
      <c r="F46" s="5" t="inlineStr">
        <is>
          <t>1996–present</t>
        </is>
      </c>
      <c r="G46" s="5" t="inlineStr">
        <is>
          <t>Hindi; Telugu</t>
        </is>
      </c>
      <c r="H46" s="5" t="inlineStr">
        <is>
          <t>Born in Ghana, raised in Nigeria and Bangalore; son of the Tulu author D. K. Chowta; head of Columbia Records in India and a core member of the group AO Music.</t>
        </is>
      </c>
      <c r="I46" s="5" t="n"/>
      <c r="J46" s="5" t="inlineStr">
        <is>
          <t>Aśoka (2001, score); Om Shanti Om (2007, score); Billu (2009, score); 12 Telugu films</t>
        </is>
      </c>
      <c r="K46" s="19" t="n"/>
      <c r="L46" s="19" t="n"/>
      <c r="M46" s="5" t="n"/>
      <c r="N46" s="19" t="inlineStr">
        <is>
          <t>AO Music albums crediting him have charted in the international top five.</t>
        </is>
      </c>
      <c r="O46" s="19" t="inlineStr">
        <is>
          <t>Wrote the background scores for Aśoka, Om Shanti Om and Billu.</t>
        </is>
      </c>
      <c r="P46" s="17" t="n">
        <v>3</v>
      </c>
      <c r="Q46" s="5" t="inlineStr">
        <is>
          <t>FILM-040; FILM-062; FILM-069</t>
        </is>
      </c>
      <c r="R46" s="5" t="inlineStr">
        <is>
          <t>Om Shanti Om (2007)</t>
        </is>
      </c>
      <c r="S46" s="5" t="inlineStr">
        <is>
          <t>Sandeep Chowta, born in 1967 or 1968 in Ghana, grew up in Nigeria before moving to Bangalore; he is the son of D. K. Chowta, a Tulu author and businessman. He works mainly in Hindi and Telugu cinema, has composed music for 12 Telugu films, and heads Columbia Records in India. In 2003 he produced the anti-substance-abuse documentary Dead End, and since 2004 he has been a core member of the new-age group AO Music, whose albums have charted in the international top five. For Shah Rukh Khan he wrote the background scores of Santosh Sivan's Aśoka (2001), Farah Khan's Om Shanti Om (2007) and Priyadarshan's Billu (2009), while other composers wrote their songs.</t>
        </is>
      </c>
      <c r="T46" s="5" t="inlineStr">
        <is>
          <t>SOURCE-153; SOURCE-065</t>
        </is>
      </c>
      <c r="U46" s="5" t="inlineStr">
        <is>
          <t>Medium</t>
        </is>
      </c>
    </row>
    <row r="47" ht="124" customHeight="1">
      <c r="A47" s="15" t="inlineStr">
        <is>
          <t>PERSON-046</t>
        </is>
      </c>
      <c r="B47" s="5" t="inlineStr">
        <is>
          <t>Sanjay Chhel</t>
        </is>
      </c>
      <c r="C47" s="5" t="inlineStr">
        <is>
          <t>Writer</t>
        </is>
      </c>
      <c r="D47" s="17" t="n">
        <v>1967</v>
      </c>
      <c r="E47" s="20" t="n"/>
      <c r="F47" s="5" t="inlineStr">
        <is>
          <t>1990s–present</t>
        </is>
      </c>
      <c r="G47" s="5" t="inlineStr">
        <is>
          <t>Hindi cinema</t>
        </is>
      </c>
      <c r="H47" s="5" t="inlineStr">
        <is>
          <t>A Gujarati-born writer, lyricist and director, son of the art director Chhel Vayeda, who started in Gujarati theatre and wrote more than 30 television serials, including Nukkad.</t>
        </is>
      </c>
      <c r="I47" s="5" t="inlineStr">
        <is>
          <t>Pehla Nasha (1993) as writer; Khoobsurat (1999) as director.</t>
        </is>
      </c>
      <c r="J47" s="5" t="inlineStr">
        <is>
          <t>With Khan: Pehla Nasha (1993), Phir Bhi Dil Hai Hindustani (2000), Kismat Konnection (2008). Wider work: Kachche Dhaage, Partner, Dil Toh Baccha Hai Ji (dialogue and lyrics); directed Kyaa Dil Ne Kahaa and Maan Gaye Mughal-e-Azam.</t>
        </is>
      </c>
      <c r="K47" s="19" t="inlineStr">
        <is>
          <t>Light comedy and romance; Gujarati columns and fiction.</t>
        </is>
      </c>
      <c r="L47" s="19" t="n"/>
      <c r="M47" s="5" t="n"/>
      <c r="N47" s="19" t="n"/>
      <c r="O47" s="19" t="inlineStr">
        <is>
          <t>Three peripheral credits: Pehla Nasha, with Khan as himself; Phir Bhi Dil Hai Hindustani, Khan's first Dreamz Unlimited production, a flop; and Kismat Konnection, which Khan narrates.</t>
        </is>
      </c>
      <c r="P47" s="17" t="n">
        <v>3</v>
      </c>
      <c r="Q47" s="5" t="inlineStr">
        <is>
          <t>FILM-007; FILM-033; FILM-066</t>
        </is>
      </c>
      <c r="R47" s="5" t="inlineStr">
        <is>
          <t>Phir Bhi Dil Hai Hindustani (2000)</t>
        </is>
      </c>
      <c r="S47" s="5" t="inlineStr">
        <is>
          <t>Sanjay Chhel grew up in Mumbai as the son of the production designer Chhel Vayeda and began writing one-act plays in Gujarati before moving into television, where he wrote more than thirty serials. His film debut as a writer was Pehla Nasha (1993), which includes a cameo by Shah Rukh Khan as himself, and he went on to write the stories of Kachche Dhaage, Phir Bhi Dil Hai Hindustani, Partner and Kismat Konnection. Phir Bhi Dil Hai Hindustani (2000), a media satire starring Khan and Juhi Chawla, was the first production of their company Dreamz Unlimited and failed at the box office; Kismat Konnection (2008) uses Khan as narrator. Chhel has also directed Khoobsurat, Kyaa Dil Ne Kahaa and Maan Gaye Mughal-e-Azam and writes weekly columns for Gujarati dailies.</t>
        </is>
      </c>
      <c r="T47" s="5" t="inlineStr">
        <is>
          <t>SOURCE-194; SOURCE-010; SOURCE-036; SOURCE-069</t>
        </is>
      </c>
      <c r="U47" s="5" t="inlineStr">
        <is>
          <t>Medium</t>
        </is>
      </c>
    </row>
    <row r="48" ht="94" customHeight="1">
      <c r="A48" s="15" t="inlineStr">
        <is>
          <t>PERSON-047</t>
        </is>
      </c>
      <c r="B48" s="5" t="inlineStr">
        <is>
          <t>Surinder Sodhi</t>
        </is>
      </c>
      <c r="C48" s="5" t="inlineStr">
        <is>
          <t>Background-score composer</t>
        </is>
      </c>
      <c r="D48" s="20" t="n"/>
      <c r="E48" s="20" t="n"/>
      <c r="F48" s="5" t="n"/>
      <c r="G48" s="5" t="inlineStr">
        <is>
          <t>Hindi</t>
        </is>
      </c>
      <c r="H48" s="5" t="inlineStr">
        <is>
          <t>Often credited as Surender or Surendra Sodhi.</t>
        </is>
      </c>
      <c r="I48" s="5" t="n"/>
      <c r="J48" s="5" t="inlineStr">
        <is>
          <t>Deewana (1992); Soldier (1998); Raja Hindustani (1996); Baadshah (1999); Hera Pheri (2000); 23rd March 1931: Shaheed (2002); Special 26 (2013)</t>
        </is>
      </c>
      <c r="K48" s="19" t="n"/>
      <c r="L48" s="19" t="n"/>
      <c r="M48" s="5" t="n"/>
      <c r="N48" s="19" t="n"/>
      <c r="O48" s="19" t="inlineStr">
        <is>
          <t>Scored Baadshah, Har Dil Jo Pyar Karega and Shaurya; his article also credits him with the background score of Khan's debut, Deewana.</t>
        </is>
      </c>
      <c r="P48" s="17" t="n">
        <v>3</v>
      </c>
      <c r="Q48" s="5" t="inlineStr">
        <is>
          <t>FILM-032; FILM-036; FILM-063</t>
        </is>
      </c>
      <c r="R48" s="5" t="inlineStr">
        <is>
          <t>Baadshah (1999)</t>
        </is>
      </c>
      <c r="S48" s="5" t="inlineStr">
        <is>
          <t>Surinder Sodhi, often credited as Surender or Surendra Sodhi, is an Indian film-score composer whose short Wikipedia article lists background scores for Deewana, Soldier, Raja Hindustani, Baadshah, Hera Pheri, 23rd March 1931: Shaheed and Special 26. For Shah Rukh Khan's films, the film articles credit him with the background scores of Abbas–Mustan's Baadshah (1999), Raj Kanwar's Har Dil Jo Pyar Karega (2000) and Samar Khan's Shaurya (2008). The Deewana credit comes only from his own article; the Deewana film article does not name a score composer.</t>
        </is>
      </c>
      <c r="T48" s="5" t="inlineStr">
        <is>
          <t>SOURCE-113; SOURCE-035</t>
        </is>
      </c>
      <c r="U48" s="5" t="inlineStr">
        <is>
          <t>Low</t>
        </is>
      </c>
    </row>
    <row r="49" ht="94" customHeight="1">
      <c r="A49" s="15" t="inlineStr">
        <is>
          <t>PERSON-048</t>
        </is>
      </c>
      <c r="B49" s="5" t="inlineStr">
        <is>
          <t>Abbas Tyrewala</t>
        </is>
      </c>
      <c r="C49" s="5" t="inlineStr">
        <is>
          <t>Writer (dialogue)</t>
        </is>
      </c>
      <c r="D49" s="17" t="n">
        <v>1974</v>
      </c>
      <c r="E49" s="20" t="n"/>
      <c r="F49" s="5" t="inlineStr">
        <is>
          <t>2001–present</t>
        </is>
      </c>
      <c r="G49" s="5" t="inlineStr">
        <is>
          <t>Hindi cinema</t>
        </is>
      </c>
      <c r="H49" s="5" t="inlineStr">
        <is>
          <t>A Mumbai-born screenwriter, lyricist and director who first worked as a lyricist and became known as a dialogue writer in the early 2000s.</t>
        </is>
      </c>
      <c r="I49" s="5" t="inlineStr">
        <is>
          <t>Dialogue for Aśoka (2001); directorial debut Jaane Tu... Ya Jaane Na (2008).</t>
        </is>
      </c>
      <c r="J49" s="5" t="inlineStr">
        <is>
          <t>With Khan: Aśoka (2001), Main Hoon Na (2004). Wider work: Maqbool, Munna Bhai M.B.B.S., Jaane Tu... Ya Jaane Na, Jhootha Hi Sahi; dialogue for Pathaan (2023).</t>
        </is>
      </c>
      <c r="K49" s="19" t="inlineStr">
        <is>
          <t>Sharp, colloquial dialogue for both prestige and mainstream films.</t>
        </is>
      </c>
      <c r="L49" s="19" t="n"/>
      <c r="M49" s="5" t="n"/>
      <c r="N49" s="19" t="inlineStr">
        <is>
          <t>A key dialogue writer of 2000s Hindi cinema.</t>
        </is>
      </c>
      <c r="O49" s="19" t="inlineStr">
        <is>
          <t>Two dialogue credits on Khan films: Santosh Sivan's historical epic Aśoka, a Dreamz Unlimited production, and Farah Khan's Main Hoon Na, a commercial success. He later wrote Pathaan's dialogue, which falls outside these two credited films.</t>
        </is>
      </c>
      <c r="P49" s="17" t="n">
        <v>2</v>
      </c>
      <c r="Q49" s="5" t="inlineStr">
        <is>
          <t>FILM-040; FILM-049</t>
        </is>
      </c>
      <c r="R49" s="5" t="inlineStr">
        <is>
          <t>Main Hoon Na (2004)</t>
        </is>
      </c>
      <c r="S49" s="5" t="inlineStr">
        <is>
          <t>Abbas Tyrewala began as a lyricist on Dil Pe Mat Le Yaar!! and Love Ke Liye Kuch Bhi Karega and moved into dialogue writing with Aśoka (2001), Santosh Sivan's film about the Mauryan emperor starring Shah Rukh Khan. He wrote for Maqbool and Munna Bhai M.B.B.S. in 2003 and for Farah Khan's Main Hoon Na (2004), a Red Chillies action comedy in which Khan plays an army officer posing as a college student. As director he made Jaane Tu... Ya Jaane Na (2008), a hit romantic comedy with an A. R. Rahman soundtrack, and Jhootha Hi Sahi (2010). His later work with Khan includes the dialogue for Pathaan (2023).</t>
        </is>
      </c>
      <c r="T49" s="5" t="inlineStr">
        <is>
          <t>SOURCE-195; SOURCE-043; SOURCE-052</t>
        </is>
      </c>
      <c r="U49" s="5" t="inlineStr">
        <is>
          <t>Medium</t>
        </is>
      </c>
    </row>
    <row r="50" ht="154" customHeight="1">
      <c r="A50" s="15" t="inlineStr">
        <is>
          <t>PERSON-049</t>
        </is>
      </c>
      <c r="B50" s="5" t="inlineStr">
        <is>
          <t>Abbas–Mustan</t>
        </is>
      </c>
      <c r="C50" s="5" t="inlineStr">
        <is>
          <t>Director duo</t>
        </is>
      </c>
      <c r="D50" s="20" t="n"/>
      <c r="E50" s="20" t="n"/>
      <c r="F50" s="5" t="inlineStr">
        <is>
          <t>1985–present</t>
        </is>
      </c>
      <c r="G50" s="5" t="inlineStr">
        <is>
          <t>Hindi; Gujarati</t>
        </is>
      </c>
      <c r="H50" s="5" t="inlineStr">
        <is>
          <t>Brothers Abbas and Mustan Burmawalla began as film editors with their brother Hussain and worked as assistant directors to Govindbhai Patel.</t>
        </is>
      </c>
      <c r="I50" s="5" t="inlineStr">
        <is>
          <t>The Gujarati film Sajan Tara Sambharana (1985); their first Hindi film was Agneekaal (1990).</t>
        </is>
      </c>
      <c r="J50" s="5" t="inlineStr">
        <is>
          <t>Sajan Tara Sambharana (1985); Agneekaal (1990); Baazigar (1993); Baadshah (1999)</t>
        </is>
      </c>
      <c r="K50" s="19" t="inlineStr">
        <is>
          <t>Suspense, action and romantic thrillers with dark themes.</t>
        </is>
      </c>
      <c r="L50" s="19" t="inlineStr">
        <is>
          <t>Stylish, twist-driven thrillers.</t>
        </is>
      </c>
      <c r="M50" s="5" t="inlineStr">
        <is>
          <t>Life Membership of the International Film and Television Club, Asian Academy of Film &amp; Television</t>
        </is>
      </c>
      <c r="N50" s="19" t="inlineStr">
        <is>
          <t>Their Baazigar broke with the Bollywood formula by making the hero a murderer, a turning point in Khan's early career.</t>
        </is>
      </c>
      <c r="O50" s="19" t="inlineStr">
        <is>
          <t>Directed Khan as the murderous avenger in Baazigar, which won him the Filmfare Award for Best Actor, and as the bumbling detective in the comedy thriller Baadshah.</t>
        </is>
      </c>
      <c r="P50" s="17" t="n">
        <v>2</v>
      </c>
      <c r="Q50" s="5" t="inlineStr">
        <is>
          <t>FILM-008; FILM-032</t>
        </is>
      </c>
      <c r="R50" s="5" t="inlineStr">
        <is>
          <t>Baazigar (1993)</t>
        </is>
      </c>
      <c r="S50" s="5" t="inlineStr">
        <is>
          <t>Abbas–Mustan are the brothers Abbas Alibhai Burmawalla and Mustan Alibhai Burmawalla. With their brother Hussain they began as film editors and then worked as assistant directors to Govindbhai Patel. When Patel turned down the chance to direct the Gujarati film Sajan Tara Sambharana (1985), the brothers took the job and launched their directing career. Their first Hindi film was Agneekaal (1990), and they have since directed more than fourteen Hindi films, becoming known for stylish suspense, action and romantic thrillers with dark themes. They later founded the production house Burmawalla Partners. Their second film with Shah Rukh Khan was the comedy thriller Baadshah (1999), in which he plays a bumbling detective mistaken for a secret agent. The first, Baazigar (1993), loosely based on A Kiss Before Dying, cast him as an avenger who kills his girlfriend; Khan's article describes it as an unexpected violation of the standard Bollywood formula. It was a major commercial success and won Khan the Filmfare Award for Best Actor.</t>
        </is>
      </c>
      <c r="T50" s="5" t="inlineStr">
        <is>
          <t>SOURCE-124; SOURCE-011</t>
        </is>
      </c>
      <c r="U50" s="5" t="inlineStr">
        <is>
          <t>Medium</t>
        </is>
      </c>
    </row>
    <row r="51" ht="64" customHeight="1">
      <c r="A51" s="15" t="inlineStr">
        <is>
          <t>PERSON-050</t>
        </is>
      </c>
      <c r="B51" s="5" t="inlineStr">
        <is>
          <t>Amar Mohile</t>
        </is>
      </c>
      <c r="C51" s="5" t="inlineStr">
        <is>
          <t>Background-score composer</t>
        </is>
      </c>
      <c r="D51" s="20" t="n"/>
      <c r="E51" s="20" t="n"/>
      <c r="F51" s="5" t="inlineStr">
        <is>
          <t>2002–present</t>
        </is>
      </c>
      <c r="G51" s="5" t="inlineStr">
        <is>
          <t>Hindi</t>
        </is>
      </c>
      <c r="H51" s="5" t="inlineStr">
        <is>
          <t>Son of the composer Anil Mohile.</t>
        </is>
      </c>
      <c r="I51" s="5" t="n"/>
      <c r="J51" s="5" t="inlineStr">
        <is>
          <t>Chennai Express (2013, score); Dilwale (2015, score)</t>
        </is>
      </c>
      <c r="K51" s="19" t="n"/>
      <c r="L51" s="19" t="n"/>
      <c r="M51" s="5" t="n"/>
      <c r="N51" s="19" t="n"/>
      <c r="O51" s="19" t="inlineStr">
        <is>
          <t>Wrote the background scores for Rohit Shetty's two Khan films, Chennai Express and Dilwale.</t>
        </is>
      </c>
      <c r="P51" s="17" t="n">
        <v>2</v>
      </c>
      <c r="Q51" s="5" t="inlineStr">
        <is>
          <t>FILM-079; FILM-082</t>
        </is>
      </c>
      <c r="R51" s="5" t="inlineStr">
        <is>
          <t>Chennai Express (2013)</t>
        </is>
      </c>
      <c r="S51" s="5" t="inlineStr">
        <is>
          <t>Amar Mohile is an Indian film-score composer working mainly in Hindi films and the son of the composer Anil Mohile. His Wikipedia article gives little biographical detail beyond a discography. In Shah Rukh Khan's films he is credited with the background scores of Rohit Shetty's action comedies Chennai Express (2013), whose songs were by Vishal–Shekhar, and Dilwale (2015), whose songs were by Pritam.</t>
        </is>
      </c>
      <c r="T51" s="5" t="inlineStr">
        <is>
          <t>SOURCE-177; SOURCE-082</t>
        </is>
      </c>
      <c r="U51" s="5" t="inlineStr">
        <is>
          <t>Low</t>
        </is>
      </c>
    </row>
    <row r="52" ht="124" customHeight="1">
      <c r="A52" s="15" t="inlineStr">
        <is>
          <t>PERSON-051</t>
        </is>
      </c>
      <c r="B52" s="5" t="inlineStr">
        <is>
          <t>Amit Trivedi</t>
        </is>
      </c>
      <c r="C52" s="5" t="inlineStr">
        <is>
          <t>Song composer; singer; lyricist</t>
        </is>
      </c>
      <c r="D52" s="17" t="n">
        <v>1979</v>
      </c>
      <c r="E52" s="20" t="n"/>
      <c r="F52" s="5" t="inlineStr">
        <is>
          <t>2001–present</t>
        </is>
      </c>
      <c r="G52" s="5" t="inlineStr">
        <is>
          <t>Hindi</t>
        </is>
      </c>
      <c r="H52" s="5" t="inlineStr">
        <is>
          <t>Composed for theatre, advertising jingles and independent music before films.</t>
        </is>
      </c>
      <c r="I52" s="5" t="inlineStr">
        <is>
          <t>Aamir (2008).</t>
        </is>
      </c>
      <c r="J52" s="5" t="inlineStr">
        <is>
          <t>Aamir (2008); Dev.D (2009); Bombay Talkies (2013); Udta Punjab (2016); Dear Zindagi (2016); Secret Superstar (2017); Manmarziyaan (2018)</t>
        </is>
      </c>
      <c r="K52" s="19" t="inlineStr">
        <is>
          <t>Indie-pop sensibility in film music.</t>
        </is>
      </c>
      <c r="L52" s="19" t="n"/>
      <c r="M52" s="5" t="inlineStr">
        <is>
          <t>National Film Award for Best Music Direction; Filmfare R. D. Burman Award and Best Background Score (55th Filmfare Awards)</t>
        </is>
      </c>
      <c r="N52" s="19" t="inlineStr">
        <is>
          <t>A leading independent-minded film composer since the late 2000s.</t>
        </is>
      </c>
      <c r="O52" s="19" t="inlineStr">
        <is>
          <t>Composed Bombay Talkies, whose closing song features Khan, and Dear Zindagi.</t>
        </is>
      </c>
      <c r="P52" s="17" t="n">
        <v>2</v>
      </c>
      <c r="Q52" s="5" t="inlineStr">
        <is>
          <t>FILM-078; FILM-085</t>
        </is>
      </c>
      <c r="R52" s="5" t="inlineStr">
        <is>
          <t>Dear Zindagi (2016)</t>
        </is>
      </c>
      <c r="S52" s="5" t="inlineStr">
        <is>
          <t>Amit Trivedi, born on 8 April 1979 in Mumbai, is a composer, singer and lyricist who began with theatre productions, advertising jingles and independent music before his film debut, Aamir (2008). He won the Filmfare R. D. Burman Award for New Music Talent and the Filmfare Award for Best Background Score at the 55th Filmfare Awards, along with a National Film Award for Best Music Direction, and later earned consecutive Filmfare nominations for Udta Punjab (2016), Secret Superstar (2017) and Manmarziyaan (2018). He composed the music for Bombay Talkies (2013), the centenary anthology whose song 'Apna Bombay Talkies' features Shah Rukh Khan among many stars, and for Gauri Shinde's Dear Zindagi (2016), with lyrics mostly by Kausar Munir, in which Khan plays a psychologist.</t>
        </is>
      </c>
      <c r="T52" s="5" t="inlineStr">
        <is>
          <t>SOURCE-176; SOURCE-088</t>
        </is>
      </c>
      <c r="U52" s="5" t="inlineStr">
        <is>
          <t>Medium</t>
        </is>
      </c>
    </row>
    <row r="53" ht="109" customHeight="1">
      <c r="A53" s="15" t="inlineStr">
        <is>
          <t>PERSON-052</t>
        </is>
      </c>
      <c r="B53" s="5" t="inlineStr">
        <is>
          <t>Anees Bazmee</t>
        </is>
      </c>
      <c r="C53" s="5" t="inlineStr">
        <is>
          <t>Writer</t>
        </is>
      </c>
      <c r="D53" s="17" t="n">
        <v>1962</v>
      </c>
      <c r="E53" s="20" t="n"/>
      <c r="F53" s="5" t="inlineStr">
        <is>
          <t>1982–present</t>
        </is>
      </c>
      <c r="G53" s="5" t="inlineStr">
        <is>
          <t>Hindi cinema</t>
        </is>
      </c>
      <c r="H53" s="5" t="inlineStr">
        <is>
          <t>A Hindi-film writer-director, son of the Urdu poet Abdul Hameed 'Nerang' Bazmee, who started as a child actor and assistant director before turning to screenplays.</t>
        </is>
      </c>
      <c r="I53" s="5" t="inlineStr">
        <is>
          <t>Assistant director on Prem Rog (1982); writer on Swarg (1990); directorial debut Hulchul (1995).</t>
        </is>
      </c>
      <c r="J53" s="5" t="inlineStr">
        <is>
          <t>With Khan: King Uncle (1993), Army (1996). Wider work as director: Pyaar To Hona Hi Tha, No Entry, Welcome, Singh Is Kinng, Ready, Bhool Bhulaiyaa 2 and 3.</t>
        </is>
      </c>
      <c r="K53" s="19" t="inlineStr">
        <is>
          <t>Broad ensemble comedies and family entertainers.</t>
        </is>
      </c>
      <c r="L53" s="19" t="n"/>
      <c r="M53" s="5" t="n"/>
      <c r="N53" s="19" t="inlineStr">
        <is>
          <t>One of the most commercially successful comedy directors of 2000s–2020s Hindi cinema.</t>
        </is>
      </c>
      <c r="O53" s="19" t="inlineStr">
        <is>
          <t>Two early writing credits: Rakesh Roshan's King Uncle, with Khan in a supporting role, and Army, in which Khan makes an extended special appearance. Both predate Bazmee's directing career.</t>
        </is>
      </c>
      <c r="P53" s="17" t="n">
        <v>2</v>
      </c>
      <c r="Q53" s="5" t="inlineStr">
        <is>
          <t>FILM-005; FILM-021</t>
        </is>
      </c>
      <c r="R53" s="5" t="inlineStr">
        <is>
          <t>King Uncle (1993)</t>
        </is>
      </c>
      <c r="S53" s="5" t="inlineStr">
        <is>
          <t>Anees Bazmee began as a child actor, assisted Raj Kapoor on Prem Rog (1982) and became a screenwriter with David Dhawan's Swarg (1990). In that period he wrote King Uncle (1993), Rakesh Roshan's family comedy with Shah Rukh Khan as the young man who wins over Jackie Shroff's miserly uncle, and Army (1996), in which Khan has an extended special appearance. Bazmee's directing career started with Hulchul (1995) and found commercial success with Pyaar To Hona Hi Tha (1998). He became one of the most reliably profitable comedy directors in Hindi film with No Entry, Welcome, Singh Is Kinng, Ready, Welcome Back and the Bhool Bhulaiyaa sequels. His Khan connection is limited to these early scripts.</t>
        </is>
      </c>
      <c r="T53" s="5" t="inlineStr">
        <is>
          <t>SOURCE-196; SOURCE-008; SOURCE-024</t>
        </is>
      </c>
      <c r="U53" s="5" t="inlineStr">
        <is>
          <t>Medium</t>
        </is>
      </c>
    </row>
    <row r="54" ht="109" customHeight="1">
      <c r="A54" s="15" t="inlineStr">
        <is>
          <t>PERSON-053</t>
        </is>
      </c>
      <c r="B54" s="5" t="inlineStr">
        <is>
          <t>Anwar Khan</t>
        </is>
      </c>
      <c r="C54" s="5" t="inlineStr">
        <is>
          <t>Writer</t>
        </is>
      </c>
      <c r="D54" s="20" t="n"/>
      <c r="E54" s="20" t="n"/>
      <c r="F54" s="5" t="n"/>
      <c r="G54" s="5" t="inlineStr">
        <is>
          <t>Hindi cinema</t>
        </is>
      </c>
      <c r="H54" s="5" t="inlineStr">
        <is>
          <t>A writer credited on 2 films in this filmography, with no Wikipedia article of their own.</t>
        </is>
      </c>
      <c r="I54" s="5" t="n"/>
      <c r="J54" s="5" t="inlineStr">
        <is>
          <t>With Khan: Karan Arjun (1995) and Achanak (1998).</t>
        </is>
      </c>
      <c r="K54" s="19" t="n"/>
      <c r="L54" s="19" t="n"/>
      <c r="M54" s="5" t="n"/>
      <c r="N54" s="19" t="n"/>
      <c r="O54" s="19" t="inlineStr">
        <is>
          <t>2 films with Khan, credited as writer: Karan Arjun (1995), directed by Rakesh Roshan, with Khan in a co-lead as Arjun Singh; verdict: All-time blockbuster. Achanak (1998), directed by Naresh Malhotra, with Khan in a self appearance; verdict: Box-office failure.</t>
        </is>
      </c>
      <c r="P54" s="17" t="n">
        <v>2</v>
      </c>
      <c r="Q54" s="5" t="inlineStr">
        <is>
          <t>FILM-012; FILM-029</t>
        </is>
      </c>
      <c r="R54" s="5" t="inlineStr">
        <is>
          <t>Karan Arjun (1995)</t>
        </is>
      </c>
      <c r="S54" s="5" t="inlineStr">
        <is>
          <t>Anwar Khan is credited as writer on Karan Arjun (1995) and Achanak (1998). No Wikipedia article or other independent biography was located; this row is built from the film credits alone.</t>
        </is>
      </c>
      <c r="T54" s="5" t="inlineStr">
        <is>
          <t>SOURCE-015; SOURCE-032</t>
        </is>
      </c>
      <c r="U54" s="5" t="inlineStr">
        <is>
          <t>Low</t>
        </is>
      </c>
    </row>
    <row r="55" ht="109" customHeight="1">
      <c r="A55" s="15" t="inlineStr">
        <is>
          <t>PERSON-054</t>
        </is>
      </c>
      <c r="B55" s="5" t="inlineStr">
        <is>
          <t>Apoorva Mehta</t>
        </is>
      </c>
      <c r="C55" s="5" t="inlineStr">
        <is>
          <t>Producer</t>
        </is>
      </c>
      <c r="D55" s="20" t="n"/>
      <c r="E55" s="20" t="n"/>
      <c r="F55" s="5" t="n"/>
      <c r="G55" s="5" t="inlineStr">
        <is>
          <t>Hindi cinema</t>
        </is>
      </c>
      <c r="H55" s="5" t="inlineStr">
        <is>
          <t>A producer credited on 2 films in this filmography, with no Wikipedia article of their own.</t>
        </is>
      </c>
      <c r="I55" s="5" t="n"/>
      <c r="J55" s="5" t="inlineStr">
        <is>
          <t>With Khan: Ae Dil Hai Mushkil (2016) and Brahmāstra: Part One – Shiva (2022).</t>
        </is>
      </c>
      <c r="K55" s="19" t="n"/>
      <c r="L55" s="19" t="n"/>
      <c r="M55" s="5" t="n"/>
      <c r="N55" s="19" t="n"/>
      <c r="O55" s="19" t="inlineStr">
        <is>
          <t>2 films with Khan, credited as producer: Ae Dil Hai Mushkil (2016), directed by Karan Johar, with Khan in a cameo as Tahir Taliyar Khan. Brahmāstra: Part One – Shiva (2022), directed by Ayan Mukerji, with Khan in an extended special appearance as Mohan Bhargav; verdict: Hit (Box Office India).</t>
        </is>
      </c>
      <c r="P55" s="17" t="n">
        <v>2</v>
      </c>
      <c r="Q55" s="5" t="inlineStr">
        <is>
          <t>FILM-084; FILM-093</t>
        </is>
      </c>
      <c r="R55" s="5" t="inlineStr">
        <is>
          <t>Brahmāstra: Part One – Shiva (2022)</t>
        </is>
      </c>
      <c r="S55" s="5" t="inlineStr">
        <is>
          <t>Apoorva Mehta is credited as producer on Ae Dil Hai Mushkil (2016) and Brahmāstra: Part One – Shiva (2022). No Wikipedia article or other independent biography was located; this row is built from the film credits alone.</t>
        </is>
      </c>
      <c r="T55" s="5" t="inlineStr">
        <is>
          <t>SOURCE-087; SOURCE-096</t>
        </is>
      </c>
      <c r="U55" s="5" t="inlineStr">
        <is>
          <t>Low</t>
        </is>
      </c>
    </row>
    <row r="56" ht="169" customHeight="1">
      <c r="A56" s="15" t="inlineStr">
        <is>
          <t>PERSON-055</t>
        </is>
      </c>
      <c r="B56" s="5" t="inlineStr">
        <is>
          <t>Ashutosh Gowariker</t>
        </is>
      </c>
      <c r="C56" s="5" t="inlineStr">
        <is>
          <t>Director; producer; screenwriter; actor</t>
        </is>
      </c>
      <c r="D56" s="17" t="n">
        <v>1964</v>
      </c>
      <c r="E56" s="20" t="n"/>
      <c r="F56" s="5" t="inlineStr">
        <is>
          <t>1984–present</t>
        </is>
      </c>
      <c r="G56" s="5" t="inlineStr">
        <is>
          <t>Hindi</t>
        </is>
      </c>
      <c r="H56" s="5" t="inlineStr">
        <is>
          <t>An actor before turning director; he appeared with Khan in Aziz Mirza's television serial Circus and in the films Chamatkar and Kabhi Haan Kabhi Naa.</t>
        </is>
      </c>
      <c r="I56" s="5" t="inlineStr">
        <is>
          <t>Directorial debut Pehla Nasha (1993), a thriller remake of Body Double.</t>
        </is>
      </c>
      <c r="J56" s="5" t="inlineStr">
        <is>
          <t>Pehla Nasha (1993); Lagaan (2001); Swades (2004); Jodhaa Akbar (2008); Ventilator (2016, as actor)</t>
        </is>
      </c>
      <c r="K56" s="19" t="inlineStr">
        <is>
          <t>Epic storytelling about community, nationhood and history.</t>
        </is>
      </c>
      <c r="L56" s="19" t="inlineStr">
        <is>
          <t>Long-form, socially engaged drama, from sport to rural development to period romance.</t>
        </is>
      </c>
      <c r="M56" s="5" t="inlineStr">
        <is>
          <t>Filmfare Awards for Best Film and Best Director for Lagaan and Jodhaa Akbar; Lagaan was nominated for the Academy Award for Best International Feature Film.</t>
        </is>
      </c>
      <c r="N56" s="19" t="inlineStr">
        <is>
          <t>Lagaan's Academy Award nomination made him a voting member of the Academy; Swades is regarded as a cult classic.</t>
        </is>
      </c>
      <c r="O56" s="19" t="inlineStr">
        <is>
          <t>A fellow actor from Khan's television days who later directed him in a cameo in Pehla Nasha and in Swades, one of Khan's most acclaimed performances.</t>
        </is>
      </c>
      <c r="P56" s="17" t="n">
        <v>2</v>
      </c>
      <c r="Q56" s="5" t="inlineStr">
        <is>
          <t>FILM-007; FILM-051</t>
        </is>
      </c>
      <c r="R56" s="5" t="inlineStr">
        <is>
          <t>Swades (2004)</t>
        </is>
      </c>
      <c r="S56" s="5" t="inlineStr">
        <is>
          <t>Ashutosh Gowariker, born on 15 February 1964, began as an actor. He appeared alongside Shah Rukh Khan in Aziz Mirza's television serial Circus and played supporting parts in Khan's films Chamatkar (1992) and Kabhi Haan Kabhi Naa (1994). He made his directorial debut with Pehla Nasha (1993), a remake of Brian De Palma's Body Double, in which Khan, Aamir Khan and Saif Ali Khan appear as themselves in one scene; the film failed. His breakthrough came with the period sports drama Lagaan (2001), which was nominated for the Academy Award for Best International Feature Film and won him the Filmfare Awards for Best Film and Best Director, honours he won again for the historical romance Jodhaa Akbar (2008). Between them came Swades (2004), which he wrote, produced and directed. Khan plays a NASA scientist who returns to an Indian village and builds a micro-hydroelectric plant. The film was a commercial failure but won universal critical acclaim and is now regarded as a cult classic. It earned Khan the Filmfare Award for Best Actor, and Brahmāstra later brought back its hero, Mohan Bhargav. Gowariker returned to acting in Ventilator (2016).</t>
        </is>
      </c>
      <c r="T56" s="5" t="inlineStr">
        <is>
          <t>SOURCE-123; SOURCE-054</t>
        </is>
      </c>
      <c r="U56" s="5" t="inlineStr">
        <is>
          <t>Medium</t>
        </is>
      </c>
    </row>
    <row r="57" ht="169" customHeight="1">
      <c r="A57" s="15" t="inlineStr">
        <is>
          <t>PERSON-056</t>
        </is>
      </c>
      <c r="B57" s="5" t="inlineStr">
        <is>
          <t>B. R. Films</t>
        </is>
      </c>
      <c r="C57" s="5" t="inlineStr">
        <is>
          <t>Production company founded by B. R. Chopra</t>
        </is>
      </c>
      <c r="D57" s="20" t="n"/>
      <c r="E57" s="20" t="n"/>
      <c r="F57" s="5" t="inlineStr">
        <is>
          <t>1955–present</t>
        </is>
      </c>
      <c r="G57" s="5" t="inlineStr">
        <is>
          <t>Hindi</t>
        </is>
      </c>
      <c r="H57" s="5" t="inlineStr">
        <is>
          <t>Founded in 1955 by the director B. R. Chopra, a former Lahore film journalist whose youngest brother was Yash Chopra.</t>
        </is>
      </c>
      <c r="I57" s="5" t="n"/>
      <c r="J57" s="5" t="inlineStr">
        <is>
          <t>Bhoothnath (2008); Bhoothnath Returns (2014, with T-Series Films)</t>
        </is>
      </c>
      <c r="K57" s="19" t="n"/>
      <c r="L57" s="19" t="n"/>
      <c r="M57" s="5" t="n"/>
      <c r="N57" s="19" t="inlineStr">
        <is>
          <t>One of the older Bombay production houses, established after Chopra's success with Afsana (1951).</t>
        </is>
      </c>
      <c r="O57" s="19" t="inlineStr">
        <is>
          <t>Produced Bhoothnath, with Khan in an extended special appearance as the father of the boy who befriends a ghost, and co-produced its sequel, in which Khan reprises the role in a cameo.</t>
        </is>
      </c>
      <c r="P57" s="17" t="n">
        <v>2</v>
      </c>
      <c r="Q57" s="5" t="inlineStr">
        <is>
          <t>FILM-065; FILM-080</t>
        </is>
      </c>
      <c r="R57" s="5" t="inlineStr">
        <is>
          <t>Bhoothnath (2008)</t>
        </is>
      </c>
      <c r="S57" s="5" t="inlineStr">
        <is>
          <t>B. R. Films was formed in 1955 by B. R. Chopra. Born on 22 April 1914 in Rahon, Punjab, and educated at the University of the Punjab in Lahore, Chopra worked as a film journalist with the monthly Cine Herald from 1944 until Partition, when he fled Lahore. His first production, Karwat (1948), flopped, but his directorial debut Afsana (1951), with Ashok Kumar in a double role, was a hit, and he followed it with Chandni Chowk (1954) before founding his own company. His youngest brother was the filmmaker Yash Chopra. For Shah Rukh Khan, B. R. Films, with Ravi Chopra credited as producer, made Vivek Sharma's Bhoothnath (2008), an adaptation of The Canterville Ghost in which Khan plays Aditya Sharma, the father of the boy who befriends a ghost played by Amitabh Bachchan. It was declared a semi-hit. The company co-produced the sequel, Bhoothnath Returns (2014), with T-Series Films, with Renu Ravi Chopra among the producers, and Khan reprised Aditya in a cameo. The Wikipedia page for the company could not be retrieved, so this entry relies on the article about its founder.</t>
        </is>
      </c>
      <c r="T57" s="5" t="inlineStr">
        <is>
          <t>SOURCE-172; SOURCE-068</t>
        </is>
      </c>
      <c r="U57" s="5" t="inlineStr">
        <is>
          <t>Low</t>
        </is>
      </c>
    </row>
    <row r="58" ht="109" customHeight="1">
      <c r="A58" s="15" t="inlineStr">
        <is>
          <t>PERSON-057</t>
        </is>
      </c>
      <c r="B58" s="5" t="inlineStr">
        <is>
          <t>Bappi Lahiri</t>
        </is>
      </c>
      <c r="C58" s="5" t="inlineStr">
        <is>
          <t>Song composer; singer</t>
        </is>
      </c>
      <c r="D58" s="17" t="n">
        <v>1952</v>
      </c>
      <c r="E58" s="17" t="n">
        <v>2022</v>
      </c>
      <c r="F58" s="5" t="inlineStr">
        <is>
          <t>1972–2022</t>
        </is>
      </c>
      <c r="G58" s="5" t="inlineStr">
        <is>
          <t>Hindi; Telugu; Bengali</t>
        </is>
      </c>
      <c r="H58" s="5" t="inlineStr">
        <is>
          <t>Born Alokesh Aparesh Lahiri; composer and singer who popularised synthesised disco music in Indian film music.</t>
        </is>
      </c>
      <c r="I58" s="5" t="n"/>
      <c r="J58" s="5" t="inlineStr">
        <is>
          <t>1980s–1990s disco-driven film soundtracks; Gudgudee (1997); Hum Tumhare Hain Sanam (2002); World Peace, Love &amp; Harmony (album)</t>
        </is>
      </c>
      <c r="K58" s="19" t="inlineStr">
        <is>
          <t>Disco and synthesised dance music.</t>
        </is>
      </c>
      <c r="L58" s="19" t="n"/>
      <c r="M58" s="5" t="inlineStr">
        <is>
          <t>Filmfare Lifetime Achievement Award (63rd Filmfare Awards); Guinness World Record for recording more than 180 songs in one year (1986)</t>
        </is>
      </c>
      <c r="N58" s="19" t="inlineStr">
        <is>
          <t>Brought disco into mainstream Indian film music.</t>
        </is>
      </c>
      <c r="O58" s="19" t="inlineStr">
        <is>
          <t>Composed Gudgudee, in which Khan appears as himself, and contributed to Hum Tumhare Hain Sanam.</t>
        </is>
      </c>
      <c r="P58" s="17" t="n">
        <v>2</v>
      </c>
      <c r="Q58" s="5" t="inlineStr">
        <is>
          <t>FILM-023; FILM-042</t>
        </is>
      </c>
      <c r="R58" s="5" t="inlineStr">
        <is>
          <t>Hum Tumhare Hain Sanam (2002)</t>
        </is>
      </c>
      <c r="S58" s="5" t="inlineStr">
        <is>
          <t>Bappi Lahiri, born Alokesh Aparesh Lahiri (27 November 1952 – 15 February 2022) and known as Bappi Da, was a singer, composer and record producer who popularised synthesised disco in Indian film music. He was especially popular in the 1980s and 1990s, with major box-office successes in Hindi, Telugu and Bengali films, and in 1986 Guinness World Records recognised him for recording more than 180 songs in a year. His album World Peace, Love &amp; Harmony was considered for a Grammy nomination, and he received the Filmfare Lifetime Achievement Award at the 63rd Filmfare Awards. He composed the music for Basu Chatterjee's comedy Gudgudee (1997), in which Shah Rukh Khan appears as himself, and was among the composers of Hum Tumhare Hain Sanam (2002).</t>
        </is>
      </c>
      <c r="T58" s="5" t="inlineStr">
        <is>
          <t>SOURCE-137; SOURCE-026</t>
        </is>
      </c>
      <c r="U58" s="5" t="inlineStr">
        <is>
          <t>Medium</t>
        </is>
      </c>
    </row>
    <row r="59" ht="124" customHeight="1">
      <c r="A59" s="15" t="inlineStr">
        <is>
          <t>PERSON-058</t>
        </is>
      </c>
      <c r="B59" s="5" t="inlineStr">
        <is>
          <t>Bharat Shah</t>
        </is>
      </c>
      <c r="C59" s="5" t="inlineStr">
        <is>
          <t>Producer; film financier and distributor (VIP Films)</t>
        </is>
      </c>
      <c r="D59" s="17" t="n">
        <v>1944</v>
      </c>
      <c r="E59" s="20" t="n"/>
      <c r="F59" s="5" t="inlineStr">
        <is>
          <t>1970–present</t>
        </is>
      </c>
      <c r="G59" s="5" t="inlineStr">
        <is>
          <t>Hindi</t>
        </is>
      </c>
      <c r="H59" s="5" t="inlineStr">
        <is>
          <t>Businessman and diamond merchant who works in Hindi films as a financier and distributor under the VIP Films banner.</t>
        </is>
      </c>
      <c r="I59" s="5" t="n"/>
      <c r="J59" s="5" t="inlineStr">
        <is>
          <t>Dil Se.. (1998); Devdas (2002); Rascals (2011)</t>
        </is>
      </c>
      <c r="K59" s="19" t="n"/>
      <c r="L59" s="19" t="n"/>
      <c r="M59" s="5" t="n"/>
      <c r="N59" s="19" t="inlineStr">
        <is>
          <t>A major financier whose productions include Devdas, the highest-grossing Indian film of 2002.</t>
        </is>
      </c>
      <c r="O59" s="19" t="inlineStr">
        <is>
          <t>Co-produced Dil Se.. and produced Devdas, two of Khan's most ambitious tragic romances.</t>
        </is>
      </c>
      <c r="P59" s="17" t="n">
        <v>2</v>
      </c>
      <c r="Q59" s="5" t="inlineStr">
        <is>
          <t>FILM-030; FILM-043</t>
        </is>
      </c>
      <c r="R59" s="5" t="inlineStr">
        <is>
          <t>Devdas (2002)</t>
        </is>
      </c>
      <c r="S59" s="5" t="inlineStr">
        <is>
          <t>Bharat Shah, born on 5 August 1944, is an Indian businessman, diamond merchant, film financier and distributor who works primarily in Hindi cinema under his banner VIP Films. He was one of the producers of Mani Ratnam's Dil Se.. (1998), with Ratnam, Ram Gopal Varma and Shekhar Kapur, in which Shah Rukh Khan plays a journalist in love with a suicide bomber. He produced Sanjay Leela Bhansali's Devdas (2002) under the Mega Bollywood banner, casting Khan as the self-destructive lover opposite Aishwarya Rai and Madhuri Dixit; it became the highest-grossing Indian film of the year and India's Academy Award submission. His later productions include Rascals (2011). His Wikipedia article also includes a section on legal affairs, which this workbook does not cover.</t>
        </is>
      </c>
      <c r="T59" s="5" t="inlineStr">
        <is>
          <t>SOURCE-143; SOURCE-046</t>
        </is>
      </c>
      <c r="U59" s="5" t="inlineStr">
        <is>
          <t>Medium</t>
        </is>
      </c>
    </row>
    <row r="60" ht="154" customHeight="1">
      <c r="A60" s="15" t="inlineStr">
        <is>
          <t>PERSON-059</t>
        </is>
      </c>
      <c r="B60" s="5" t="inlineStr">
        <is>
          <t>Fox Star Studios</t>
        </is>
      </c>
      <c r="C60" s="5" t="inlineStr">
        <is>
          <t>Production and distribution studio (now Star Studio18)</t>
        </is>
      </c>
      <c r="D60" s="20" t="n"/>
      <c r="E60" s="20" t="n"/>
      <c r="F60" s="5" t="inlineStr">
        <is>
          <t>2008–present</t>
        </is>
      </c>
      <c r="G60" s="5" t="inlineStr">
        <is>
          <t>Hindi; multilingual</t>
        </is>
      </c>
      <c r="H60" s="5" t="inlineStr">
        <is>
          <t>Founded in March 2008 as one of 21st Century Fox and Star India's film companies; acquired by Disney in 2019; now a subsidiary of JioStar, renamed Star Studio18 in August 2025.</t>
        </is>
      </c>
      <c r="I60" s="5" t="n"/>
      <c r="J60" s="5" t="inlineStr">
        <is>
          <t>My Name Is Khan (2010); Neerja (2016); Chhichhore (2019); The Zoya Factor (2019)</t>
        </is>
      </c>
      <c r="K60" s="19" t="n"/>
      <c r="L60" s="19" t="n"/>
      <c r="M60" s="5" t="inlineStr">
        <is>
          <t>National Film Awards for Best Hindi Feature Film for Neerja and Chhichhore</t>
        </is>
      </c>
      <c r="N60" s="19" t="inlineStr">
        <is>
          <t>A major studio producing and distributing films in Hindi and other South Asian languages.</t>
        </is>
      </c>
      <c r="O60" s="19" t="inlineStr">
        <is>
          <t>Co-produced and distributed My Name Is Khan and produced The Zoya Factor, which Khan narrates.</t>
        </is>
      </c>
      <c r="P60" s="17" t="n">
        <v>2</v>
      </c>
      <c r="Q60" s="5" t="inlineStr">
        <is>
          <t>FILM-071; FILM-090</t>
        </is>
      </c>
      <c r="R60" s="5" t="inlineStr">
        <is>
          <t>My Name Is Khan (2010)</t>
        </is>
      </c>
      <c r="S60" s="5" t="inlineStr">
        <is>
          <t>Star Studio18, formerly Fox Star Studios and then Star Studios, is an Indian motion-picture production and distribution company founded in March 2008 and now wholly owned by JioStar, the joint venture between Reliance and Disney India. It produces Hindi, Tamil, Telugu, Malayalam and other South Asian language films through acquisitions, co-productions and in-house productions. It passed to Disney in March 2019 with 21st Century Fox's film businesses, and adopted its current name in August 2025. Its in-house productions Neerja and Chhichhore won National Film Awards for Best Hindi Feature Film. For Shah Rukh Khan, Fox Star Studios, with Fox Searchlight Pictures, Dharma Productions and Red Chillies Entertainment, backed Karan Johar's My Name Is Khan (2010), which 20th Century Fox released worldwide and which set overseas records for a Hindi film. The studio also produced the sports romance The Zoya Factor (2019), which Khan narrates and which was a box-office disaster.</t>
        </is>
      </c>
      <c r="T60" s="5" t="inlineStr">
        <is>
          <t>SOURCE-175; SOURCE-074</t>
        </is>
      </c>
      <c r="U60" s="5" t="inlineStr">
        <is>
          <t>Medium</t>
        </is>
      </c>
    </row>
    <row r="61" ht="139" customHeight="1">
      <c r="A61" s="15" t="inlineStr">
        <is>
          <t>PERSON-060</t>
        </is>
      </c>
      <c r="B61" s="5" t="inlineStr">
        <is>
          <t>G. P. Sippy</t>
        </is>
      </c>
      <c r="C61" s="5" t="inlineStr">
        <is>
          <t>Producer; director (Sippy Films)</t>
        </is>
      </c>
      <c r="D61" s="17" t="n">
        <v>1914</v>
      </c>
      <c r="E61" s="17" t="n">
        <v>2007</v>
      </c>
      <c r="F61" s="5" t="n"/>
      <c r="G61" s="5" t="inlineStr">
        <is>
          <t>Hindi</t>
        </is>
      </c>
      <c r="H61" s="5" t="inlineStr">
        <is>
          <t>Born Gopaldas Parmanand Sipahimalani into a wealthy Sindhi trading family; a lawyer who, with his family, fled Sindh as a refugee at Partition and settled in Bombay.</t>
        </is>
      </c>
      <c r="I61" s="5" t="n"/>
      <c r="J61" s="5" t="inlineStr">
        <is>
          <t>Raju Ban Gaya Gentleman (1992); Zamaana Deewana (1995)</t>
        </is>
      </c>
      <c r="K61" s="19" t="n"/>
      <c r="L61" s="19" t="n"/>
      <c r="M61" s="5" t="inlineStr">
        <is>
          <t>Filmfare Awards in 1968 and 1982</t>
        </is>
      </c>
      <c r="N61" s="19" t="inlineStr">
        <is>
          <t>Founder of the Sippy film family and for several years chairman of the Film and TV Producers Guild of India; his grandson is Rohan Sippy.</t>
        </is>
      </c>
      <c r="O61" s="19" t="inlineStr">
        <is>
          <t>Produced Aziz Mirza's Raju Ban Gaya Gentleman, one of Khan's first lead roles, and Ramesh Sippy's Zamaana Deewana.</t>
        </is>
      </c>
      <c r="P61" s="17" t="n">
        <v>2</v>
      </c>
      <c r="Q61" s="5" t="inlineStr">
        <is>
          <t>FILM-003; FILM-013</t>
        </is>
      </c>
      <c r="R61" s="5" t="inlineStr">
        <is>
          <t>Raju Ban Gaya Gentleman (1992)</t>
        </is>
      </c>
      <c r="S61" s="5" t="inlineStr">
        <is>
          <t>G. P. Sippy, born Gopaldas Parmanand Sipahimalani (14 September 1914 – 25 December 2007), was a Bollywood producer and director. He came from a wealthy Sindhi Hindu trading family whose European business contacts shortened the name Sipahimalani to 'Sippy'. A lawyer by training, he was driven from Karachi with his wife Mohini, their children and other relatives as refugees at Partition in 1947, and rebuilt the family's fortunes in Bombay, where they already had trading interests. He chaired the Film and TV Producers Guild of India for several years and won Filmfare Awards in 1968 and 1982. Under Sippy Films he produced two early Shah Rukh Khan films. Aziz Mirza's Raju Ban Gaya Gentleman (1992), co-produced by Vivek Vaswani, starred Khan as a small-town engineer in Bombay and won the Filmfare Award for Best Screenplay. Zamaana Deewana (1995), directed by Ramesh Sippy, cast Khan as a gang leader's son and under-performed at the box office.</t>
        </is>
      </c>
      <c r="T61" s="5" t="inlineStr">
        <is>
          <t>SOURCE-117; SOURCE-006</t>
        </is>
      </c>
      <c r="U61" s="5" t="inlineStr">
        <is>
          <t>Medium</t>
        </is>
      </c>
    </row>
    <row r="62" ht="109" customHeight="1">
      <c r="A62" s="15" t="inlineStr">
        <is>
          <t>PERSON-061</t>
        </is>
      </c>
      <c r="B62" s="5" t="inlineStr">
        <is>
          <t>Himesh Reshammiya</t>
        </is>
      </c>
      <c r="C62" s="5" t="inlineStr">
        <is>
          <t>Song composer; playback singer; actor</t>
        </is>
      </c>
      <c r="D62" s="17" t="n">
        <v>1973</v>
      </c>
      <c r="E62" s="20" t="n"/>
      <c r="F62" s="5" t="inlineStr">
        <is>
          <t>1998–present</t>
        </is>
      </c>
      <c r="G62" s="5" t="inlineStr">
        <is>
          <t>Hindi</t>
        </is>
      </c>
      <c r="H62" s="5" t="n"/>
      <c r="I62" s="5" t="inlineStr">
        <is>
          <t>Composer debut Pyaar Kiya To Darna Kya (1998); acting debut Aap Kaa Surroor (2007).</t>
        </is>
      </c>
      <c r="J62" s="5" t="inlineStr">
        <is>
          <t>Pyaar Kiya To Darna Kya (1998); Kuchh Meetha Ho Jaye (2005); Silsiilay (2005); 'Aashiq Banaya Aapne'; Aap Kaa Surroor (2007)</t>
        </is>
      </c>
      <c r="K62" s="19" t="inlineStr">
        <is>
          <t>Dance-pop, disco, Sufi-inflected Bollywood songs.</t>
        </is>
      </c>
      <c r="L62" s="19" t="n"/>
      <c r="M62" s="5" t="inlineStr">
        <is>
          <t>Filmfare Award for Best Male Playback Singer (2006, 'Aashiq Banaya Aapne'); IIFA and Zee Cine playback awards</t>
        </is>
      </c>
      <c r="N62" s="19" t="inlineStr">
        <is>
          <t>Over 1,300 credited songs; ranked 22nd in Bloomberg's list of the world's most influential pop stars in 2025, the only Indian on it.</t>
        </is>
      </c>
      <c r="O62" s="19" t="inlineStr">
        <is>
          <t>Composed the songs for Kuchh Meetha Ho Jaye and Silsiilay, both 2005 films in which Khan makes brief appearances.</t>
        </is>
      </c>
      <c r="P62" s="17" t="n">
        <v>2</v>
      </c>
      <c r="Q62" s="5" t="inlineStr">
        <is>
          <t>FILM-052; FILM-054</t>
        </is>
      </c>
      <c r="R62" s="5" t="inlineStr">
        <is>
          <t>Silsiilay (2005)</t>
        </is>
      </c>
      <c r="S62" s="5" t="inlineStr">
        <is>
          <t>Himesh Reshammiya, born on 23 July 1973, is a playback singer, music director, songwriter, producer and actor with over 1,300 credited songs. He began as a composer with Pyaar Kiya To Darna Kya (1998) and later turned to singing; 'Aashiq Banaya Aapne' won him the Filmfare, IIFA and Zee Cine awards for best male playback singer. He made his acting debut in Aap Kaa Surroor (2007). In August 2025 Bloomberg ranked him 22nd among the world's most influential pop stars, the only Indian on the list. In 2005 he composed the songs for two films with brief Shah Rukh Khan appearances: Samar Khan's romantic comedy Kuchh Meetha Ho Jaye, where Khan appears as himself, and Khalid Mohamed's Silsiilay, which Khan narrates.</t>
        </is>
      </c>
      <c r="T62" s="5" t="inlineStr">
        <is>
          <t>SOURCE-164; SOURCE-055</t>
        </is>
      </c>
      <c r="U62" s="5" t="inlineStr">
        <is>
          <t>Medium</t>
        </is>
      </c>
    </row>
    <row r="63" ht="109" customHeight="1">
      <c r="A63" s="15" t="inlineStr">
        <is>
          <t>PERSON-062</t>
        </is>
      </c>
      <c r="B63" s="5" t="inlineStr">
        <is>
          <t>Ismail Darbar</t>
        </is>
      </c>
      <c r="C63" s="5" t="inlineStr">
        <is>
          <t>Song composer; violinist</t>
        </is>
      </c>
      <c r="D63" s="17" t="n">
        <v>1964</v>
      </c>
      <c r="E63" s="20" t="n"/>
      <c r="F63" s="5" t="n"/>
      <c r="G63" s="5" t="inlineStr">
        <is>
          <t>Hindi</t>
        </is>
      </c>
      <c r="H63" s="5" t="inlineStr">
        <is>
          <t>Film-score composer, instrumentalist, singer, violinist and music director.</t>
        </is>
      </c>
      <c r="I63" s="5" t="n"/>
      <c r="J63" s="5" t="inlineStr">
        <is>
          <t>Hum Dil De Chuke Sanam (1999); Devdas (2002); Shakti: The Power (2002)</t>
        </is>
      </c>
      <c r="K63" s="19" t="inlineStr">
        <is>
          <t>Indian classical music in large-scale film soundtracks.</t>
        </is>
      </c>
      <c r="L63" s="19" t="n"/>
      <c r="M63" s="5" t="inlineStr">
        <is>
          <t>National Film Award for Best Music Direction (Hum Dil De Chuke Sanam); R. D. Burman Award (1999)</t>
        </is>
      </c>
      <c r="N63" s="19" t="inlineStr">
        <is>
          <t>Composer of Sanjay Leela Bhansali's two landmark musicals of 1999–2002.</t>
        </is>
      </c>
      <c r="O63" s="19" t="inlineStr">
        <is>
          <t>Composed the songs for Devdas, with Birju Maharaj, and for Shakti: The Power.</t>
        </is>
      </c>
      <c r="P63" s="17" t="n">
        <v>2</v>
      </c>
      <c r="Q63" s="5" t="inlineStr">
        <is>
          <t>FILM-043; FILM-044</t>
        </is>
      </c>
      <c r="R63" s="5" t="inlineStr">
        <is>
          <t>Devdas (2002)</t>
        </is>
      </c>
      <c r="S63" s="5" t="inlineStr">
        <is>
          <t>Ismail Darbar is an Indian film composer, instrumentalist, singer and violinist, born in 1964, whose work draws heavily on Indian classical music. He won the R. D. Burman Award in 1999 and the National Film Award for Best Music Direction for Sanjay Leela Bhansali's Hum Dil De Chuke Sanam (1999). He reunited with Bhansali for Devdas (2002), composing the songs with the Kathak master Birju Maharaj while Monty Sharma wrote the background score. Its songs, including 'Dola Re Dola', won Filmfare Awards for their singers and choreographer. The same year he composed Krishna Vamsi's Shakti: The Power, in which Shah Rukh Khan plays a supporting role, with Anu Malik adding a guest composition.</t>
        </is>
      </c>
      <c r="T63" s="5" t="inlineStr">
        <is>
          <t>SOURCE-156; SOURCE-046</t>
        </is>
      </c>
      <c r="U63" s="5" t="inlineStr">
        <is>
          <t>Medium</t>
        </is>
      </c>
    </row>
    <row r="64" ht="169" customHeight="1">
      <c r="A64" s="15" t="inlineStr">
        <is>
          <t>PERSON-063</t>
        </is>
      </c>
      <c r="B64" s="5" t="inlineStr">
        <is>
          <t>Javed Akhtar</t>
        </is>
      </c>
      <c r="C64" s="5" t="inlineStr">
        <is>
          <t>Lyricist; screenwriter; poet</t>
        </is>
      </c>
      <c r="D64" s="17" t="n">
        <v>1945</v>
      </c>
      <c r="E64" s="20" t="n"/>
      <c r="F64" s="5" t="n"/>
      <c r="G64" s="5" t="inlineStr">
        <is>
          <t>Hindi</t>
        </is>
      </c>
      <c r="H64" s="5" t="inlineStr">
        <is>
          <t>Rose to prominence as half of the screenwriting duo Salim–Javed with Salim Khan, then became a lyricist after the duo split in the early 1980s; father of Farhan and Zoya Akhtar.</t>
        </is>
      </c>
      <c r="I64" s="5" t="inlineStr">
        <is>
          <t>Breakthrough as Salim–Javed with Zanjeer (1973).</t>
        </is>
      </c>
      <c r="J64" s="5" t="inlineStr">
        <is>
          <t>Zanjeer (1973); Deewaar (1975); Sholay (1975); Don (1978; 2006 remake); lyrics for Yes Boss, Duplicate, Kal Ho Naa Ho, Veer-Zaara, Swades and Don 2</t>
        </is>
      </c>
      <c r="K64" s="19" t="inlineStr">
        <is>
          <t>The 'angry young man' archetype as a screenwriter; poetic, socially conscious lyrics.</t>
        </is>
      </c>
      <c r="L64" s="19" t="n"/>
      <c r="M64" s="5" t="inlineStr">
        <is>
          <t>5 National Film Awards; 16 Filmfare Awards, including Best Lyricist for Kal Ho Naa Ho and Veer-Zaara; Padma Shri (1999); Padma Bhushan (2007)</t>
        </is>
      </c>
      <c r="N64" s="19" t="inlineStr">
        <is>
          <t>Widely regarded as one of the greatest screenwriters and lyricists in Indian cinema; nominated member of the Rajya Sabha (2010–2016) and a public advocate of secularism and free expression.</t>
        </is>
      </c>
      <c r="O64" s="19" t="inlineStr">
        <is>
          <t>Co-wrote Don and Luck by Chance and wrote lyrics for many Khan films from Yes Boss to Dunki, winning Filmfare Awards for Kal Ho Naa Ho and Veer-Zaara.</t>
        </is>
      </c>
      <c r="P64" s="17" t="n">
        <v>2</v>
      </c>
      <c r="Q64" s="5" t="inlineStr">
        <is>
          <t>FILM-058; FILM-068</t>
        </is>
      </c>
      <c r="R64" s="5" t="inlineStr">
        <is>
          <t>Veer-Zaara (2004)</t>
        </is>
      </c>
      <c r="S64" s="5" t="inlineStr">
        <is>
          <t>Javed Akhtar, born on 17 January 1945, is a screenwriter, lyricist, poet and political activist widely regarded as one of the greatest writers in Indian cinema. With Salim Khan he formed the duo Salim–Javed, whose breakthrough Zanjeer (1973) was followed by Deewaar and Sholay (1975), defining the 'angry young man'. After the partnership ended in the early 1980s he became an acclaimed lyricist. He has won five National Film Awards and sixteen Filmfare Awards, received the Padma Shri (1999) and Padma Bhushan (2007), and sat in the Rajya Sabha from 2010 to 2016. His work with Shah Rukh Khan spans both his crafts. His lyrics for Yes Boss (1997) and Duplicate (1998) earned Filmfare nominations. He wrote the lyrics of Chalte Chalte, Kal Ho Naa Ho and Veer-Zaara, winning the Filmfare Award for Best Lyricist for both of the latter, as well as Swades and Love Breakups Zindagi. He is credited as a writer on Don (2006), as author of the 1978 original and the remake, and co-wrote his daughter Zoya Akhtar's Luck by Chance (2009). His lyrics for Don 2 and Dunki (2023) continued the association.</t>
        </is>
      </c>
      <c r="T64" s="5" t="inlineStr">
        <is>
          <t>SOURCE-138; SOURCE-053; SOURCE-061</t>
        </is>
      </c>
      <c r="U64" s="5" t="inlineStr">
        <is>
          <t>Medium</t>
        </is>
      </c>
    </row>
    <row r="65" ht="109" customHeight="1">
      <c r="A65" s="15" t="inlineStr">
        <is>
          <t>PERSON-064</t>
        </is>
      </c>
      <c r="B65" s="5" t="inlineStr">
        <is>
          <t>K. Subash</t>
        </is>
      </c>
      <c r="C65" s="5" t="inlineStr">
        <is>
          <t>Writer</t>
        </is>
      </c>
      <c r="D65" s="17" t="n">
        <v>1959</v>
      </c>
      <c r="E65" s="17" t="n">
        <v>2016</v>
      </c>
      <c r="F65" s="5" t="inlineStr">
        <is>
          <t>1989–2016</t>
        </is>
      </c>
      <c r="G65" s="5" t="inlineStr">
        <is>
          <t>Tamil cinema; Hindi cinema</t>
        </is>
      </c>
      <c r="H65" s="5" t="inlineStr">
        <is>
          <t>A Tamil director and screenwriter, son of the director R. Krishnan, who trained as an assistant to Mani Ratnam on Nayakan.</t>
        </is>
      </c>
      <c r="I65" s="5" t="inlineStr">
        <is>
          <t>Kaliyugam; his second film, Chatriyan, was a blockbuster.</t>
        </is>
      </c>
      <c r="J65" s="5" t="inlineStr">
        <is>
          <t>With Khan: Chennai Express (2013), Dilwale (2015). Wider work: Chatriyan, Pavithra, Abhimanyu, 123.</t>
        </is>
      </c>
      <c r="K65" s="19" t="inlineStr">
        <is>
          <t>Tamil police dramas and action films; later, story work on Hindi comedies.</t>
        </is>
      </c>
      <c r="L65" s="19" t="n"/>
      <c r="M65" s="5" t="n"/>
      <c r="N65" s="19" t="n"/>
      <c r="O65" s="19" t="inlineStr">
        <is>
          <t>Two writing credits for Rohit Shetty: the story of Chennai Express, the Tamil Nadu-set action comedy that was one of Khan's biggest hits, and Dilwale, a commercial success.</t>
        </is>
      </c>
      <c r="P65" s="17" t="n">
        <v>2</v>
      </c>
      <c r="Q65" s="5" t="inlineStr">
        <is>
          <t>FILM-079; FILM-082</t>
        </is>
      </c>
      <c r="R65" s="5" t="inlineStr">
        <is>
          <t>Chennai Express (2013)</t>
        </is>
      </c>
      <c r="S65" s="5" t="inlineStr">
        <is>
          <t>Krishnan Subash was a Tamil director, the son of R. Krishnan, who learned under Mani Ratnam on Nayakan before making his own debut with Kaliyugam. His second film, the Vijayakanth police drama Chatriyan, was a blockbuster, and he went on to direct Pavithra, Abhimanyu, Ninaivirukkum Varai and 123, while several later projects were shelved. In the 2010s he wrote for Hindi cinema, supplying the story of Rohit Shetty's Chennai Express (2013), in which Shah Rukh Khan plays a Mumbai bachelor stranded in a Tamil village opposite Deepika Padukone, and working on Shetty's Dilwale (2015). When he died on 23 November 2016, press reports identified him as the writer of Chennai Express.</t>
        </is>
      </c>
      <c r="T65" s="5" t="inlineStr">
        <is>
          <t>SOURCE-197; SOURCE-082; SOURCE-085</t>
        </is>
      </c>
      <c r="U65" s="5" t="inlineStr">
        <is>
          <t>Medium</t>
        </is>
      </c>
    </row>
    <row r="66" ht="109" customHeight="1">
      <c r="A66" s="15" t="inlineStr">
        <is>
          <t>PERSON-065</t>
        </is>
      </c>
      <c r="B66" s="5" t="inlineStr">
        <is>
          <t>Kanika Dhillon</t>
        </is>
      </c>
      <c r="C66" s="5" t="inlineStr">
        <is>
          <t>Writer</t>
        </is>
      </c>
      <c r="D66" s="20" t="n"/>
      <c r="E66" s="20" t="n"/>
      <c r="F66" s="5" t="n"/>
      <c r="G66" s="5" t="inlineStr">
        <is>
          <t>Hindi cinema</t>
        </is>
      </c>
      <c r="H66" s="5" t="inlineStr">
        <is>
          <t>An Indian novelist, screenwriter and producer who worked as a script supervisor at Red Chillies Entertainment after graduating.</t>
        </is>
      </c>
      <c r="I66" s="5" t="inlineStr">
        <is>
          <t>The novel Bombay Duck Is a Fish (2011), launched by Shah Rukh Khan; wide recognition as a screenwriter with Manmarziyaan (2018).</t>
        </is>
      </c>
      <c r="J66" s="5" t="inlineStr">
        <is>
          <t>With Khan: Ra.One (2011), Dunki (2023). Wider work: Manmarziyaan, Kedarnath, Judgementall Hai Kya, Haseen Dillruba, Rashmi Rocket, Raksha Bandhan; Do Patti (2024) as writer and producer.</t>
        </is>
      </c>
      <c r="K66" s="19" t="inlineStr">
        <is>
          <t>Relationship drama and thrillers centred on women.</t>
        </is>
      </c>
      <c r="L66" s="19" t="n"/>
      <c r="M66" s="5" t="n"/>
      <c r="N66" s="19" t="n"/>
      <c r="O66" s="19" t="inlineStr">
        <is>
          <t>Began in Khan's company as a script supervisor at Red Chillies, wrote for Ra.One, and later co-wrote Rajkumar Hirani's Dunki. Khan launched her first novel.</t>
        </is>
      </c>
      <c r="P66" s="17" t="n">
        <v>2</v>
      </c>
      <c r="Q66" s="5" t="inlineStr">
        <is>
          <t>FILM-075; FILM-097</t>
        </is>
      </c>
      <c r="R66" s="5" t="inlineStr">
        <is>
          <t>Dunki (2023)</t>
        </is>
      </c>
      <c r="S66" s="5" t="inlineStr">
        <is>
          <t>Kanika Dhillon worked as a script supervisor at Shah Rukh Khan's Red Chillies Entertainment after graduating and contributed to the writing of Ra.One (2011), Khan's superhero film. Her debut novel, Bombay Duck Is a Fish (2011), was launched by Khan, and she followed it with Shiva and the Rise of the Shadows and The Dance of Durga. Her screenwriting breakthrough came with Manmarziyaan (2018), followed by Kedarnath, Judgementall Hai Kya, Haseen Dillruba, Rashmi Rocket and Raksha Bandhan. She returned to Khan as co-writer of Dunki (2023), Rajkumar Hirani's film about illegal emigration from Punjab. In 2023 she founded Kathha Pictures, whose first production, the Netflix film Do Patti, she also wrote.</t>
        </is>
      </c>
      <c r="T66" s="5" t="inlineStr">
        <is>
          <t>SOURCE-198; SOURCE-078; SOURCE-100</t>
        </is>
      </c>
      <c r="U66" s="5" t="inlineStr">
        <is>
          <t>Medium</t>
        </is>
      </c>
    </row>
    <row r="67" ht="169" customHeight="1">
      <c r="A67" s="15" t="inlineStr">
        <is>
          <t>PERSON-066</t>
        </is>
      </c>
      <c r="B67" s="5" t="inlineStr">
        <is>
          <t>Ketan Mehta</t>
        </is>
      </c>
      <c r="C67" s="5" t="inlineStr">
        <is>
          <t>Director; producer; screenwriter</t>
        </is>
      </c>
      <c r="D67" s="17" t="n">
        <v>1952</v>
      </c>
      <c r="E67" s="20" t="n"/>
      <c r="F67" s="5" t="inlineStr">
        <is>
          <t>1975–present</t>
        </is>
      </c>
      <c r="G67" s="5" t="inlineStr">
        <is>
          <t>Hindi; Gujarati</t>
        </is>
      </c>
      <c r="H67" s="5" t="inlineStr">
        <is>
          <t>Born in Navsari, Gujarat; graduated in film direction from the Film and Television Institute of India and worked as a television producer at the Indian Space Research Organisation.</t>
        </is>
      </c>
      <c r="I67" s="5" t="inlineStr">
        <is>
          <t>The Gujarati film Bhavni Bhavai won him acclaim.</t>
        </is>
      </c>
      <c r="J67" s="5" t="inlineStr">
        <is>
          <t>Bhavni Bhavai; Maya Memsaab (1993); Oh Darling! Yeh Hai India! (1995); the television serials Captain Vyom and Mr. Yogi</t>
        </is>
      </c>
      <c r="K67" s="19" t="inlineStr">
        <is>
          <t>Comedy, satire, romance, violence and rebellion.</t>
        </is>
      </c>
      <c r="L67" s="19" t="inlineStr">
        <is>
          <t>Experimental and satirical, shaped by his early freedom to experiment in ISRO television.</t>
        </is>
      </c>
      <c r="M67" s="5" t="inlineStr">
        <is>
          <t>Maya Memsaab won the National Film Award – Special Mention (Feature Film).</t>
        </is>
      </c>
      <c r="N67" s="19" t="inlineStr">
        <is>
          <t>A parallel-cinema filmmaker whose films have screened at Nantes, Moscow and other international festivals.</t>
        </is>
      </c>
      <c r="O67" s="19" t="inlineStr">
        <is>
          <t>Cast the young Khan in two unconventional films, both co-starring Mehta's wife Deepa Sahi: the Madame Bovary adaptation Maya Memsaab and the musical parody Oh Darling! Yeh Hai India!</t>
        </is>
      </c>
      <c r="P67" s="17" t="n">
        <v>2</v>
      </c>
      <c r="Q67" s="5" t="inlineStr">
        <is>
          <t>FILM-006; FILM-015</t>
        </is>
      </c>
      <c r="R67" s="5" t="inlineStr">
        <is>
          <t>Maya Memsaab (1993)</t>
        </is>
      </c>
      <c r="S67" s="5" t="inlineStr">
        <is>
          <t>Ketan Mehta was born on 21 July 1952 in Navsari, Gujarat, went to school in Delhi and graduated in film direction from the Film and Television Institute of India in Pune. He then joined the Indian Space Research Organisation as a television producer, where he had almost total freedom to travel across Gujarat and make programmes; he later called the experience vital to his films. His first feature, the Gujarati Bhavni Bhavai, won acclaim, and over his career he has made ten feature films, seven documentaries and the television serials Captain Vyom and Mr. Yogi, ranging across comedy, satire, romance, violence and rebellion. His films have been selected for festivals including Nantes and Moscow. Mehta gave Shah Rukh Khan two early roles far from the romantic-hero mould. In Maya Memsaab (1993), his adaptation of Madame Bovary, Khan plays the young lover of Deepa Sahi's restless wife; the film received a National Film Award – Special Mention. In the musical parody Oh Darling! Yeh Hai India! (1995), Khan plays 'Hero', a drifter who foils a don's plan to auction India. Deepa Sahi, Mehta's wife, co-starred in both and co-wrote the second.</t>
        </is>
      </c>
      <c r="T67" s="5" t="inlineStr">
        <is>
          <t>SOURCE-122; SOURCE-009; SOURCE-018</t>
        </is>
      </c>
      <c r="U67" s="5" t="inlineStr">
        <is>
          <t>Medium</t>
        </is>
      </c>
    </row>
    <row r="68" ht="169" customHeight="1">
      <c r="A68" s="15" t="inlineStr">
        <is>
          <t>PERSON-067</t>
        </is>
      </c>
      <c r="B68" s="5" t="inlineStr">
        <is>
          <t>Maneesh Sharma</t>
        </is>
      </c>
      <c r="C68" s="5" t="inlineStr">
        <is>
          <t>Director; screenwriter</t>
        </is>
      </c>
      <c r="D68" s="17" t="n">
        <v>1978</v>
      </c>
      <c r="E68" s="20" t="n"/>
      <c r="F68" s="5" t="inlineStr">
        <is>
          <t>2004–present</t>
        </is>
      </c>
      <c r="G68" s="5" t="inlineStr">
        <is>
          <t>Hindi</t>
        </is>
      </c>
      <c r="H68" s="5" t="inlineStr">
        <is>
          <t>Grew up in Delhi, studied English literature at Hansraj College and filmmaking at the California Institute of the Arts; assistant director at Yash Raj Films on Fanaa, Aaja Nachle and Rab Ne Bana Di Jodi.</t>
        </is>
      </c>
      <c r="I68" s="5" t="inlineStr">
        <is>
          <t>Band Baaja Baaraat (2010).</t>
        </is>
      </c>
      <c r="J68" s="5" t="inlineStr">
        <is>
          <t>Band Baaja Baaraat (2010); Ladies vs Ricky Bahl (2011); Shuddh Desi Romance (2013); Fan (2016); Tiger 3 (2023)</t>
        </is>
      </c>
      <c r="K68" s="19" t="inlineStr">
        <is>
          <t>Contemporary romance in his early films; stardom and obsession in Fan; spy action in Tiger 3.</t>
        </is>
      </c>
      <c r="L68" s="19" t="inlineStr">
        <is>
          <t>Grounded, character-focused filmmaking within the Yash Raj Films system.</t>
        </is>
      </c>
      <c r="M68" s="5" t="inlineStr">
        <is>
          <t>Filmfare Award for Best Debut Director (Band Baaja Baaraat)</t>
        </is>
      </c>
      <c r="N68" s="19" t="inlineStr">
        <is>
          <t>A Yash Raj Films director who directed a Khan double role and an instalment of the YRF Spy Universe.</t>
        </is>
      </c>
      <c r="O68" s="19" t="inlineStr">
        <is>
          <t>Worked as an assistant on Rab Ne Bana Di Jodi, directed Khan's double role as a star and his obsessive fan in Fan, and gave him a cameo as Pathaan in Tiger 3.</t>
        </is>
      </c>
      <c r="P68" s="17" t="n">
        <v>2</v>
      </c>
      <c r="Q68" s="5" t="inlineStr">
        <is>
          <t>FILM-083; FILM-096</t>
        </is>
      </c>
      <c r="R68" s="5" t="inlineStr">
        <is>
          <t>Fan (2016)</t>
        </is>
      </c>
      <c r="S68" s="5" t="inlineStr">
        <is>
          <t>Maneesh Sharma was born on 6 January 1978 in Delhi, where he attended Delhi Public School, R. K. Puram, and studied English literature at Hansraj College. He trained in filmmaking at the California Institute of the Arts and, after returning to India, worked as an assistant director on Yash Raj Films productions including Fanaa (2006), Aaja Nachle (2007) and Shah Rukh Khan's Rab Ne Bana Di Jodi (2008). His debut, Band Baaja Baaraat (2010), with Ranveer Singh and Anushka Sharma, won him the Filmfare Award for Best Debut Director; he followed it with Ladies vs Ricky Bahl (2011) and Shuddh Desi Romance (2013). Sharma had conceived Fan in 2006, and Yash Chopra narrated it to Khan that year; the project was revived in late 2013. In the songless thriller (2016) Khan plays both the superstar Aryan Khanna and his obsessive lookalike fan Gaurav, and critics praised the double performance. Sharma's article describes the film as a box-office failure, although it did well overseas. He later directed Tiger 3 (2023), in which Khan appears as Pathaan in a cameo that helps Salman Khan's Tiger escape.</t>
        </is>
      </c>
      <c r="T68" s="5" t="inlineStr">
        <is>
          <t>SOURCE-180; SOURCE-086</t>
        </is>
      </c>
      <c r="U68" s="5" t="inlineStr">
        <is>
          <t>Medium</t>
        </is>
      </c>
    </row>
    <row r="69" ht="184" customHeight="1">
      <c r="A69" s="15" t="inlineStr">
        <is>
          <t>PERSON-068</t>
        </is>
      </c>
      <c r="B69" s="5" t="inlineStr">
        <is>
          <t>Mani Ratnam</t>
        </is>
      </c>
      <c r="C69" s="5" t="inlineStr">
        <is>
          <t>Director; producer; screenwriter (Madras Talkies)</t>
        </is>
      </c>
      <c r="D69" s="17" t="n">
        <v>1956</v>
      </c>
      <c r="E69" s="20" t="n"/>
      <c r="F69" s="5" t="inlineStr">
        <is>
          <t>1983–present</t>
        </is>
      </c>
      <c r="G69" s="5" t="inlineStr">
        <is>
          <t>Tamil; Hindi</t>
        </is>
      </c>
      <c r="H69" s="5" t="inlineStr">
        <is>
          <t>Trained in management and worked as a consultant before entering films.</t>
        </is>
      </c>
      <c r="I69" s="5" t="inlineStr">
        <is>
          <t>Pallavi Anu Pallavi (1983, Kannada); breakthrough Mouna Ragam (1986).</t>
        </is>
      </c>
      <c r="J69" s="5" t="inlineStr">
        <is>
          <t>Mouna Ragam (1986); Nayakan (1987); Anjali (1990); Thalapathi (1991); Roja (1992); Bombay (1995); Dil Se.. (1998); Alai Payuthey (2000)</t>
        </is>
      </c>
      <c r="K69" s="19" t="inlineStr">
        <is>
          <t>Love set against political conflict and terrorism.</t>
        </is>
      </c>
      <c r="L69" s="19" t="inlineStr">
        <is>
          <t>Visually striking, music-led storytelling, often nonlinear.</t>
        </is>
      </c>
      <c r="M69" s="5" t="inlineStr">
        <is>
          <t>7 National Film Awards; 4 Filmfare Awards; 7 Filmfare Awards South; Padma Shri (2002)</t>
        </is>
      </c>
      <c r="N69" s="19" t="inlineStr">
        <is>
          <t>Regarded as one of the greatest directors in Indian cinema; Nayakan and Anjali were India's Academy Award entries.</t>
        </is>
      </c>
      <c r="O69" s="19" t="inlineStr">
        <is>
          <t>Directed Khan in Dil Se.., the last film of his trilogy with Roja and Bombay, and wrote Saathiya, in which Khan makes a special appearance.</t>
        </is>
      </c>
      <c r="P69" s="17" t="n">
        <v>2</v>
      </c>
      <c r="Q69" s="5" t="inlineStr">
        <is>
          <t>FILM-030; FILM-045</t>
        </is>
      </c>
      <c r="R69" s="5" t="inlineStr">
        <is>
          <t>Dil Se.. (1998)</t>
        </is>
      </c>
      <c r="S69" s="5" t="inlineStr">
        <is>
          <t>Mani Ratnam, born Gopalaratnam Subramaniam on 2 June 1956, works mainly in Tamil cinema and is regarded as one of the greatest directors in Indian cinema. Although born into a film family, he trained in management and worked as a consultant before entering films with the Kannada Pallavi Anu Pallavi (1983). After early failures he broke through with Mouna Ragam (1986), which won him his first Filmfare Best Director award, and followed it with Nayakan (1987) and Anjali (1990), both India's Academy Award entries, and Thalapathi. He has won seven National Film Awards, four Filmfare Awards and seven Filmfare Awards South, and received the Padma Shri in 2002. With Shah Rukh Khan he made Dil Se.. (1998), set against the insurgency in Assam, the last film of a trilogy with Roja and Bombay. Khan plays a radio journalist who falls for a suicide bomber. The film had an average domestic run but was a major success overseas, became the first Indian film in the UK top ten, won a Netpac Award at the Berlinale, and its A. R. Rahman soundtrack sold six million units. Ratnam later wrote Saathiya (2002), the Hindi remake of his Alai Payuthey, in which Khan appears briefly as an IAS officer.</t>
        </is>
      </c>
      <c r="T69" s="5" t="inlineStr">
        <is>
          <t>SOURCE-145; SOURCE-033</t>
        </is>
      </c>
      <c r="U69" s="5" t="inlineStr">
        <is>
          <t>Medium</t>
        </is>
      </c>
    </row>
    <row r="70" ht="109" customHeight="1">
      <c r="A70" s="15" t="inlineStr">
        <is>
          <t>PERSON-069</t>
        </is>
      </c>
      <c r="B70" s="5" t="inlineStr">
        <is>
          <t>Monty Sharma</t>
        </is>
      </c>
      <c r="C70" s="5" t="inlineStr">
        <is>
          <t>Background-score composer; music director</t>
        </is>
      </c>
      <c r="D70" s="17" t="n">
        <v>1970</v>
      </c>
      <c r="E70" s="20" t="n"/>
      <c r="F70" s="5" t="inlineStr">
        <is>
          <t>2002–present</t>
        </is>
      </c>
      <c r="G70" s="5" t="inlineStr">
        <is>
          <t>Hindi</t>
        </is>
      </c>
      <c r="H70" s="5" t="inlineStr">
        <is>
          <t>Born in Mumbai; trained from the age of five under his grandfather Pandit Ram Prasad Sharma; nephew of Pyarelal of Laxmikant–Pyarelal; a keyboard player from age sixteen, starting with Mr. India.</t>
        </is>
      </c>
      <c r="I70" s="5" t="n"/>
      <c r="J70" s="5" t="inlineStr">
        <is>
          <t>Devdas (2002, score); Silsiilay (2005, score); Black (2005, score); Saawariya (2007, music director); Goliyon Ki Raasleela Ram-Leela (2013, score); Gadar 2 (2023, score)</t>
        </is>
      </c>
      <c r="K70" s="19" t="inlineStr">
        <is>
          <t>Orchestral background scores, particularly for Sanjay Leela Bhansali.</t>
        </is>
      </c>
      <c r="L70" s="19" t="n"/>
      <c r="M70" s="5" t="n"/>
      <c r="N70" s="19" t="inlineStr">
        <is>
          <t>Background composer for several Bhansali films.</t>
        </is>
      </c>
      <c r="O70" s="19" t="inlineStr">
        <is>
          <t>Wrote the background scores for Devdas and Silsiilay, which Khan narrates.</t>
        </is>
      </c>
      <c r="P70" s="17" t="n">
        <v>2</v>
      </c>
      <c r="Q70" s="5" t="inlineStr">
        <is>
          <t>FILM-043; FILM-054</t>
        </is>
      </c>
      <c r="R70" s="5" t="inlineStr">
        <is>
          <t>Devdas (2002)</t>
        </is>
      </c>
      <c r="S70" s="5" t="inlineStr">
        <is>
          <t>Monty Sharma, born on 17 April 1970 in Mumbai, began learning music at five under his grandfather Pandit Ram Prasad Sharma and is the nephew of Pyarelal of the Laxmikant–Pyarelal duo. At sixteen he became a professional keyboard player with Laxmikant–Pyarelal on Mr. India, and he went on to work with R. D. Burman, Rajesh Roshan, Nadeem–Shravan, Jatin–Lalit and Ismail Darbar. As a background-score composer he is best known for Sanjay Leela Bhansali's Devdas (2002), Black (2005) and Goliyon Ki Raasleela Ram-Leela (2013), and he was music director of Saawariya (2007). He has also judged STAR Voice of India 2. He scored two Shah Rukh Khan films: Devdas and Khalid Mohamed's anthology Silsiilay (2005), which Khan narrates.</t>
        </is>
      </c>
      <c r="T70" s="5" t="inlineStr">
        <is>
          <t>SOURCE-157; SOURCE-046</t>
        </is>
      </c>
      <c r="U70" s="5" t="inlineStr">
        <is>
          <t>Medium</t>
        </is>
      </c>
    </row>
    <row r="71" ht="109" customHeight="1">
      <c r="A71" s="15" t="inlineStr">
        <is>
          <t>PERSON-070</t>
        </is>
      </c>
      <c r="B71" s="5" t="inlineStr">
        <is>
          <t>Mukta Arts</t>
        </is>
      </c>
      <c r="C71" s="5" t="inlineStr">
        <is>
          <t>Production banner</t>
        </is>
      </c>
      <c r="D71" s="20" t="n"/>
      <c r="E71" s="20" t="n"/>
      <c r="F71" s="5" t="n"/>
      <c r="G71" s="5" t="inlineStr">
        <is>
          <t>Hindi cinema</t>
        </is>
      </c>
      <c r="H71" s="5" t="inlineStr">
        <is>
          <t>A Mumbai film company founded by Subhash Ghai: Mukta Films in 1978, reorganised as Mukta Arts in 1982; the first Hindi film producer listed on the stock exchange.</t>
        </is>
      </c>
      <c r="I71" s="5" t="inlineStr">
        <is>
          <t>Karz (1980), under Mukta Films.</t>
        </is>
      </c>
      <c r="J71" s="5" t="inlineStr">
        <is>
          <t>With Khan: Trimurti (1995), Pardes (1997). Over 42 productions; also distribution (Mukta Movies), the Mukta A2 multiplex chain and the Whistling Woods International film school.</t>
        </is>
      </c>
      <c r="K71" s="19" t="inlineStr">
        <is>
          <t>Subhash Ghai's large-scale musical melodramas.</t>
        </is>
      </c>
      <c r="L71" s="19" t="n"/>
      <c r="M71" s="5" t="n"/>
      <c r="N71" s="19" t="inlineStr">
        <is>
          <t>A pioneer of corporate structure in Hindi film production.</t>
        </is>
      </c>
      <c r="O71" s="19" t="inlineStr">
        <is>
          <t>Two films: Trimurti, a costly multi-starrer with Khan as one of three brothers that lost money, and Ghai's Pardes, a super hit diaspora romance with Khan as the hero.</t>
        </is>
      </c>
      <c r="P71" s="17" t="n">
        <v>2</v>
      </c>
      <c r="Q71" s="5" t="inlineStr">
        <is>
          <t>FILM-018; FILM-026</t>
        </is>
      </c>
      <c r="R71" s="5" t="inlineStr">
        <is>
          <t>Pardes (1997)</t>
        </is>
      </c>
      <c r="S71" s="5" t="inlineStr">
        <is>
          <t>Mukta Arts is Subhash Ghai's production company. He set up Mukta Films in 1978 and produced Karz with it, then formed Mukta Arts in 1982; it became the first Hindi film producer listed on the stock exchange and has since produced or co-produced over forty films, distributed several hundred more, and opened both the Mukta A2 cinema chain and the Whistling Woods International film school. Its two Shah Rukh Khan films came close together. Trimurti (1995), directed by Mukul S. Anand with Khan, Jackie Shroff and Anil Kapoor as brothers, was expensive and lost money. Pardes (1997), Ghai's own film about an Indian-American marriage arranged across cultures, cast Khan as the adopted son who falls for the bride, and was a super hit.</t>
        </is>
      </c>
      <c r="T71" s="5" t="inlineStr">
        <is>
          <t>SOURCE-199; SOURCE-021; SOURCE-029</t>
        </is>
      </c>
      <c r="U71" s="5" t="inlineStr">
        <is>
          <t>Medium</t>
        </is>
      </c>
    </row>
    <row r="72" ht="109" customHeight="1">
      <c r="A72" s="15" t="inlineStr">
        <is>
          <t>PERSON-071</t>
        </is>
      </c>
      <c r="B72" s="5" t="inlineStr">
        <is>
          <t>Mukul S. Anand</t>
        </is>
      </c>
      <c r="C72" s="5" t="inlineStr">
        <is>
          <t>Director; Producer</t>
        </is>
      </c>
      <c r="D72" s="17" t="n">
        <v>1951</v>
      </c>
      <c r="E72" s="17" t="n">
        <v>1997</v>
      </c>
      <c r="F72" s="5" t="n"/>
      <c r="G72" s="5" t="inlineStr">
        <is>
          <t>Hindi cinema</t>
        </is>
      </c>
      <c r="H72" s="5" t="inlineStr">
        <is>
          <t>A Hindi-film director and producer, nephew of the writer Inder Raj Anand and cousin of Tinnu Anand.</t>
        </is>
      </c>
      <c r="I72" s="5" t="inlineStr">
        <is>
          <t>Kanoon Kya Karega (1984), a thriller modelled on Cape Fear.</t>
        </is>
      </c>
      <c r="J72" s="5" t="inlineStr">
        <is>
          <t>With Khan: Trimurti (1995) as director; Army (1996) as producer. Wider work: Sultanat, Insaaf, Agneepath, Hum, Khuda Gawah.</t>
        </is>
      </c>
      <c r="K72" s="19" t="inlineStr">
        <is>
          <t>Large-scale action melodramas, often adapted from Hollywood thrillers.</t>
        </is>
      </c>
      <c r="L72" s="19" t="n"/>
      <c r="M72" s="5" t="n"/>
      <c r="N72" s="19" t="inlineStr">
        <is>
          <t>Director of the Amitabh Bachchan films Agneepath, Hum and Khuda Gawah.</t>
        </is>
      </c>
      <c r="O72" s="19" t="inlineStr">
        <is>
          <t>Directed Trimurti, his last completed film, with Khan as one of three brothers, and produced Army, in which Khan has an extended special appearance.</t>
        </is>
      </c>
      <c r="P72" s="17" t="n">
        <v>2</v>
      </c>
      <c r="Q72" s="5" t="inlineStr">
        <is>
          <t>FILM-018; FILM-021</t>
        </is>
      </c>
      <c r="R72" s="5" t="inlineStr">
        <is>
          <t>Trimurti (1995)</t>
        </is>
      </c>
      <c r="S72" s="5" t="inlineStr">
        <is>
          <t>Mukul S. Anand made his debut with Kanoon Kya Karega (1984) and followed it with Aitbaar, a Dial M for Murder variant, and Sultanat (1986), which introduced Juhi Chawla. His first box-office success was Insaaf (1987), and he reached the top rank with Agneepath (1990), which won Amitabh Bachchan a National Award, and then Hum and Khuda Gawah with Bachchan. Trimurti (1995), his last completed film, was a Mukta Arts multi-starrer with Jackie Shroff, Anil Kapoor and Shah Rukh Khan as brothers fighting for their mother. It was expensive and lost money. Anand also produced Army (1996), in which Khan appears in an extended special role. He died on 7 September 1997.</t>
        </is>
      </c>
      <c r="T72" s="5" t="inlineStr">
        <is>
          <t>SOURCE-200; SOURCE-021; SOURCE-024</t>
        </is>
      </c>
      <c r="U72" s="5" t="inlineStr">
        <is>
          <t>Medium</t>
        </is>
      </c>
    </row>
    <row r="73" ht="94" customHeight="1">
      <c r="A73" s="15" t="inlineStr">
        <is>
          <t>PERSON-072</t>
        </is>
      </c>
      <c r="B73" s="5" t="inlineStr">
        <is>
          <t>Parvesh C. Mehra</t>
        </is>
      </c>
      <c r="C73" s="5" t="inlineStr">
        <is>
          <t>Producer</t>
        </is>
      </c>
      <c r="D73" s="20" t="n"/>
      <c r="E73" s="20" t="n"/>
      <c r="F73" s="5" t="n"/>
      <c r="G73" s="5" t="inlineStr">
        <is>
          <t>Hindi cinema</t>
        </is>
      </c>
      <c r="H73" s="5" t="inlineStr">
        <is>
          <t>A producer credited on 2 films in this filmography, with no Wikipedia article of their own.</t>
        </is>
      </c>
      <c r="I73" s="5" t="n"/>
      <c r="J73" s="5" t="inlineStr">
        <is>
          <t>With Khan: Chamatkar (1992) and Ram Jaane (1995).</t>
        </is>
      </c>
      <c r="K73" s="19" t="n"/>
      <c r="L73" s="19" t="n"/>
      <c r="M73" s="5" t="n"/>
      <c r="N73" s="19" t="n"/>
      <c r="O73" s="19" t="inlineStr">
        <is>
          <t>2 films with Khan, credited as producer: Chamatkar (1992), directed by Rajiv Mehra, with Khan in the lead as Sundar Shrivastav. Ram Jaane (1995), directed by Rajiv Mehra, with Khan in the lead as Ram Jaane; verdict: Hit.</t>
        </is>
      </c>
      <c r="P73" s="17" t="n">
        <v>2</v>
      </c>
      <c r="Q73" s="5" t="inlineStr">
        <is>
          <t>FILM-002; FILM-017</t>
        </is>
      </c>
      <c r="R73" s="5" t="inlineStr">
        <is>
          <t>Ram Jaane (1995)</t>
        </is>
      </c>
      <c r="S73" s="5" t="inlineStr">
        <is>
          <t>Parvesh C. Mehra is credited as producer on Chamatkar (1992) and Ram Jaane (1995). No Wikipedia article or other independent biography was located; this row is built from the film credits alone.</t>
        </is>
      </c>
      <c r="T73" s="5" t="inlineStr">
        <is>
          <t>SOURCE-005; SOURCE-020</t>
        </is>
      </c>
      <c r="U73" s="5" t="inlineStr">
        <is>
          <t>Low</t>
        </is>
      </c>
    </row>
    <row r="74" ht="169" customHeight="1">
      <c r="A74" s="15" t="inlineStr">
        <is>
          <t>PERSON-073</t>
        </is>
      </c>
      <c r="B74" s="5" t="inlineStr">
        <is>
          <t>Priyadarshan</t>
        </is>
      </c>
      <c r="C74" s="5" t="inlineStr">
        <is>
          <t>Director; screenwriter</t>
        </is>
      </c>
      <c r="D74" s="17" t="n">
        <v>1957</v>
      </c>
      <c r="E74" s="20" t="n"/>
      <c r="F74" s="5" t="inlineStr">
        <is>
          <t>1982–present</t>
        </is>
      </c>
      <c r="G74" s="5" t="inlineStr">
        <is>
          <t>Malayalam; Hindi</t>
        </is>
      </c>
      <c r="H74" s="5" t="inlineStr">
        <is>
          <t>Began in Malayalam cinema in the early 1980s and later became known in Bollywood for Hindi adaptations of Malayalam films.</t>
        </is>
      </c>
      <c r="I74" s="5" t="inlineStr">
        <is>
          <t>Worked in Malayalam cinema from 1982; entered Hindi cinema with Gardish (1994).</t>
        </is>
      </c>
      <c r="J74" s="5" t="inlineStr">
        <is>
          <t>Chithram (1988); Kilukkam (1991); Kaalapaani (1996); Chandralekha (1997); Hera Pheri (2000); Hungama (2003); Hulchul (2004); Garam Masala (2005); Bhool Bhulaiyaa (2007); Billu (2009)</t>
        </is>
      </c>
      <c r="K74" s="19" t="inlineStr">
        <is>
          <t>Comedy of errors and mistaken identity, often adapted from Malayalam originals.</t>
        </is>
      </c>
      <c r="L74" s="19" t="inlineStr">
        <is>
          <t>Fast ensemble comedy across many genres.</t>
        </is>
      </c>
      <c r="M74" s="5" t="inlineStr">
        <is>
          <t>3 National Film Awards; Kerala State Film Awards; Padma Shri (2012)</t>
        </is>
      </c>
      <c r="N74" s="19" t="inlineStr">
        <is>
          <t>Has directed over 90 films in several Indian languages.</t>
        </is>
      </c>
      <c r="O74" s="19" t="inlineStr">
        <is>
          <t>His Malayalam Chandralekha was remade as Har Dil Jo Pyar Karega, in which Khan makes a special appearance, and he directed Billu, where Khan plays a superstar based on himself.</t>
        </is>
      </c>
      <c r="P74" s="17" t="n">
        <v>2</v>
      </c>
      <c r="Q74" s="5" t="inlineStr">
        <is>
          <t>FILM-036; FILM-069</t>
        </is>
      </c>
      <c r="R74" s="5" t="inlineStr">
        <is>
          <t>Billu (2009)</t>
        </is>
      </c>
      <c r="S74" s="5" t="inlineStr">
        <is>
          <t>Priyadarshan, born Priyadarshan Soman Nair on 30 January 1957, has directed over 90 films, mainly in Malayalam and Hindi, and received three National Film Awards, several Kerala State Film Awards and the Padma Shri (2012). He built his reputation in Malayalam cinema with films such as Chithram (1988), Vandanam (1989) and Kilukkam (1991), and continued in the 1990s with Kaalapaani (1996) and Chandralekha (1997). He entered Hindi cinema with the action films Gardish (1994) and Virasat (1997), and in the 2000s became widely known for comedies adapted from Malayalam films, including Hera Pheri, Hungama, Hulchul, Garam Masala and Bhool Bhulaiyaa. His Chandralekha was remade as Har Dil Jo Pyar Karega (2000), with a story credit for Priyadarshan, in which Shah Rukh Khan appears at the end as Rahul Khanna. Priyadarshan directed Khan in Billu (2009), a Red Chillies production remade from the Malayalam Katha Parayumpol, in which Khan plays the superstar Sahir Khan, who returns to a village and publicly honours his forgotten childhood friend, a poor barber played by Irrfan Khan. Variety called the film's climax, Khan's school speech, emotionally effective.</t>
        </is>
      </c>
      <c r="T74" s="5" t="inlineStr">
        <is>
          <t>SOURCE-151; SOURCE-072</t>
        </is>
      </c>
      <c r="U74" s="5" t="inlineStr">
        <is>
          <t>Medium</t>
        </is>
      </c>
    </row>
    <row r="75" ht="109" customHeight="1">
      <c r="A75" s="15" t="inlineStr">
        <is>
          <t>PERSON-074</t>
        </is>
      </c>
      <c r="B75" s="5" t="inlineStr">
        <is>
          <t>Raaj Kumar Dahima</t>
        </is>
      </c>
      <c r="C75" s="5" t="inlineStr">
        <is>
          <t>Writer</t>
        </is>
      </c>
      <c r="D75" s="20" t="n"/>
      <c r="E75" s="20" t="n"/>
      <c r="F75" s="5" t="n"/>
      <c r="G75" s="5" t="inlineStr">
        <is>
          <t>Hindi cinema</t>
        </is>
      </c>
      <c r="H75" s="5" t="inlineStr">
        <is>
          <t>A writer credited on 2 films in this filmography, with no Wikipedia article of their own.</t>
        </is>
      </c>
      <c r="I75" s="5" t="n"/>
      <c r="J75" s="5" t="inlineStr">
        <is>
          <t>With Khan: Phir Bhi Dil Hai Hindustani (2000) and One 2 Ka 4 (2001).</t>
        </is>
      </c>
      <c r="K75" s="19" t="n"/>
      <c r="L75" s="19" t="n"/>
      <c r="M75" s="5" t="n"/>
      <c r="N75" s="19" t="n"/>
      <c r="O75" s="19" t="inlineStr">
        <is>
          <t>2 films with Khan, credited as writer: Phir Bhi Dil Hai Hindustani (2000), directed by Aziz Mirza, with Khan in the lead as Ajay Bakshi; verdict: Flop. One 2 Ka 4 (2001), directed by Shashilal K. Nair, with Khan in the lead as ACP Arun Verma; verdict: Disaster.</t>
        </is>
      </c>
      <c r="P75" s="17" t="n">
        <v>2</v>
      </c>
      <c r="Q75" s="5" t="inlineStr">
        <is>
          <t>FILM-033; FILM-039</t>
        </is>
      </c>
      <c r="R75" s="5" t="inlineStr">
        <is>
          <t>Phir Bhi Dil Hai Hindustani (2000)</t>
        </is>
      </c>
      <c r="S75" s="5" t="inlineStr">
        <is>
          <t>Raaj Kumar Dahima is credited as writer on Phir Bhi Dil Hai Hindustani (2000) and One 2 Ka 4 (2001). No Wikipedia article or other independent biography was located; this row is built from the film credits alone.</t>
        </is>
      </c>
      <c r="T75" s="5" t="inlineStr">
        <is>
          <t>SOURCE-036; SOURCE-042</t>
        </is>
      </c>
      <c r="U75" s="5" t="inlineStr">
        <is>
          <t>Low</t>
        </is>
      </c>
    </row>
    <row r="76" ht="154" customHeight="1">
      <c r="A76" s="15" t="inlineStr">
        <is>
          <t>PERSON-075</t>
        </is>
      </c>
      <c r="B76" s="5" t="inlineStr">
        <is>
          <t>Raj Kanwar</t>
        </is>
      </c>
      <c r="C76" s="5" t="inlineStr">
        <is>
          <t>Director</t>
        </is>
      </c>
      <c r="D76" s="17" t="n">
        <v>1961</v>
      </c>
      <c r="E76" s="17" t="n">
        <v>2012</v>
      </c>
      <c r="F76" s="5" t="n"/>
      <c r="G76" s="5" t="inlineStr">
        <is>
          <t>Hindi</t>
        </is>
      </c>
      <c r="H76" s="5" t="inlineStr">
        <is>
          <t>Began by directing plays in Delhi, then worked in Mumbai as an assistant to Shekhar Kapur and Raj Kumar Santoshi.</t>
        </is>
      </c>
      <c r="I76" s="5" t="inlineStr">
        <is>
          <t>Directorial debut Deewana (1992), a blockbuster that marked Shah Rukh Khan's screen debut.</t>
        </is>
      </c>
      <c r="J76" s="5" t="inlineStr">
        <is>
          <t>Deewana (1992); Laadla (1994); Jaan (1996); Jeet (1996); Judaai (1997); Daag: The Fire (1999); Badal (2000); Andaaz (2003); Sadiyaan (2010)</t>
        </is>
      </c>
      <c r="K76" s="19" t="inlineStr">
        <is>
          <t>Mainstream romantic and family melodramas; most of his lead characters are named Karan and Kajal.</t>
        </is>
      </c>
      <c r="L76" s="19" t="inlineStr">
        <is>
          <t>Commercial melodrama with strong song-driven romance.</t>
        </is>
      </c>
      <c r="M76" s="5" t="n"/>
      <c r="N76" s="19" t="inlineStr">
        <is>
          <t>Launched Shah Rukh Khan's film career with Deewana and cast Lara Dutta and Priyanka Chopra early in theirs in Andaaz.</t>
        </is>
      </c>
      <c r="O76" s="19" t="inlineStr">
        <is>
          <t>Directed Khan's first released film, Deewana, and later gave him a special appearance as Rahul Khanna in Har Dil Jo Pyar Karega.</t>
        </is>
      </c>
      <c r="P76" s="17" t="n">
        <v>2</v>
      </c>
      <c r="Q76" s="5" t="inlineStr">
        <is>
          <t>FILM-001; FILM-036</t>
        </is>
      </c>
      <c r="R76" s="5" t="inlineStr">
        <is>
          <t>Deewana (1992)</t>
        </is>
      </c>
      <c r="S76" s="5" t="inlineStr">
        <is>
          <t>Raj Kanwar was born on 28 June 1961 and educated at Col. Brown Cambridge School in Dehradun. He began his career directing plays in Delhi before moving to Mumbai, where he assisted Shekhar Kapur and Raj Kumar Santoshi. His directorial debut, Deewana (1992), became a box-office blockbuster and introduced Shah Rukh Khan to film audiences as Raja, the persistent second husband of Divya Bharti's widowed heroine. Kanwar followed it with a string of commercial hits, including Laadla (1994), Jaan (1996), Jeet (1996), Judaai (1997), Daag: The Fire (1999) and Badal (2000), and he cast Lara Dutta and Priyanka Chopra in Andaaz (2003). Most of the lead characters in his films were named Karan and Kajal. His brother was the filmmaker K. Pappu, and his sons Karan Raj Kanwar and Abhay Kanwar have worked as directors and producers. His final film was Sadiyaan (2010). He died of a kidney ailment in Singapore on 3 February 2012. His second film with Khan, Har Dil Jo Pyar Karega (2000), a Salman Khan comedy, used Khan only in a closing special appearance.</t>
        </is>
      </c>
      <c r="T76" s="5" t="inlineStr">
        <is>
          <t>SOURCE-112; SOURCE-004</t>
        </is>
      </c>
      <c r="U76" s="5" t="inlineStr">
        <is>
          <t>Medium</t>
        </is>
      </c>
    </row>
    <row r="77" ht="109" customHeight="1">
      <c r="A77" s="15" t="inlineStr">
        <is>
          <t>PERSON-076</t>
        </is>
      </c>
      <c r="B77" s="5" t="inlineStr">
        <is>
          <t>Rajiv Mehra</t>
        </is>
      </c>
      <c r="C77" s="5" t="inlineStr">
        <is>
          <t>Director; screenwriter</t>
        </is>
      </c>
      <c r="D77" s="20" t="n"/>
      <c r="E77" s="20" t="n"/>
      <c r="F77" s="5" t="n"/>
      <c r="G77" s="5" t="inlineStr">
        <is>
          <t>Hindi</t>
        </is>
      </c>
      <c r="H77" s="5" t="inlineStr">
        <is>
          <t>Not documented in the sources consulted; no Wikipedia biography was available.</t>
        </is>
      </c>
      <c r="I77" s="5" t="n"/>
      <c r="J77" s="5" t="inlineStr">
        <is>
          <t>Chamatkar (1992); Ram Jaane (1995)</t>
        </is>
      </c>
      <c r="K77" s="19" t="inlineStr">
        <is>
          <t>Both collaborations pair fantasy or crime premises with moral redemption.</t>
        </is>
      </c>
      <c r="L77" s="19" t="n"/>
      <c r="M77" s="5" t="n"/>
      <c r="N77" s="19" t="n"/>
      <c r="O77" s="19" t="inlineStr">
        <is>
          <t>Directed Khan in the ghost comedy Chamatkar and the gangster drama Ram Jaane, both produced by Parvesh C. Mehra.</t>
        </is>
      </c>
      <c r="P77" s="17" t="n">
        <v>2</v>
      </c>
      <c r="Q77" s="5" t="inlineStr">
        <is>
          <t>FILM-002; FILM-017</t>
        </is>
      </c>
      <c r="R77" s="5" t="inlineStr">
        <is>
          <t>Ram Jaane (1995)</t>
        </is>
      </c>
      <c r="S77" s="5" t="inlineStr">
        <is>
          <t>No standalone biography of Rajiv Mehra was available, so this entry rests on the articles for his two films with Shah Rukh Khan. He directed and co-wrote Chamatkar (1992), a ghost comedy loosely adapted from Blackbeard's Ghost in which Khan plays a naive village graduate helped by the ghost of a gangster, played by Naseeruddin Shah. The Ram Jaane article notes that Chamatkar was an average box-office performer. Mehra reunited with Khan for Ram Jaane (1995), a gangster drama borrowing its premise from Angels with Dirty Faces and the Bengali film Purushottam, in which Khan plays a nameless boy who grows up to be a criminal; it was a hit. Both films were produced by Parvesh C. Mehra.</t>
        </is>
      </c>
      <c r="T77" s="5" t="inlineStr">
        <is>
          <t>SOURCE-005; SOURCE-020</t>
        </is>
      </c>
      <c r="U77" s="5" t="inlineStr">
        <is>
          <t>Low</t>
        </is>
      </c>
    </row>
    <row r="78" ht="94" customHeight="1">
      <c r="A78" s="15" t="inlineStr">
        <is>
          <t>PERSON-077</t>
        </is>
      </c>
      <c r="B78" s="5" t="inlineStr">
        <is>
          <t>Ram Sampath</t>
        </is>
      </c>
      <c r="C78" s="5" t="inlineStr">
        <is>
          <t>Song composer; music producer</t>
        </is>
      </c>
      <c r="D78" s="17" t="n">
        <v>1977</v>
      </c>
      <c r="E78" s="20" t="n"/>
      <c r="F78" s="5" t="inlineStr">
        <is>
          <t>1997–2017, 2023–present</t>
        </is>
      </c>
      <c r="G78" s="5" t="inlineStr">
        <is>
          <t>Hindi</t>
        </is>
      </c>
      <c r="H78" s="5" t="inlineStr">
        <is>
          <t>Began composing advertising jingles in Mumbai for brands including Airtel, Docomo, Thums Up and Pepsi; composed pop albums such as Shaan's Tanha Dil (2000); married to the singer Sona Mohapatra.</t>
        </is>
      </c>
      <c r="I78" s="5" t="n"/>
      <c r="J78" s="5" t="inlineStr">
        <is>
          <t>Tanha Dil (2000); Khakee (2004); Delhi Belly (2011); Talaash (2012); Bhoothnath Returns (2014); Raees (2017)</t>
        </is>
      </c>
      <c r="K78" s="19" t="n"/>
      <c r="L78" s="19" t="n"/>
      <c r="M78" s="5" t="inlineStr">
        <is>
          <t>Filmfare nomination</t>
        </is>
      </c>
      <c r="N78" s="19" t="n"/>
      <c r="O78" s="19" t="inlineStr">
        <is>
          <t>Contributed songs to Bhoothnath Returns and composed Raees, whose soundtrack drew over 1.6 billion YouTube streams.</t>
        </is>
      </c>
      <c r="P78" s="17" t="n">
        <v>2</v>
      </c>
      <c r="Q78" s="5" t="inlineStr">
        <is>
          <t>FILM-080; FILM-086</t>
        </is>
      </c>
      <c r="R78" s="5" t="inlineStr">
        <is>
          <t>Raees (2017)</t>
        </is>
      </c>
      <c r="S78" s="5" t="inlineStr">
        <is>
          <t>Ram Sampath, born on 25 July 1977, is a composer, music producer and musician who started out writing advertising jingles in Mumbai for brands such as Airtel, Docomo, Thums Up, Pepsi and The Times of India. He moved on to pop albums, including Shaan's Tanha Dil (2000), and then to films such as Khakee, Delhi Belly (2011) and Talaash (2012). He is married to the singer Sona Mohapatra. For Shah Rukh Khan's films he was one of the composers of Bhoothnath Returns (2014) and composed Raees (2017) with JAM8; the Raees article reports that its soundtrack received over 1.6 billion streams on YouTube.</t>
        </is>
      </c>
      <c r="T78" s="5" t="inlineStr">
        <is>
          <t>SOURCE-179; SOURCE-089</t>
        </is>
      </c>
      <c r="U78" s="5" t="inlineStr">
        <is>
          <t>Medium</t>
        </is>
      </c>
    </row>
    <row r="79" ht="109" customHeight="1">
      <c r="A79" s="15" t="inlineStr">
        <is>
          <t>PERSON-078</t>
        </is>
      </c>
      <c r="B79" s="5" t="inlineStr">
        <is>
          <t>Ranjit Barot</t>
        </is>
      </c>
      <c r="C79" s="5" t="inlineStr">
        <is>
          <t>Composer; drummer; arranger</t>
        </is>
      </c>
      <c r="D79" s="17" t="n">
        <v>1959</v>
      </c>
      <c r="E79" s="20" t="n"/>
      <c r="F79" s="5" t="inlineStr">
        <is>
          <t>1980–present</t>
        </is>
      </c>
      <c r="G79" s="5" t="inlineStr">
        <is>
          <t>Hindi</t>
        </is>
      </c>
      <c r="H79" s="5" t="inlineStr">
        <is>
          <t>Son of the Kathak dancer Sitara Devi; a drummer, arranger and producer for R. D. Burman, Laxmikant–Pyarelal, Kalyanji–Anandji, Anu Malik and Ismail Darbar, and a longtime associate of A. R. Rahman.</t>
        </is>
      </c>
      <c r="I79" s="5" t="n"/>
      <c r="J79" s="5" t="inlineStr">
        <is>
          <t>Oh Darling! Yeh Hai India! (1995, songs); Aks (2001, score); Main Hoon Na (2004, score); John McLaughlin's Floating Point (drummer)</t>
        </is>
      </c>
      <c r="K79" s="19" t="n"/>
      <c r="L79" s="19" t="inlineStr">
        <is>
          <t>Percussion-led, drawing on Indian classical, jazz and global drumming traditions.</t>
        </is>
      </c>
      <c r="M79" s="5" t="inlineStr">
        <is>
          <t>Filmfare Award for Best Background Score (Aks)</t>
        </is>
      </c>
      <c r="N79" s="19" t="inlineStr">
        <is>
          <t>Described by John McLaughlin as one of the 'leading edges' in drumming.</t>
        </is>
      </c>
      <c r="O79" s="19" t="inlineStr">
        <is>
          <t>Composed the songs for Oh Darling! Yeh Hai India! and the background score for Main Hoon Na.</t>
        </is>
      </c>
      <c r="P79" s="17" t="n">
        <v>2</v>
      </c>
      <c r="Q79" s="5" t="inlineStr">
        <is>
          <t>FILM-015; FILM-049</t>
        </is>
      </c>
      <c r="R79" s="5" t="inlineStr">
        <is>
          <t>Main Hoon Na (2004)</t>
        </is>
      </c>
      <c r="S79" s="5" t="inlineStr">
        <is>
          <t>Ranjit Barot, born in 1959 into a family of Indian musicians and dancers, is the son of the Kathak dancer Sitara Devi. He began his career in the 1980s as a drummer, arranger and producer for R. D. Burman, Laxmikant–Pyarelal, Kalyanji–Anandji, U. Srinivas, L. Subramaniam, Anu Malik and Ismail Darbar, and is a longtime associate of A. R. Rahman. Abroad he has performed with John McLaughlin, who has called him one of the 'leading edges' in drumming, and he played on McLaughlin's Grammy-nominated album Floating Point. He won the Filmfare Award for Best Background Score for Aks (2001). For Shah Rukh Khan he composed the songs of Ketan Mehta's musical parody Oh Darling! Yeh Hai India! (1995) and the background score of Main Hoon Na (2004).</t>
        </is>
      </c>
      <c r="T79" s="5" t="inlineStr">
        <is>
          <t>SOURCE-132; SOURCE-052</t>
        </is>
      </c>
      <c r="U79" s="5" t="inlineStr">
        <is>
          <t>Medium</t>
        </is>
      </c>
    </row>
    <row r="80" ht="169" customHeight="1">
      <c r="A80" s="15" t="inlineStr">
        <is>
          <t>PERSON-079</t>
        </is>
      </c>
      <c r="B80" s="5" t="inlineStr">
        <is>
          <t>Rohit Shetty</t>
        </is>
      </c>
      <c r="C80" s="5" t="inlineStr">
        <is>
          <t>Director; producer; stunt director (Rohit Shetty Productions)</t>
        </is>
      </c>
      <c r="D80" s="17" t="n">
        <v>1974</v>
      </c>
      <c r="E80" s="20" t="n"/>
      <c r="F80" s="5" t="inlineStr">
        <is>
          <t>1991–present</t>
        </is>
      </c>
      <c r="G80" s="5" t="inlineStr">
        <is>
          <t>Hindi</t>
        </is>
      </c>
      <c r="H80" s="5" t="inlineStr">
        <is>
          <t>Son of the stuntman M. B. Shetty; began as a stuntman before directing.</t>
        </is>
      </c>
      <c r="I80" s="5" t="inlineStr">
        <is>
          <t>Zameen (2003); breakthrough with Golmaal (2006).</t>
        </is>
      </c>
      <c r="J80" s="5" t="inlineStr">
        <is>
          <t>Zameen (2003); Golmaal series (2006–2017); Singham (2011); Bol Bachchan (2012); Chennai Express (2013); Singham Returns (2014); Dilwale (2015); Simmba (2018); Sooryavanshi (2021)</t>
        </is>
      </c>
      <c r="K80" s="19" t="inlineStr">
        <is>
          <t>Action comedy, masala spectacle, car stunts and his 'Cop Universe' franchise.</t>
        </is>
      </c>
      <c r="L80" s="19" t="inlineStr">
        <is>
          <t>High-energy commercial entertainment with elaborate vehicle stunts.</t>
        </is>
      </c>
      <c r="M80" s="5" t="n"/>
      <c r="N80" s="19" t="inlineStr">
        <is>
          <t>One of the most commercially successful directors of the 2010s; Chennai Express became the highest-grossing Hindi film at the time.</t>
        </is>
      </c>
      <c r="O80" s="19" t="inlineStr">
        <is>
          <t>Directed Khan's two action comedies, Chennai Express and Dilwale, the second co-produced by Shetty with Red Chillies Entertainment.</t>
        </is>
      </c>
      <c r="P80" s="17" t="n">
        <v>2</v>
      </c>
      <c r="Q80" s="5" t="inlineStr">
        <is>
          <t>FILM-079; FILM-082</t>
        </is>
      </c>
      <c r="R80" s="5" t="inlineStr">
        <is>
          <t>Chennai Express (2013)</t>
        </is>
      </c>
      <c r="S80" s="5" t="inlineStr">
        <is>
          <t>Rohit Shetty, born on 14 March 1974 and the son of the stuntman M. B. Shetty, is a director, producer and stuntman whose films mix action comedy with masala spectacle. After his debut thriller Zameen (2003) he broke through with the comedy Golmaal (2006), whose sequels each ranked among the highest-grossing films of their years, and he built the Cop Universe with Singham (2011), Singham Returns (2014), Simmba (2018) and Sooryavanshi (2021). His other hits include All the Best (2009) and Bol Bachchan (2012). He has hosted the stunt show Fear Factor: Khatron Ke Khiladi since 2014. With Shah Rukh Khan he made Chennai Express (2013), an action comedy in which Khan's reluctant hero helps a crime boss's daughter escape a forced marriage; it opens with a spoof of the train scene from Dilwale Dulhania Le Jayenge and became, at the time, the highest-grossing Hindi film ever. Shetty then co-produced and directed Dilwale (2015), reuniting Khan and Kajol as lovers torn apart by warring gangster fathers. Critics praised the stars' chemistry but not the screenplay; the film was nonetheless a commercial success.</t>
        </is>
      </c>
      <c r="T80" s="5" t="inlineStr">
        <is>
          <t>SOURCE-178; SOURCE-082; SOURCE-085</t>
        </is>
      </c>
      <c r="U80" s="5" t="inlineStr">
        <is>
          <t>Medium</t>
        </is>
      </c>
    </row>
    <row r="81" ht="109" customHeight="1">
      <c r="A81" s="15" t="inlineStr">
        <is>
          <t>PERSON-080</t>
        </is>
      </c>
      <c r="B81" s="5" t="inlineStr">
        <is>
          <t>Rumi Jaffery</t>
        </is>
      </c>
      <c r="C81" s="5" t="inlineStr">
        <is>
          <t>Writer</t>
        </is>
      </c>
      <c r="D81" s="20" t="n"/>
      <c r="E81" s="20" t="n"/>
      <c r="F81" s="5" t="inlineStr">
        <is>
          <t>1986–present</t>
        </is>
      </c>
      <c r="G81" s="5" t="inlineStr">
        <is>
          <t>Hindi cinema</t>
        </is>
      </c>
      <c r="H81" s="5" t="inlineStr">
        <is>
          <t>A Bhopal-born Hindi-film writer and director, son of the poet Kausar Siddiqui, who has worked in theatre since the age of ten.</t>
        </is>
      </c>
      <c r="I81" s="5" t="inlineStr">
        <is>
          <t>Writer on Paayal (1992); directorial debut God Tussi Great Ho (2008).</t>
        </is>
      </c>
      <c r="J81" s="5" t="inlineStr">
        <is>
          <t>With Khan: Anjaam (1994), Har Dil Jo Pyar Karega (2000). Wider work: Coolie No. 1, Hero No. 1, Biwi No.1 (writer, with David Dhawan); Life Partner, Gali Gali Chor Hai, Chehre (director).</t>
        </is>
      </c>
      <c r="K81" s="19" t="inlineStr">
        <is>
          <t>Mainstream comedy, most of it for David Dhawan.</t>
        </is>
      </c>
      <c r="L81" s="19" t="n"/>
      <c r="M81" s="5" t="n"/>
      <c r="N81" s="19" t="n"/>
      <c r="O81" s="19" t="inlineStr">
        <is>
          <t>Two writing credits: Rahul Rawail's Anjaam, with Khan as an obsessive stalker, and Raj Kanwar's Har Dil Jo Pyar Karega, in which Khan makes a cameo.</t>
        </is>
      </c>
      <c r="P81" s="17" t="n">
        <v>2</v>
      </c>
      <c r="Q81" s="5" t="inlineStr">
        <is>
          <t>FILM-011; FILM-036</t>
        </is>
      </c>
      <c r="R81" s="5" t="inlineStr">
        <is>
          <t>Anjaam (1994)</t>
        </is>
      </c>
      <c r="S81" s="5" t="inlineStr">
        <is>
          <t>Rumi Jaffery moved from Bhopal to Bombay and debuted as a writer with Paayal (1992). He became known for the comedies he wrote with David Dhawan, including Coolie No. 1, Hero No. 1 and Biwi No.1, and wrote more than fifty scripts before directing God Tussi Great Ho (2008), Life Partner, Gali Gali Chor Hai and Chehre. Early in his writing career he worked on Anjaam (1994), Rahul Rawail's thriller in which Shah Rukh Khan plays an obsessive millionaire who destroys the life of the woman he pursues, played by Madhuri Dixit, and later on Har Dil Jo Pyar Karega (2000), a hit in which Khan makes a cameo. The sources disagree on his birth year (1966 in the infobox, 1974 in the article description), so it is left blank.</t>
        </is>
      </c>
      <c r="T81" s="5" t="inlineStr">
        <is>
          <t>SOURCE-201; SOURCE-014; SOURCE-039</t>
        </is>
      </c>
      <c r="U81" s="5" t="inlineStr">
        <is>
          <t>Medium</t>
        </is>
      </c>
    </row>
    <row r="82" ht="139" customHeight="1">
      <c r="A82" s="15" t="inlineStr">
        <is>
          <t>PERSON-081</t>
        </is>
      </c>
      <c r="B82" s="5" t="inlineStr">
        <is>
          <t>Sajid Nadiadwala</t>
        </is>
      </c>
      <c r="C82" s="5" t="inlineStr">
        <is>
          <t>Producer; director; screenwriter (Nadiadwala Grandson Entertainment)</t>
        </is>
      </c>
      <c r="D82" s="17" t="n">
        <v>1966</v>
      </c>
      <c r="E82" s="20" t="n"/>
      <c r="F82" s="5" t="inlineStr">
        <is>
          <t>1992–present</t>
        </is>
      </c>
      <c r="G82" s="5" t="inlineStr">
        <is>
          <t>Hindi</t>
        </is>
      </c>
      <c r="H82" s="5" t="inlineStr">
        <is>
          <t>Grandson of the producer Abdul Karim Nadiadwala; assistant director to J. P. Dutta on Ghulami before founding Nadiadwala Grandson Entertainment at 25.</t>
        </is>
      </c>
      <c r="I82" s="5" t="inlineStr">
        <is>
          <t>First production: Zulm Ki Hukumat (1992).</t>
        </is>
      </c>
      <c r="J82" s="5" t="inlineStr">
        <is>
          <t>Jeet (1996); Judwaa (1997); Har Dil Jo Pyar Karega (2000); Mujhse Shaadi Karogi (2004); Heyy Babyy (2007); Housefull (2010); Kick (2014, director); Baaghi (2016)</t>
        </is>
      </c>
      <c r="K82" s="19" t="inlineStr">
        <is>
          <t>Mainstream comedies and action films, often starring Salman Khan or Akshay Kumar.</t>
        </is>
      </c>
      <c r="L82" s="19" t="n"/>
      <c r="M82" s="5" t="n"/>
      <c r="N82" s="19" t="inlineStr">
        <is>
          <t>A prolific commercial producer whose franchises include Housefull and Baaghi; won a debut-director award for Kick.</t>
        </is>
      </c>
      <c r="O82" s="19" t="inlineStr">
        <is>
          <t>Produced two films featuring Khan in brief appearances: a closing role in Har Dil Jo Pyar Karega and a song cameo in Heyy Babyy.</t>
        </is>
      </c>
      <c r="P82" s="17" t="n">
        <v>2</v>
      </c>
      <c r="Q82" s="5" t="inlineStr">
        <is>
          <t>FILM-036; FILM-061</t>
        </is>
      </c>
      <c r="R82" s="5" t="inlineStr">
        <is>
          <t>Har Dil Jo Pyar Karega (2000)</t>
        </is>
      </c>
      <c r="S82" s="5" t="inlineStr">
        <is>
          <t>Sajid Nadiadwala, born on 18 February 1966, is the grandson of Abdul Karim Nadiadwala, who moved to Mumbai from Nadiad in 1955 and produced hundreds of films. After graduating he worked as an assistant director to J. P. Dutta on Ghulami and as a production assistant in his uncle's company, then founded Nadiadwala Grandson Entertainment at 25. His first production was Zulm Ki Hukumat (1992), and he brought Akshay Kumar and Suniel Shetty together in Waqt Hamara Hai (1993). He produced the Salman Khan hits Jeet (1996) and Judwaa (1997), followed by Har Dil Jo Pyar Karega (2000), in which Shah Rukh Khan makes a closing special appearance, and Mujhse Shaadi Karogi (2004). Khan also appears in a song in Sajid Khan's Heyy Babyy (2007), which Nadiadwala produced. His later films include Housefull (2010) and Baaghi (2016), and he won a debutant director award for Kick. His first wife, the actress Divya Bharti, Khan's co-star in Deewana, died in 1993.</t>
        </is>
      </c>
      <c r="T82" s="5" t="inlineStr">
        <is>
          <t>SOURCE-152; SOURCE-064</t>
        </is>
      </c>
      <c r="U82" s="5" t="inlineStr">
        <is>
          <t>Medium</t>
        </is>
      </c>
    </row>
    <row r="83" ht="94" customHeight="1">
      <c r="A83" s="15" t="inlineStr">
        <is>
          <t>PERSON-082</t>
        </is>
      </c>
      <c r="B83" s="5" t="inlineStr">
        <is>
          <t>Sajid–Wajid</t>
        </is>
      </c>
      <c r="C83" s="5" t="inlineStr">
        <is>
          <t>Song composers (duo)</t>
        </is>
      </c>
      <c r="D83" s="20" t="n"/>
      <c r="E83" s="20" t="n"/>
      <c r="F83" s="5" t="inlineStr">
        <is>
          <t>1998–2020</t>
        </is>
      </c>
      <c r="G83" s="5" t="inlineStr">
        <is>
          <t>Hindi</t>
        </is>
      </c>
      <c r="H83" s="5" t="inlineStr">
        <is>
          <t>Brothers Sajid Khan and Wajid Khan, sons of the tabla player Sharafat Ali Khan; their maternal grandfather Ustad Faiyyaz Ahmed Khan received the Padma Shri.</t>
        </is>
      </c>
      <c r="I83" s="5" t="n"/>
      <c r="J83" s="5" t="inlineStr">
        <is>
          <t>Hum Tumhare Hain Sanam (2002); Kismat Konnection (2008, guest composition)</t>
        </is>
      </c>
      <c r="K83" s="19" t="inlineStr">
        <is>
          <t>Sufi-inflected Bollywood songs.</t>
        </is>
      </c>
      <c r="L83" s="19" t="n"/>
      <c r="M83" s="5" t="n"/>
      <c r="N83" s="19" t="inlineStr">
        <is>
          <t>A leading Bollywood composer duo until Wajid Khan's death on 1 June 2020; Sajid Khan has since worked solo.</t>
        </is>
      </c>
      <c r="O83" s="19" t="inlineStr">
        <is>
          <t>Contributed songs to Hum Tumhare Hain Sanam and a guest composition to Kismat Konnection, which Khan narrates.</t>
        </is>
      </c>
      <c r="P83" s="17" t="n">
        <v>2</v>
      </c>
      <c r="Q83" s="5" t="inlineStr">
        <is>
          <t>FILM-042; FILM-066</t>
        </is>
      </c>
      <c r="R83" s="5" t="inlineStr">
        <is>
          <t>Hum Tumhare Hain Sanam (2002)</t>
        </is>
      </c>
      <c r="S83" s="5" t="inlineStr">
        <is>
          <t>Sajid–Wajid were the Bollywood composer duo of the brothers Sajid Khan and Wajid Khan, sons of the tabla player Sharafat Ali Khan and grandsons, through their mother, of the Padma Shri recipient Ustad Faiyyaz Ahmed Khan. Active from 1998, they also wrote lyrics and background scores, and Wajid Khan sang some of their songs. Wajid Khan died on 1 June 2020, after which Sajid Khan continued as a solo artist. Their connection to Shah Rukh Khan's films is limited: they were among the composers of Hum Tumhare Hain Sanam (2002) and provided a guest composition for Aziz Mirza's Kismat Konnection (2008), which Khan narrates.</t>
        </is>
      </c>
      <c r="T83" s="5" t="inlineStr">
        <is>
          <t>SOURCE-155; SOURCE-045</t>
        </is>
      </c>
      <c r="U83" s="5" t="inlineStr">
        <is>
          <t>Medium</t>
        </is>
      </c>
    </row>
    <row r="84" ht="109" customHeight="1">
      <c r="A84" s="15" t="inlineStr">
        <is>
          <t>PERSON-083</t>
        </is>
      </c>
      <c r="B84" s="5" t="inlineStr">
        <is>
          <t>Samar Khan</t>
        </is>
      </c>
      <c r="C84" s="5" t="inlineStr">
        <is>
          <t>Director; screenwriter</t>
        </is>
      </c>
      <c r="D84" s="20" t="n"/>
      <c r="E84" s="20" t="n"/>
      <c r="F84" s="5" t="n"/>
      <c r="G84" s="5" t="inlineStr">
        <is>
          <t>Hindi</t>
        </is>
      </c>
      <c r="H84" s="5" t="inlineStr">
        <is>
          <t>Not documented in the sources consulted; no Wikipedia biography was available.</t>
        </is>
      </c>
      <c r="I84" s="5" t="n"/>
      <c r="J84" s="5" t="inlineStr">
        <is>
          <t>Kuchh Meetha Ho Jaye (2005); Shaurya (2008)</t>
        </is>
      </c>
      <c r="K84" s="19" t="n"/>
      <c r="L84" s="19" t="n"/>
      <c r="M84" s="5" t="n"/>
      <c r="N84" s="19" t="n"/>
      <c r="O84" s="19" t="inlineStr">
        <is>
          <t>Directed two films in which Khan contributes briefly: a cameo as himself in Kuchh Meetha Ho Jaye and the voice-over narration of Shaurya.</t>
        </is>
      </c>
      <c r="P84" s="17" t="n">
        <v>2</v>
      </c>
      <c r="Q84" s="5" t="inlineStr">
        <is>
          <t>FILM-052; FILM-063</t>
        </is>
      </c>
      <c r="R84" s="5" t="inlineStr">
        <is>
          <t>Shaurya (2008)</t>
        </is>
      </c>
      <c r="S84" s="5" t="inlineStr">
        <is>
          <t>No standalone biography of the director Samar Khan was available; the Wikipedia article under that name is about a different person. This entry rests on the articles for his two films with Shah Rukh Khan, both of which he directed and co-wrote. Kuchh Meetha Ho Jaye (2005), a romantic comedy starring Arshad Warsi and Mahima Chaudhry whose title comes from a Cadbury advertising tagline, features Khan as himself in a cameo. Shaurya (2008), a military courtroom drama produced by Moser Baer and based on the play Court Martial and the film A Few Good Men, features Khan's voice-over narration and was praised for the performances of Kay Kay Menon and Javed Jaffrey.</t>
        </is>
      </c>
      <c r="T84" s="5" t="inlineStr">
        <is>
          <t>SOURCE-055; SOURCE-066</t>
        </is>
      </c>
      <c r="U84" s="5" t="inlineStr">
        <is>
          <t>Low</t>
        </is>
      </c>
    </row>
    <row r="85" ht="109" customHeight="1">
      <c r="A85" s="15" t="inlineStr">
        <is>
          <t>PERSON-084</t>
        </is>
      </c>
      <c r="B85" s="5" t="inlineStr">
        <is>
          <t>Shibani Bathija</t>
        </is>
      </c>
      <c r="C85" s="5" t="inlineStr">
        <is>
          <t>Writer</t>
        </is>
      </c>
      <c r="D85" s="20" t="n"/>
      <c r="E85" s="20" t="n"/>
      <c r="F85" s="5" t="n"/>
      <c r="G85" s="5" t="inlineStr">
        <is>
          <t>Hindi cinema</t>
        </is>
      </c>
      <c r="H85" s="5" t="inlineStr">
        <is>
          <t>An Indian screenwriter who studied English at DePauw University and communications at San Francisco State, then worked in advertising with Sony.</t>
        </is>
      </c>
      <c r="I85" s="5" t="inlineStr">
        <is>
          <t>Fanaa (2006) and Kabhi Alvida Naa Kehna (2006).</t>
        </is>
      </c>
      <c r="J85" s="5" t="inlineStr">
        <is>
          <t>With Khan: Kabhi Alvida Naa Kehna (2006), My Name Is Khan (2010). Wider work: Fanaa, Kidnap.</t>
        </is>
      </c>
      <c r="K85" s="19" t="inlineStr">
        <is>
          <t>Romantic and social drama for Karan Johar and Yash Raj Films.</t>
        </is>
      </c>
      <c r="L85" s="19" t="n"/>
      <c r="M85" s="5" t="inlineStr">
        <is>
          <t>Filmfare nomination for Best Screenplay for Kabhi Alvida Naa Kehna, shared with Karan Johar.</t>
        </is>
      </c>
      <c r="N85" s="19" t="n"/>
      <c r="O85" s="19" t="inlineStr">
        <is>
          <t>Wrote both of Khan's films with Karan Johar in this period: Kabhi Alvida Naa Kehna, a drama about adultery between two unhappily married people, and My Name Is Khan, in which Khan plays a man with Asperger syndrome in post-9/11 America; the latter was a financial success.</t>
        </is>
      </c>
      <c r="P85" s="17" t="n">
        <v>2</v>
      </c>
      <c r="Q85" s="5" t="inlineStr">
        <is>
          <t>FILM-057; FILM-071</t>
        </is>
      </c>
      <c r="R85" s="5" t="inlineStr">
        <is>
          <t>My Name Is Khan (2010)</t>
        </is>
      </c>
      <c r="S85" s="5" t="inlineStr">
        <is>
          <t>Shibani Bathija moved from advertising into film after showing a script to Karan Johar, who passed it to Yash Raj Films. In 2006 she wrote two major releases: Kunal Kohli's Fanaa and Johar's Kabhi Alvida Naa Kehna. The latter cast Shah Rukh Khan as a bitter former footballer who falls for another man's wife, played by Rani Mukerji, and earned her a Filmfare Best Screenplay nomination with Johar. She then wrote Kidnap (2008) and Johar's My Name Is Khan (2010), in which Khan plays Rizwan, an autistic Muslim man who sets out to meet the American president after his stepson is killed in a hate crime. The film was a financial success, especially overseas.</t>
        </is>
      </c>
      <c r="T85" s="5" t="inlineStr">
        <is>
          <t>SOURCE-202; SOURCE-060; SOURCE-074</t>
        </is>
      </c>
      <c r="U85" s="5" t="inlineStr">
        <is>
          <t>Medium</t>
        </is>
      </c>
    </row>
    <row r="86" ht="94" customHeight="1">
      <c r="A86" s="15" t="inlineStr">
        <is>
          <t>PERSON-085</t>
        </is>
      </c>
      <c r="B86" s="5" t="inlineStr">
        <is>
          <t>Shridhar Raghavan</t>
        </is>
      </c>
      <c r="C86" s="5" t="inlineStr">
        <is>
          <t>Writer</t>
        </is>
      </c>
      <c r="D86" s="20" t="n"/>
      <c r="E86" s="20" t="n"/>
      <c r="F86" s="5" t="inlineStr">
        <is>
          <t>2000–present</t>
        </is>
      </c>
      <c r="G86" s="5" t="inlineStr">
        <is>
          <t>Hindi cinema</t>
        </is>
      </c>
      <c r="H86" s="5" t="inlineStr">
        <is>
          <t>An Indian screenwriter, brother of the director Sriram Raghavan, who became the principal screenwriter of the Yash Raj Spy Universe.</t>
        </is>
      </c>
      <c r="I86" s="5" t="inlineStr">
        <is>
          <t>Credits from 2000; National Award-winning screenplay for Apaharan (2005).</t>
        </is>
      </c>
      <c r="J86" s="5" t="inlineStr">
        <is>
          <t>With Khan: Pathaan (2023), Tiger 3 (2023). Wider work: Apaharan, War (2019), War 2 (2025), Alpha (2026).</t>
        </is>
      </c>
      <c r="K86" s="19" t="inlineStr">
        <is>
          <t>Espionage action thrillers.</t>
        </is>
      </c>
      <c r="L86" s="19" t="n"/>
      <c r="M86" s="5" t="inlineStr">
        <is>
          <t>National Film Award for Best Screenplay for Apaharan.</t>
        </is>
      </c>
      <c r="N86" s="19" t="n"/>
      <c r="O86" s="19" t="inlineStr">
        <is>
          <t>Wrote the two 2023 Spy Universe films in which Khan appears as Pathaan: the lead role in Pathaan, which marked his commercial comeback, and a cameo in Tiger 3.</t>
        </is>
      </c>
      <c r="P86" s="17" t="n">
        <v>2</v>
      </c>
      <c r="Q86" s="5" t="inlineStr">
        <is>
          <t>FILM-094; FILM-096</t>
        </is>
      </c>
      <c r="R86" s="5" t="inlineStr">
        <is>
          <t>Pathaan (2023)</t>
        </is>
      </c>
      <c r="S86" s="5" t="inlineStr">
        <is>
          <t>Shridhar Raghavan won the National Film Award for Best Screenplay for Apaharan (2005) and later became the main writer of Yash Raj Films' Spy Universe, scripting War (2019), Pathaan (2023), Tiger 3 (2023), War 2 (2025) and Alpha (2026). Pathaan, directed by Siddharth Anand, cast Shah Rukh Khan as an exiled Indian agent and was his first lead release in more than four years; it was a major commercial comeback. Raghavan wrote Khan into Maneesh Sharma's Tiger 3 the same year, where Pathaan appears in a cameo alongside Salman Khan's Tiger. He is the brother of Sriram Raghavan, the director of Johnny Gaddaar and Andhadhun.</t>
        </is>
      </c>
      <c r="T86" s="5" t="inlineStr">
        <is>
          <t>SOURCE-203; SOURCE-097; SOURCE-099</t>
        </is>
      </c>
      <c r="U86" s="5" t="inlineStr">
        <is>
          <t>Medium</t>
        </is>
      </c>
    </row>
    <row r="87" ht="109" customHeight="1">
      <c r="A87" s="15" t="inlineStr">
        <is>
          <t>PERSON-086</t>
        </is>
      </c>
      <c r="B87" s="5" t="inlineStr">
        <is>
          <t>Sippy Films</t>
        </is>
      </c>
      <c r="C87" s="5" t="inlineStr">
        <is>
          <t>Production banner</t>
        </is>
      </c>
      <c r="D87" s="20" t="n"/>
      <c r="E87" s="20" t="n"/>
      <c r="F87" s="5" t="n"/>
      <c r="G87" s="5" t="inlineStr">
        <is>
          <t>Hindi cinema</t>
        </is>
      </c>
      <c r="H87" s="5" t="inlineStr">
        <is>
          <t>A production banner credited on 2 films in this filmography, with no Wikipedia article of its own.</t>
        </is>
      </c>
      <c r="I87" s="5" t="n"/>
      <c r="J87" s="5" t="inlineStr">
        <is>
          <t>With Khan: Raju Ban Gaya Gentleman (1992) and Zamaana Deewana (1995).</t>
        </is>
      </c>
      <c r="K87" s="19" t="n"/>
      <c r="L87" s="19" t="n"/>
      <c r="M87" s="5" t="n"/>
      <c r="N87" s="19" t="n"/>
      <c r="O87" s="19" t="inlineStr">
        <is>
          <t>2 films with Khan, credited as production banner: Raju Ban Gaya Gentleman (1992), directed by Aziz Mirza, with Khan in the lead as Raj "Raju" Mathur; verdict: Commercial success. Zamaana Deewana (1995), directed by Ramesh Sippy, with Khan in the lead as Rahul Singh; verdict: Under-performed.</t>
        </is>
      </c>
      <c r="P87" s="17" t="n">
        <v>2</v>
      </c>
      <c r="Q87" s="5" t="inlineStr">
        <is>
          <t>FILM-003; FILM-013</t>
        </is>
      </c>
      <c r="R87" s="5" t="inlineStr">
        <is>
          <t>Raju Ban Gaya Gentleman (1992)</t>
        </is>
      </c>
      <c r="S87" s="5" t="inlineStr">
        <is>
          <t>Sippy Films is credited as production banner on Raju Ban Gaya Gentleman (1992) and Zamaana Deewana (1995). No Wikipedia article or other independent biography was located for the company; this row is built from the film credits alone.</t>
        </is>
      </c>
      <c r="T87" s="5" t="inlineStr">
        <is>
          <t>SOURCE-006; SOURCE-016</t>
        </is>
      </c>
      <c r="U87" s="5" t="inlineStr">
        <is>
          <t>Low</t>
        </is>
      </c>
    </row>
    <row r="88" ht="184" customHeight="1">
      <c r="A88" s="15" t="inlineStr">
        <is>
          <t>PERSON-087</t>
        </is>
      </c>
      <c r="B88" s="5" t="inlineStr">
        <is>
          <t>Subhash Ghai</t>
        </is>
      </c>
      <c r="C88" s="5" t="inlineStr">
        <is>
          <t>Director; producer; screenwriter (founder of Mukta Arts)</t>
        </is>
      </c>
      <c r="D88" s="17" t="n">
        <v>1945</v>
      </c>
      <c r="E88" s="20" t="n"/>
      <c r="F88" s="5" t="inlineStr">
        <is>
          <t>1967–present</t>
        </is>
      </c>
      <c r="G88" s="5" t="inlineStr">
        <is>
          <t>Hindi</t>
        </is>
      </c>
      <c r="H88" s="5" t="inlineStr">
        <is>
          <t>Actor turned filmmaker who became one of the most prominent Hindi directors of the 1980s and 1990s.</t>
        </is>
      </c>
      <c r="I88" s="5" t="inlineStr">
        <is>
          <t>Kalicharan (1976)</t>
        </is>
      </c>
      <c r="J88" s="5" t="inlineStr">
        <is>
          <t>Kalicharan (1976); Karz (1980); Hero (1983); Karma (1986); Ram Lakhan (1989); Saudagar (1991); Khalnayak (1993); Trimurti (1995, producer); Pardes (1997); Taal (1999)</t>
        </is>
      </c>
      <c r="K88" s="19" t="inlineStr">
        <is>
          <t>Iconic characters, divine justice and duty.</t>
        </is>
      </c>
      <c r="L88" s="19" t="inlineStr">
        <is>
          <t>Grand sets and dramatic climaxes.</t>
        </is>
      </c>
      <c r="M88" s="5" t="inlineStr">
        <is>
          <t>Filmfare Award for Best Director (Saudagar); National Film Award for Best Film on Other Social Issues (Iqbal, producer, 2006); IIFA Award for Outstanding Contribution to Indian Cinema (2015); Filmfare Award for Best Screenplay (Pardes)</t>
        </is>
      </c>
      <c r="N88" s="19" t="inlineStr">
        <is>
          <t>Founded Mukta Arts in 1982, which became a public company in 2000, and the film school Whistling Woods International in 2006.</t>
        </is>
      </c>
      <c r="O88" s="19" t="inlineStr">
        <is>
          <t>Produced Trimurti, Mukta Arts' first production, with Khan as the youngest brother, and directed him as the loyal immigrant hero of Pardes.</t>
        </is>
      </c>
      <c r="P88" s="17" t="n">
        <v>2</v>
      </c>
      <c r="Q88" s="5" t="inlineStr">
        <is>
          <t>FILM-018; FILM-026</t>
        </is>
      </c>
      <c r="R88" s="5" t="inlineStr">
        <is>
          <t>Pardes (1997)</t>
        </is>
      </c>
      <c r="S88" s="5" t="inlineStr">
        <is>
          <t>Subhash Ghai, born on 24 January 1945, was one of the most prominent Hindi filmmakers of the 1980s and 1990s, known for iconic characters, grand sets, dramatic climaxes and themes of divine justice and duty. His films include Kalicharan (1976), Karz (1980), Hero (1983), Karma (1986), Ram Lakhan (1989), Khalnayak (1993) and Taal (1999). He directed Dilip Kumar in Vidhaata, Karma and Saudagar, and won his only Filmfare Award for Best Director for Saudagar (1991). In 1982 he founded Mukta Arts, which went public in 2000; in 2006 he received the National Film Award for Best Film on Other Social Issues for producing Iqbal and founded the Mumbai film school Whistling Woods International. He received the IIFA Award for Outstanding Contribution to Indian Cinema in 2015. With Shah Rukh Khan he first worked as producer of the action drama Trimurti (1995), Mukta Arts' first production, directed by Mukul S. Anand. He then wrote, produced and directed the musical romance Pardes (1997), in which Khan plays a loyal foster son who protects his brother's fiancée, played by the newcomer Mahima Chaudhry. Pardes was one of the first major Bollywood successes in the United States and won Ghai the Filmfare Award for Best Screenplay.</t>
        </is>
      </c>
      <c r="T88" s="5" t="inlineStr">
        <is>
          <t>SOURCE-134; SOURCE-029</t>
        </is>
      </c>
      <c r="U88" s="5" t="inlineStr">
        <is>
          <t>Medium</t>
        </is>
      </c>
    </row>
    <row r="89" ht="49" customHeight="1">
      <c r="A89" s="15" t="inlineStr">
        <is>
          <t>PERSON-088</t>
        </is>
      </c>
      <c r="B89" s="5" t="inlineStr">
        <is>
          <t>Tanuj Tiku</t>
        </is>
      </c>
      <c r="C89" s="5" t="inlineStr">
        <is>
          <t>Background-score composer</t>
        </is>
      </c>
      <c r="D89" s="20" t="n"/>
      <c r="E89" s="20" t="n"/>
      <c r="F89" s="5" t="n"/>
      <c r="G89" s="5" t="inlineStr">
        <is>
          <t>Hindi</t>
        </is>
      </c>
      <c r="H89" s="5" t="inlineStr">
        <is>
          <t>Not documented; no Wikipedia biography was available.</t>
        </is>
      </c>
      <c r="I89" s="5" t="n"/>
      <c r="J89" s="5" t="inlineStr">
        <is>
          <t>Laal Singh Chaddha (2022, score); Tiger 3 (2023, score)</t>
        </is>
      </c>
      <c r="K89" s="19" t="n"/>
      <c r="L89" s="19" t="n"/>
      <c r="M89" s="5" t="n"/>
      <c r="N89" s="19" t="n"/>
      <c r="O89" s="19" t="inlineStr">
        <is>
          <t>Wrote the background scores for Laal Singh Chaddha and Tiger 3, both of which feature Khan in cameos.</t>
        </is>
      </c>
      <c r="P89" s="17" t="n">
        <v>2</v>
      </c>
      <c r="Q89" s="5" t="inlineStr">
        <is>
          <t>FILM-092; FILM-096</t>
        </is>
      </c>
      <c r="R89" s="5" t="inlineStr">
        <is>
          <t>Tiger 3 (2023)</t>
        </is>
      </c>
      <c r="S89" s="5" t="inlineStr">
        <is>
          <t>No standalone biography of Tanuj Tiku was available. The film articles credit him with the background scores of Laal Singh Chaddha (2022), Aamir Khan's remake of Forrest Gump, in which Shah Rukh Khan appears as his younger self, and Tiger 3 (2023), in which Khan appears as Pathaan. Pritam wrote the songs for both films.</t>
        </is>
      </c>
      <c r="T89" s="5" t="inlineStr">
        <is>
          <t>SOURCE-095; SOURCE-099</t>
        </is>
      </c>
      <c r="U89" s="5" t="inlineStr">
        <is>
          <t>Low</t>
        </is>
      </c>
    </row>
    <row r="90" ht="109" customHeight="1">
      <c r="A90" s="15" t="inlineStr">
        <is>
          <t>PERSON-089</t>
        </is>
      </c>
      <c r="B90" s="5" t="inlineStr">
        <is>
          <t>Uttam Singh</t>
        </is>
      </c>
      <c r="C90" s="5" t="inlineStr">
        <is>
          <t>Song composer; violinist</t>
        </is>
      </c>
      <c r="D90" s="17" t="n">
        <v>1948</v>
      </c>
      <c r="E90" s="20" t="n"/>
      <c r="F90" s="5" t="n"/>
      <c r="G90" s="5" t="inlineStr">
        <is>
          <t>Hindi</t>
        </is>
      </c>
      <c r="H90" s="5" t="inlineStr">
        <is>
          <t>A well-known violinist and music arranger, programmer and recordist for many Bollywood films; worked as a music assistant to Ilaiyaraaja in Tamil films before composing independently.</t>
        </is>
      </c>
      <c r="I90" s="5" t="n"/>
      <c r="J90" s="5" t="inlineStr">
        <is>
          <t>Dil To Pagal Hai (1997); Hum Tumhare Hain Sanam (2002)</t>
        </is>
      </c>
      <c r="K90" s="19" t="inlineStr">
        <is>
          <t>Semi-classical, classical and Punjabi folk influences.</t>
        </is>
      </c>
      <c r="L90" s="19" t="n"/>
      <c r="M90" s="5" t="inlineStr">
        <is>
          <t>Filmfare Award for Best Music Director (Dil To Pagal Hai)</t>
        </is>
      </c>
      <c r="N90" s="19" t="n"/>
      <c r="O90" s="19" t="inlineStr">
        <is>
          <t>Composed the songs for Yash Chopra's Dil To Pagal Hai, which won him the Filmfare Award, and was one of the composers of Hum Tumhare Hain Sanam.</t>
        </is>
      </c>
      <c r="P90" s="17" t="n">
        <v>2</v>
      </c>
      <c r="Q90" s="5" t="inlineStr">
        <is>
          <t>FILM-027; FILM-042</t>
        </is>
      </c>
      <c r="R90" s="5" t="inlineStr">
        <is>
          <t>Dil To Pagal Hai (1997)</t>
        </is>
      </c>
      <c r="S90" s="5" t="inlineStr">
        <is>
          <t>Uttam Singh, born on 25 May 1948 in Punjab, is a music director and well-known violinist who has also worked as a music arranger, programmer and recordist on many Bollywood films. He assisted Ilaiyaraaja on numerous Tamil films before establishing himself as a composer, working in Bollywood, semi-classical, classical and Punjabi folk styles. His best-known score is for Yash Chopra's Dil To Pagal Hai (1997), the romantic musical starring Shah Rukh Khan, Madhuri Dixit and Karisma Kapoor, with lyrics by Anand Bakshi. It won him the Filmfare Award for Best Music Director, one of the film's eight Filmfare wins. He was also among the several composers credited on Hum Tumhare Hain Sanam (2002).</t>
        </is>
      </c>
      <c r="T90" s="5" t="inlineStr">
        <is>
          <t>SOURCE-139; SOURCE-030</t>
        </is>
      </c>
      <c r="U90" s="5" t="inlineStr">
        <is>
          <t>Medium</t>
        </is>
      </c>
    </row>
    <row r="91" ht="154" customHeight="1">
      <c r="A91" s="15" t="inlineStr">
        <is>
          <t>PERSON-090</t>
        </is>
      </c>
      <c r="B91" s="5" t="inlineStr">
        <is>
          <t>UTV Motion Pictures</t>
        </is>
      </c>
      <c r="C91" s="5" t="inlineStr">
        <is>
          <t>Production and distribution studio</t>
        </is>
      </c>
      <c r="D91" s="20" t="n"/>
      <c r="E91" s="20" t="n"/>
      <c r="F91" s="5" t="inlineStr">
        <is>
          <t>1996–2017</t>
        </is>
      </c>
      <c r="G91" s="5" t="inlineStr">
        <is>
          <t>Hindi</t>
        </is>
      </c>
      <c r="H91" s="5" t="inlineStr">
        <is>
          <t>The feature-film unit of UTV Software Communications, founded in 1996 by Ronnie and Zarina Screwvala; known as Disney UTV in 2012–2013.</t>
        </is>
      </c>
      <c r="I91" s="5" t="n"/>
      <c r="J91" s="5" t="inlineStr">
        <is>
          <t>Swades (2004); Chennai Express (2013); Jagga Jasoos (2017)</t>
        </is>
      </c>
      <c r="K91" s="19" t="n"/>
      <c r="L91" s="19" t="n"/>
      <c r="M91" s="5" t="n"/>
      <c r="N91" s="19" t="inlineStr">
        <is>
          <t>One of India's leading film studios and a distributor of Disney films in India; it shut its Hindi film production in July 2017.</t>
        </is>
      </c>
      <c r="O91" s="19" t="inlineStr">
        <is>
          <t>Co-produced Swades with Ashutosh Gowariker and produced and distributed Chennai Express with Red Chillies Entertainment.</t>
        </is>
      </c>
      <c r="P91" s="17" t="n">
        <v>2</v>
      </c>
      <c r="Q91" s="5" t="inlineStr">
        <is>
          <t>FILM-051; FILM-079</t>
        </is>
      </c>
      <c r="R91" s="5" t="inlineStr">
        <is>
          <t>Chennai Express (2013)</t>
        </is>
      </c>
      <c r="S91" s="5" t="inlineStr">
        <is>
          <t>UTV Motion Pictures was the feature-film unit of UTV Software Communications, founded in 1996 by Ronnie Screwvala and Zarina Screwvala. It became one of India's leading film studios and one of the largest production studios in South Asia, with activities across development, production, marketing, distribution, licensing, merchandising and syndication. It partnered with Hollywood studios including 20th Century Studios, Walt Disney Pictures and Sony Pictures, distributed Disney's films in India, and operated as Disney UTV in 2012–2013. In July 2017, shortly after Jagga Jasoos, it stopped Hindi film production. With Shah Rukh Khan, UTV co-produced Ashutosh Gowariker's Swades (2004), which failed commercially but became a cult classic. It also produced and distributed Rohit Shetty's Chennai Express (2013) with Red Chillies Entertainment; Screwvala and Siddharth Roy Kapur are among its credited producers, and it became the highest-grossing Bollywood film at the time.</t>
        </is>
      </c>
      <c r="T91" s="5" t="inlineStr">
        <is>
          <t>SOURCE-163; SOURCE-082</t>
        </is>
      </c>
      <c r="U91" s="5" t="inlineStr">
        <is>
          <t>Medium</t>
        </is>
      </c>
    </row>
    <row r="92" ht="94" customHeight="1">
      <c r="A92" s="15" t="inlineStr">
        <is>
          <t>PERSON-091</t>
        </is>
      </c>
      <c r="B92" s="5" t="inlineStr">
        <is>
          <t>Vanraj Bhatia</t>
        </is>
      </c>
      <c r="C92" s="5" t="inlineStr">
        <is>
          <t>Background-score composer</t>
        </is>
      </c>
      <c r="D92" s="17" t="n">
        <v>1927</v>
      </c>
      <c r="E92" s="17" t="n">
        <v>2021</v>
      </c>
      <c r="F92" s="5" t="n"/>
      <c r="G92" s="5" t="inlineStr">
        <is>
          <t>Hindi</t>
        </is>
      </c>
      <c r="H92" s="5" t="inlineStr">
        <is>
          <t>One of India's leading composers of Western classical music and best known for his work in Indian New Wave cinema.</t>
        </is>
      </c>
      <c r="I92" s="5" t="n"/>
      <c r="J92" s="5" t="inlineStr">
        <is>
          <t>Tamas (TV film, 1988); Chamatkar (1992, score); Pardes (1997, score)</t>
        </is>
      </c>
      <c r="K92" s="19" t="inlineStr">
        <is>
          <t>New Wave film scoring and Western classical composition.</t>
        </is>
      </c>
      <c r="L92" s="19" t="n"/>
      <c r="M92" s="5" t="inlineStr">
        <is>
          <t>National Film Award for Best Music Direction (Tamas); Sangeet Natak Akademi Award (1989); Padma Shri (2012)</t>
        </is>
      </c>
      <c r="N92" s="19" t="inlineStr">
        <is>
          <t>A defining composer of India's New Wave cinema.</t>
        </is>
      </c>
      <c r="O92" s="19" t="inlineStr">
        <is>
          <t>Wrote the background scores for Chamatkar and Pardes.</t>
        </is>
      </c>
      <c r="P92" s="17" t="n">
        <v>2</v>
      </c>
      <c r="Q92" s="5" t="inlineStr">
        <is>
          <t>FILM-002; FILM-026</t>
        </is>
      </c>
      <c r="R92" s="5" t="inlineStr">
        <is>
          <t>Pardes (1997)</t>
        </is>
      </c>
      <c r="S92" s="5" t="inlineStr">
        <is>
          <t>Vanraj Bhatia (31 May 1927 – 7 May 2021) was an Indian composer best known for his work in Indian New Wave cinema and one of the country's leading composers of Western classical music. He won the National Film Award for Best Music Direction for the television film Tamas (1988), the Sangeet Natak Akademi Award for Creative and Experimental Music (1989) and the Padma Shri (2012). He also wrote background scores for mainstream films, including two for Shah Rukh Khan: the ghost comedy Chamatkar (1992), whose songs were by Anu Malik, and Subhash Ghai's Pardes (1997), whose songs were by Nadeem–Shravan. He died in Mumbai in May 2021.</t>
        </is>
      </c>
      <c r="T92" s="5" t="inlineStr">
        <is>
          <t>SOURCE-115; SOURCE-029</t>
        </is>
      </c>
      <c r="U92" s="5" t="inlineStr">
        <is>
          <t>Medium</t>
        </is>
      </c>
    </row>
    <row r="93" ht="124" customHeight="1">
      <c r="A93" s="15" t="inlineStr">
        <is>
          <t>PERSON-092</t>
        </is>
      </c>
      <c r="B93" s="5" t="inlineStr">
        <is>
          <t>Vivek Vaswani</t>
        </is>
      </c>
      <c r="C93" s="5" t="inlineStr">
        <is>
          <t>Producer; Writer</t>
        </is>
      </c>
      <c r="D93" s="20" t="n"/>
      <c r="E93" s="20" t="n"/>
      <c r="F93" s="5" t="inlineStr">
        <is>
          <t>1984–present</t>
        </is>
      </c>
      <c r="G93" s="5" t="inlineStr">
        <is>
          <t>Hindi cinema</t>
        </is>
      </c>
      <c r="H93" s="5" t="inlineStr">
        <is>
          <t>An actor, writer and producer, and later dean of Pearl Academy, who started in India's first television soap opera, Khandaan, and produced films at Sippy Films alongside G. P. Sippy.</t>
        </is>
      </c>
      <c r="I93" s="5" t="inlineStr">
        <is>
          <t>Acted in Khandaan; produced the Marathi film Kis Bai Kiss and the serial Nai Dishayen.</t>
        </is>
      </c>
      <c r="J93" s="5" t="inlineStr">
        <is>
          <t>With Khan: Raju Ban Gaya Gentleman (1992), Dulha Mil Gaya (2010). Wider work: Gawaahi, Patthar Ke Phool, Aatish: Feel the Fire.</t>
        </is>
      </c>
      <c r="K93" s="19" t="inlineStr">
        <is>
          <t>Mainstream Sippy Films productions; minor acting roles in his own productions.</t>
        </is>
      </c>
      <c r="L93" s="19" t="n"/>
      <c r="M93" s="5" t="n"/>
      <c r="N93" s="19" t="inlineStr">
        <is>
          <t>His article credits him with launching Raveena Tandon and Shah Rukh Khan and giving early breaks to Sanjay Gupta and Sanjay Gadhvi.</t>
        </is>
      </c>
      <c r="O93" s="19" t="inlineStr">
        <is>
          <t>Close to Khan from his start in Bombay: Vaswani gave Khan a place to stay when he arrived as a hopeful actor, and co-produced Aziz Mirza's Raju Ban Gaya Gentleman (1992) with G. P. Sippy, an early Khan lead and a commercial success. He later produced Dulha Mil Gaya (2010) and wrote its story; Khan has an extended special appearance in it.</t>
        </is>
      </c>
      <c r="P93" s="17" t="n">
        <v>2</v>
      </c>
      <c r="Q93" s="5" t="inlineStr">
        <is>
          <t>FILM-003; FILM-070</t>
        </is>
      </c>
      <c r="R93" s="5" t="inlineStr">
        <is>
          <t>Raju Ban Gaya Gentleman (1992)</t>
        </is>
      </c>
      <c r="S93" s="5" t="inlineStr">
        <is>
          <t>Viveck Vaswani, credited in the films as Vivek Vaswani, started as an actor in Khandaan, India's first television soap opera, then produced the Marathi film Kis Bai Kiss, the serial Nai Dishayen and the film Gawaahi. At Sippy Films he co-produced Patthar Ke Phool, Raju Ban Gaya Gentleman and Aatish with G. P. Sippy, playing small roles in them as well. His article credits him with launching Raveena Tandon and Shah Rukh Khan, and records that he gave Khan a place to stay when he first came to Bombay. Raju Ban Gaya Gentleman (1992), which Vaswani co-produced, cast Khan as a small-town engineer trying to make it in the city and was a commercial success. He later produced Dulha Mil Gaya (2010) and wrote its story; Khan has an extended special appearance in it. He became dean of Pearl Academy and joined the Indian National Congress in 2024.</t>
        </is>
      </c>
      <c r="T93" s="5" t="inlineStr">
        <is>
          <t>SOURCE-204; SOURCE-006; SOURCE-073</t>
        </is>
      </c>
      <c r="U93" s="5" t="inlineStr">
        <is>
          <t>Medium</t>
        </is>
      </c>
    </row>
    <row r="94" ht="94" customHeight="1">
      <c r="A94" s="15" t="inlineStr">
        <is>
          <t>PERSON-093</t>
        </is>
      </c>
      <c r="B94" s="5" t="inlineStr">
        <is>
          <t>Yunus Sajawal</t>
        </is>
      </c>
      <c r="C94" s="5" t="inlineStr">
        <is>
          <t>Writer</t>
        </is>
      </c>
      <c r="D94" s="20" t="n"/>
      <c r="E94" s="20" t="n"/>
      <c r="F94" s="5" t="n"/>
      <c r="G94" s="5" t="inlineStr">
        <is>
          <t>Hindi cinema</t>
        </is>
      </c>
      <c r="H94" s="5" t="inlineStr">
        <is>
          <t>A writer credited on 2 films in this filmography, with no Wikipedia article of their own.</t>
        </is>
      </c>
      <c r="I94" s="5" t="n"/>
      <c r="J94" s="5" t="inlineStr">
        <is>
          <t>With Khan: Chennai Express (2013) and Dilwale (2015).</t>
        </is>
      </c>
      <c r="K94" s="19" t="n"/>
      <c r="L94" s="19" t="n"/>
      <c r="M94" s="5" t="n"/>
      <c r="N94" s="19" t="n"/>
      <c r="O94" s="19" t="inlineStr">
        <is>
          <t>2 films with Khan, credited as writer: Chennai Express (2013), directed by Rohit Shetty, with Khan in the lead as Rahul Mithaiwala. Dilwale (2015), directed by Rohit Shetty, with Khan in the lead as Raj "Kaali" Bakshi; verdict: Commercial success.</t>
        </is>
      </c>
      <c r="P94" s="17" t="n">
        <v>2</v>
      </c>
      <c r="Q94" s="5" t="inlineStr">
        <is>
          <t>FILM-079; FILM-082</t>
        </is>
      </c>
      <c r="R94" s="5" t="inlineStr">
        <is>
          <t>Dilwale (2015)</t>
        </is>
      </c>
      <c r="S94" s="5" t="inlineStr">
        <is>
          <t>Yunus Sajawal is credited as writer on Chennai Express (2013) and Dilwale (2015). No Wikipedia article or other independent biography was located; this row is built from the film credits alone.</t>
        </is>
      </c>
      <c r="T94" s="5" t="inlineStr">
        <is>
          <t>SOURCE-082; SOURCE-085</t>
        </is>
      </c>
      <c r="U94" s="5" t="inlineStr">
        <is>
          <t>Low</t>
        </is>
      </c>
    </row>
    <row r="95" ht="154" customHeight="1">
      <c r="A95" s="15" t="inlineStr">
        <is>
          <t>PERSON-094</t>
        </is>
      </c>
      <c r="B95" s="5" t="inlineStr">
        <is>
          <t>Zoya Akhtar</t>
        </is>
      </c>
      <c r="C95" s="5" t="inlineStr">
        <is>
          <t>Director; screenwriter; producer</t>
        </is>
      </c>
      <c r="D95" s="17" t="n">
        <v>1972</v>
      </c>
      <c r="E95" s="20" t="n"/>
      <c r="F95" s="5" t="inlineStr">
        <is>
          <t>1996–present</t>
        </is>
      </c>
      <c r="G95" s="5" t="inlineStr">
        <is>
          <t>Hindi</t>
        </is>
      </c>
      <c r="H95" s="5" t="inlineStr">
        <is>
          <t>Daughter of Javed Akhtar and Honey Irani; studied filmmaking at NYU and assisted Mira Nair, Tony Gerber and Dev Benegal.</t>
        </is>
      </c>
      <c r="I95" s="5" t="inlineStr">
        <is>
          <t>Directorial debut Luck by Chance (2009).</t>
        </is>
      </c>
      <c r="J95" s="5" t="inlineStr">
        <is>
          <t>Luck by Chance (2009); Zindagi Na Milegi Dobara (2011); Bombay Talkies (2013, segment); Dil Dhadakne Do (2015); Gully Boy (2019); Made in Heaven (2019–2023); Dahaad (2023)</t>
        </is>
      </c>
      <c r="K95" s="19" t="inlineStr">
        <is>
          <t>Privilege, ambition and relationships among urban Indians, including a satire of the film industry.</t>
        </is>
      </c>
      <c r="L95" s="19" t="inlineStr">
        <is>
          <t>Observational, character-led drama with ensemble casts.</t>
        </is>
      </c>
      <c r="M95" s="5" t="inlineStr">
        <is>
          <t>Four Filmfare Awards: Best Debut Director (Luck by Chance) and Best Director (Zindagi Na Milegi Dobara, Gully Boy)</t>
        </is>
      </c>
      <c r="N95" s="19" t="inlineStr">
        <is>
          <t>Co-founded Tiger Baby Films with Reema Kagti in 2015 and moved successfully into streaming series.</t>
        </is>
      </c>
      <c r="O95" s="19" t="inlineStr">
        <is>
          <t>Cast Khan as himself in both her Bollywood satire Luck by Chance, where he warns a rising actor about fame, and in the song for the centenary anthology Bombay Talkies.</t>
        </is>
      </c>
      <c r="P95" s="17" t="n">
        <v>2</v>
      </c>
      <c r="Q95" s="5" t="inlineStr">
        <is>
          <t>FILM-068; FILM-078</t>
        </is>
      </c>
      <c r="R95" s="5" t="inlineStr">
        <is>
          <t>Luck by Chance (2009)</t>
        </is>
      </c>
      <c r="S95" s="5" t="inlineStr">
        <is>
          <t>Zoya Akhtar, born on 14 October 1972 to Javed Akhtar and Honey Irani, completed a filmmaking diploma at New York University and assisted Mira Nair, Tony Gerber and Dev Benegal before becoming a writer and director. Her debut, Luck by Chance (2009), a satire of the Hindi film industry produced by her brother Farhan Akhtar's Excel Entertainment, won her the Filmfare Award for Best Debut Director and wide critical acclaim. More than a dozen stars play themselves in it, including Shah Rukh Khan, who warns Farhan Akhtar's rising actor about fame and urges him to stay close to his old friends. She broke through commercially with Zindagi Na Milegi Dobara (2011), which won her the Filmfare Award for Best Director, and won the award again for Gully Boy (2019). In between she directed Dil Dhadakne Do (2015) and a segment of Bombay Talkies (2013), the anthology celebrating a century of Indian cinema whose closing song features Khan among many stars. She co-founded Tiger Baby Films with Reema Kagti in 2015 and has made the series Made in Heaven and Dahaad.</t>
        </is>
      </c>
      <c r="T95" s="5" t="inlineStr">
        <is>
          <t>SOURCE-174; SOURCE-071</t>
        </is>
      </c>
      <c r="U95" s="5" t="inlineStr">
        <is>
          <t>Medium</t>
        </is>
      </c>
    </row>
    <row r="96" ht="64" customHeight="1">
      <c r="A96" s="15" t="inlineStr">
        <is>
          <t>PERSON-095</t>
        </is>
      </c>
      <c r="B96" s="5" t="inlineStr">
        <is>
          <t>27th Entertainment</t>
        </is>
      </c>
      <c r="C96" s="5" t="inlineStr">
        <is>
          <t>Production banner</t>
        </is>
      </c>
      <c r="D96" s="20" t="n"/>
      <c r="E96" s="20" t="n"/>
      <c r="F96" s="5" t="n"/>
      <c r="G96" s="5" t="inlineStr">
        <is>
          <t>Hindi cinema</t>
        </is>
      </c>
      <c r="H96" s="5" t="inlineStr">
        <is>
          <t>A production banner credited on one film in this filmography, with no Wikipedia article of its own.</t>
        </is>
      </c>
      <c r="I96" s="5" t="n"/>
      <c r="J96" s="5" t="inlineStr">
        <is>
          <t>With Khan: Rocketry: The Nambi Effect (2022).</t>
        </is>
      </c>
      <c r="K96" s="19" t="n"/>
      <c r="L96" s="19" t="n"/>
      <c r="M96" s="5" t="n"/>
      <c r="N96" s="19" t="n"/>
      <c r="O96" s="19" t="inlineStr">
        <is>
          <t>One film with Khan, credited as production banner: Rocketry: The Nambi Effect (2022), directed by R. Madhavan, with Khan in a self appearance.</t>
        </is>
      </c>
      <c r="P96" s="17" t="n">
        <v>1</v>
      </c>
      <c r="Q96" s="5" t="inlineStr">
        <is>
          <t>FILM-091</t>
        </is>
      </c>
      <c r="R96" s="5" t="inlineStr">
        <is>
          <t>Rocketry: The Nambi Effect (2022)</t>
        </is>
      </c>
      <c r="S96" s="5" t="inlineStr">
        <is>
          <t>27th Entertainment is credited as production banner on Rocketry: The Nambi Effect (2022). No Wikipedia article or other independent biography was located for the company; this row is built from the film credit alone.</t>
        </is>
      </c>
      <c r="T96" s="5" t="inlineStr">
        <is>
          <t>SOURCE-094</t>
        </is>
      </c>
      <c r="U96" s="5" t="inlineStr">
        <is>
          <t>Low</t>
        </is>
      </c>
    </row>
    <row r="97" ht="124" customHeight="1">
      <c r="A97" s="15" t="inlineStr">
        <is>
          <t>PERSON-096</t>
        </is>
      </c>
      <c r="B97" s="5" t="inlineStr">
        <is>
          <t>Aamir Khan</t>
        </is>
      </c>
      <c r="C97" s="5" t="inlineStr">
        <is>
          <t>Producer; actor</t>
        </is>
      </c>
      <c r="D97" s="17" t="n">
        <v>1965</v>
      </c>
      <c r="E97" s="20" t="n"/>
      <c r="F97" s="5" t="inlineStr">
        <is>
          <t>1973–present</t>
        </is>
      </c>
      <c r="G97" s="5" t="inlineStr">
        <is>
          <t>Hindi cinema</t>
        </is>
      </c>
      <c r="H97" s="5" t="inlineStr">
        <is>
          <t>One of the most prominent Hindi-film actors, known in the media as 'Mr. Perfectionist', and an increasingly active producer and director through Aamir Khan Productions.</t>
        </is>
      </c>
      <c r="I97" s="5" t="inlineStr">
        <is>
          <t>Child actor in Yaadon Ki Baaraat (1973); lead debut in Qayamat Se Qayamat Tak (1988).</t>
        </is>
      </c>
      <c r="J97" s="5" t="inlineStr">
        <is>
          <t>With Khan: Laal Singh Chaddha (2022). Wider work: Lagaan, Dil Chahta Hai, Taare Zameen Par, 3 Idiots, PK, Dangal.</t>
        </is>
      </c>
      <c r="K97" s="19" t="inlineStr">
        <is>
          <t>Socially themed mainstream films with long production cycles.</t>
        </is>
      </c>
      <c r="L97" s="19" t="n"/>
      <c r="M97" s="5" t="inlineStr">
        <is>
          <t>Nine Filmfare Awards, four National Film Awards, an AACTA Award; Padma Shri (2003), Padma Bhushan (2010).</t>
        </is>
      </c>
      <c r="N97" s="19" t="inlineStr">
        <is>
          <t>One of the three Khans who dominated Hindi stardom from the 1990s.</t>
        </is>
      </c>
      <c r="O97" s="19" t="inlineStr">
        <is>
          <t>One film: Khan appears as himself in Laal Singh Chaddha, Aamir Khan's remake of Forrest Gump, which Aamir also produced. The film was a commercial disaster. The two stars are near-contemporaries and long-standing rivals at the box office.</t>
        </is>
      </c>
      <c r="P97" s="17" t="n">
        <v>1</v>
      </c>
      <c r="Q97" s="5" t="inlineStr">
        <is>
          <t>FILM-092</t>
        </is>
      </c>
      <c r="R97" s="5" t="inlineStr">
        <is>
          <t>Laal Singh Chaddha (2022)</t>
        </is>
      </c>
      <c r="S97" s="5" t="inlineStr">
        <is>
          <t>Aamir Khan made his first screen appearance as a child in Yaadon Ki Baaraat (1973), directed by his uncle Nasir Hussain, and became a leading man with Qayamat Se Qayamat Tak (1988). Through the 1990s he and Shah Rukh Khan, together with Salman Khan, defined Hindi film stardom, and from Lagaan (2001) onward he built a reputation for socially themed blockbusters, among them Taare Zameen Par, 3 Idiots, PK and Dangal, while producing through Aamir Khan Productions. Their only collaboration in this filmography is Laal Singh Chaddha (2022), Aamir's adaptation of Forrest Gump, in which Shah Rukh Khan appears briefly as himself; Aamir starred in and co-produced the film, which was a commercial disaster. He has won nine Filmfare Awards and four National Film Awards.</t>
        </is>
      </c>
      <c r="T97" s="5" t="inlineStr">
        <is>
          <t>SOURCE-205; SOURCE-095</t>
        </is>
      </c>
      <c r="U97" s="5" t="inlineStr">
        <is>
          <t>High</t>
        </is>
      </c>
    </row>
    <row r="98" ht="94" customHeight="1">
      <c r="A98" s="15" t="inlineStr">
        <is>
          <t>PERSON-097</t>
        </is>
      </c>
      <c r="B98" s="5" t="inlineStr">
        <is>
          <t>Aamir Khan Productions</t>
        </is>
      </c>
      <c r="C98" s="5" t="inlineStr">
        <is>
          <t>Production banner</t>
        </is>
      </c>
      <c r="D98" s="20" t="n"/>
      <c r="E98" s="20" t="n"/>
      <c r="F98" s="5" t="n"/>
      <c r="G98" s="5" t="inlineStr">
        <is>
          <t>Hindi cinema</t>
        </is>
      </c>
      <c r="H98" s="5" t="inlineStr">
        <is>
          <t>Aamir Khan's production company, through which he has produced his own star vehicles and smaller films since 2001. Wikipedia has no separate article; the company's history is taken from Aamir Khan's article.</t>
        </is>
      </c>
      <c r="I98" s="5" t="inlineStr">
        <is>
          <t>Lagaan (2001).</t>
        </is>
      </c>
      <c r="J98" s="5" t="inlineStr">
        <is>
          <t>With Khan: Laal Singh Chaddha (2022). Wider work: Lagaan, Taare Zameen Par, Peepli Live, Dangal, Secret Superstar, Laapataa Ladies.</t>
        </is>
      </c>
      <c r="K98" s="19" t="inlineStr">
        <is>
          <t>Socially themed mainstream films.</t>
        </is>
      </c>
      <c r="L98" s="19" t="n"/>
      <c r="M98" s="5" t="n"/>
      <c r="N98" s="19" t="n"/>
      <c r="O98" s="19" t="inlineStr">
        <is>
          <t>One film: Laal Singh Chaddha, co-produced with Viacom18 Studios and Paramount Pictures, in which Khan appears as himself.</t>
        </is>
      </c>
      <c r="P98" s="17" t="n">
        <v>1</v>
      </c>
      <c r="Q98" s="5" t="inlineStr">
        <is>
          <t>FILM-092</t>
        </is>
      </c>
      <c r="R98" s="5" t="inlineStr">
        <is>
          <t>Laal Singh Chaddha (2022)</t>
        </is>
      </c>
      <c r="S98" s="5" t="inlineStr">
        <is>
          <t>Aamir Khan Productions is the company through which Aamir Khan has produced his films since Lagaan (2001), including Taare Zameen Par, Dangal and Secret Superstar, as well as films without him in the lead. Its only Shah Rukh Khan credit is Laal Singh Chaddha (2022), a co-production with Viacom18 Studios and Paramount Pictures and an adaptation of Forrest Gump, in which Shah Rukh Khan makes a brief appearance as himself. The film failed commercially. This row is sourced to the article on Aamir Khan, because the company has no Wikipedia article of its own.</t>
        </is>
      </c>
      <c r="T98" s="5" t="inlineStr">
        <is>
          <t>SOURCE-205; SOURCE-095</t>
        </is>
      </c>
      <c r="U98" s="5" t="inlineStr">
        <is>
          <t>Medium</t>
        </is>
      </c>
    </row>
    <row r="99" ht="139" customHeight="1">
      <c r="A99" s="15" t="inlineStr">
        <is>
          <t>PERSON-098</t>
        </is>
      </c>
      <c r="B99" s="5" t="inlineStr">
        <is>
          <t>Aanand L. Rai</t>
        </is>
      </c>
      <c r="C99" s="5" t="inlineStr">
        <is>
          <t>Director; producer (Colour Yellow Productions)</t>
        </is>
      </c>
      <c r="D99" s="20" t="n"/>
      <c r="E99" s="20" t="n"/>
      <c r="F99" s="5" t="inlineStr">
        <is>
          <t>2007–present</t>
        </is>
      </c>
      <c r="G99" s="5" t="inlineStr">
        <is>
          <t>Hindi</t>
        </is>
      </c>
      <c r="H99" s="5" t="n"/>
      <c r="I99" s="5" t="n"/>
      <c r="J99" s="5" t="inlineStr">
        <is>
          <t>Tanu Weds Manu (2011); Raanjhanaa (2013); Tanu Weds Manu Returns (2015); Zero (2018); Atrangi Re (2021); Raksha Bandhan (2022)</t>
        </is>
      </c>
      <c r="K99" s="19" t="inlineStr">
        <is>
          <t>Small-town romance and relationships.</t>
        </is>
      </c>
      <c r="L99" s="19" t="inlineStr">
        <is>
          <t>Romantic comedy-drama rooted in north Indian settings.</t>
        </is>
      </c>
      <c r="M99" s="5" t="inlineStr">
        <is>
          <t>Filmfare Best Director nominations for Raanjhanaa and Tanu Weds Manu Returns</t>
        </is>
      </c>
      <c r="N99" s="19" t="inlineStr">
        <is>
          <t>A successful director of small-town romances whose big-budget Zero is marked in his article as the start of a career decline.</t>
        </is>
      </c>
      <c r="O99" s="19" t="inlineStr">
        <is>
          <t>Directed and co-produced Zero, in which Khan plays a man with dwarfism torn between a scientist with cerebral palsy and a film star.</t>
        </is>
      </c>
      <c r="P99" s="17" t="n">
        <v>1</v>
      </c>
      <c r="Q99" s="5" t="inlineStr">
        <is>
          <t>FILM-089</t>
        </is>
      </c>
      <c r="R99" s="5" t="inlineStr">
        <is>
          <t>Zero (2018)</t>
        </is>
      </c>
      <c r="S99" s="5" t="inlineStr">
        <is>
          <t>Aanand L. Rai is a director and producer known for the romantic comedy-dramas Tanu Weds Manu (2011) and Tanu Weds Manu Returns (2015) and the romantic drama Raanjhanaa (2013), the last two of which earned him Filmfare nominations for Best Director. He then directed the big-budget romantic drama Zero (2018), produced by his Colour Yellow Productions with Red Chillies Entertainment, followed by Atrangi Re (2021) and Raksha Bandhan (2022). In Zero, Shah Rukh Khan plays Bauua Singh, a brash man with dwarfism from Meerut who abandons a scientist with cerebral palsy (Anushka Sharma), is drawn into a film star's world (Katrina Kaif), and tries to redeem himself by volunteering for a mission to Mars. Critics praised the visual effects and the performances but found the second half overwrought, and the film was highly unsuccessful at the box office. Rai's article heads this period 'Career decline (2018–present)'.</t>
        </is>
      </c>
      <c r="T99" s="5" t="inlineStr">
        <is>
          <t>SOURCE-183; SOURCE-092</t>
        </is>
      </c>
      <c r="U99" s="5" t="inlineStr">
        <is>
          <t>Medium</t>
        </is>
      </c>
    </row>
    <row r="100" ht="64" customHeight="1">
      <c r="A100" s="15" t="inlineStr">
        <is>
          <t>PERSON-099</t>
        </is>
      </c>
      <c r="B100" s="5" t="inlineStr">
        <is>
          <t>Aarrti Shetty</t>
        </is>
      </c>
      <c r="C100" s="5" t="inlineStr">
        <is>
          <t>Producer</t>
        </is>
      </c>
      <c r="D100" s="20" t="n"/>
      <c r="E100" s="20" t="n"/>
      <c r="F100" s="5" t="n"/>
      <c r="G100" s="5" t="inlineStr">
        <is>
          <t>Hindi cinema</t>
        </is>
      </c>
      <c r="H100" s="5" t="inlineStr">
        <is>
          <t>A producer credited on one film in this filmography, with no Wikipedia article of their own.</t>
        </is>
      </c>
      <c r="I100" s="5" t="n"/>
      <c r="J100" s="5" t="inlineStr">
        <is>
          <t>With Khan: The Zoya Factor (2019).</t>
        </is>
      </c>
      <c r="K100" s="19" t="n"/>
      <c r="L100" s="19" t="n"/>
      <c r="M100" s="5" t="n"/>
      <c r="N100" s="19" t="n"/>
      <c r="O100" s="19" t="inlineStr">
        <is>
          <t>One film with Khan, credited as producer: The Zoya Factor (2019), directed by Abhishek Sharma, with Khan in the narration; verdict: Box-office disaster.</t>
        </is>
      </c>
      <c r="P100" s="17" t="n">
        <v>1</v>
      </c>
      <c r="Q100" s="5" t="inlineStr">
        <is>
          <t>FILM-090</t>
        </is>
      </c>
      <c r="R100" s="5" t="inlineStr">
        <is>
          <t>The Zoya Factor (2019)</t>
        </is>
      </c>
      <c r="S100" s="5" t="inlineStr">
        <is>
          <t>Aarrti Shetty is credited as producer on The Zoya Factor (2019). No Wikipedia article or other independent biography was located; this row is built from the film credit alone.</t>
        </is>
      </c>
      <c r="T100" s="5" t="inlineStr">
        <is>
          <t>SOURCE-093</t>
        </is>
      </c>
      <c r="U100" s="5" t="inlineStr">
        <is>
          <t>Low</t>
        </is>
      </c>
    </row>
    <row r="101" ht="64" customHeight="1">
      <c r="A101" s="15" t="inlineStr">
        <is>
          <t>PERSON-100</t>
        </is>
      </c>
      <c r="B101" s="5" t="inlineStr">
        <is>
          <t>Aashish Rego</t>
        </is>
      </c>
      <c r="C101" s="5" t="inlineStr">
        <is>
          <t>Song composer</t>
        </is>
      </c>
      <c r="D101" s="20" t="n"/>
      <c r="E101" s="20" t="n"/>
      <c r="F101" s="5" t="n"/>
      <c r="G101" s="5" t="inlineStr">
        <is>
          <t>Hindi cinema</t>
        </is>
      </c>
      <c r="H101" s="5" t="inlineStr">
        <is>
          <t>A song composer credited on one film in this filmography, with no Wikipedia article of their own.</t>
        </is>
      </c>
      <c r="I101" s="5" t="n"/>
      <c r="J101" s="5" t="inlineStr">
        <is>
          <t>With Khan: Always Kabhi Kabhi (2011).</t>
        </is>
      </c>
      <c r="K101" s="19" t="n"/>
      <c r="L101" s="19" t="n"/>
      <c r="M101" s="5" t="n"/>
      <c r="N101" s="19" t="n"/>
      <c r="O101" s="19" t="inlineStr">
        <is>
          <t>One film with Khan, credited as song composer: Always Kabhi Kabhi (2011), directed by Roshan Abbas, with Khan in a self appearance; verdict: Flop.</t>
        </is>
      </c>
      <c r="P101" s="17" t="n">
        <v>1</v>
      </c>
      <c r="Q101" s="5" t="inlineStr">
        <is>
          <t>FILM-073</t>
        </is>
      </c>
      <c r="R101" s="5" t="inlineStr">
        <is>
          <t>Always Kabhi Kabhi (2011)</t>
        </is>
      </c>
      <c r="S101" s="5" t="inlineStr">
        <is>
          <t>Aashish Rego is credited as song composer on Always Kabhi Kabhi (2011). No Wikipedia article or other independent biography was located; this row is built from the film credit alone.</t>
        </is>
      </c>
      <c r="T101" s="5" t="inlineStr">
        <is>
          <t>SOURCE-076</t>
        </is>
      </c>
      <c r="U101" s="5" t="inlineStr">
        <is>
          <t>Low</t>
        </is>
      </c>
    </row>
    <row r="102" ht="109" customHeight="1">
      <c r="A102" s="15" t="inlineStr">
        <is>
          <t>PERSON-101</t>
        </is>
      </c>
      <c r="B102" s="5" t="inlineStr">
        <is>
          <t>Abhijat Joshi</t>
        </is>
      </c>
      <c r="C102" s="5" t="inlineStr">
        <is>
          <t>Writer</t>
        </is>
      </c>
      <c r="D102" s="17" t="n">
        <v>1969</v>
      </c>
      <c r="E102" s="20" t="n"/>
      <c r="F102" s="5" t="n"/>
      <c r="G102" s="5" t="inlineStr">
        <is>
          <t>Hindi cinema</t>
        </is>
      </c>
      <c r="H102" s="5" t="inlineStr">
        <is>
          <t>An Indian screenwriter, director, producer and editor from Ahmedabad, professor of English at Otterbein University in Ohio since 2003, and a long-time collaborator of Vidhu Vinod Chopra and Rajkumar Hirani.</t>
        </is>
      </c>
      <c r="I102" s="5" t="inlineStr">
        <is>
          <t>His Gujarat-riots play A Shaft of Sunlight led Vidhu Vinod Chopra to hire him for Kareeb (1998) and Mission Kashmir (2000).</t>
        </is>
      </c>
      <c r="J102" s="5" t="inlineStr">
        <is>
          <t>With Khan: Dunki (2023). Wider work: Lage Raho Munna Bhai, 3 Idiots, PK, Sanju.</t>
        </is>
      </c>
      <c r="K102" s="19" t="inlineStr">
        <is>
          <t>Humanist comedy-drama for Rajkumar Hirani.</t>
        </is>
      </c>
      <c r="L102" s="19" t="n"/>
      <c r="M102" s="5" t="n"/>
      <c r="N102" s="19" t="n"/>
      <c r="O102" s="19" t="inlineStr">
        <is>
          <t>One film: Rajkumar Hirani's Dunki, which Joshi co-wrote, with Khan as Hardy, an ex-soldier helping friends from Punjab emigrate illegally to England.</t>
        </is>
      </c>
      <c r="P102" s="17" t="n">
        <v>1</v>
      </c>
      <c r="Q102" s="5" t="inlineStr">
        <is>
          <t>FILM-097</t>
        </is>
      </c>
      <c r="R102" s="5" t="inlineStr">
        <is>
          <t>Dunki (2023)</t>
        </is>
      </c>
      <c r="S102" s="5" t="inlineStr">
        <is>
          <t>Abhijat Joshi grew up in an academic family in Ahmedabad, began in Gujarati school theatre, and has taught English at Otterbein University in Ohio since 2003. His play about the 1992 Gujarat riots, A Shaft of Sunlight, brought him to Vidhu Vinod Chopra, for whom he wrote Kareeb and Mission Kashmir, and he became Rajkumar Hirani's regular co-writer on Lage Raho Munna Bhai (2006), 3 Idiots (2009), PK (2014) and Sanju (2018). His only Shah Rukh Khan film is Dunki (2023), Hirani's comedy-drama about the 'donkey route' of illegal emigration, in which Khan plays a former soldier who helps a group of friends from a Punjab village try to reach London.</t>
        </is>
      </c>
      <c r="T102" s="5" t="inlineStr">
        <is>
          <t>SOURCE-206; SOURCE-100</t>
        </is>
      </c>
      <c r="U102" s="5" t="inlineStr">
        <is>
          <t>Medium</t>
        </is>
      </c>
    </row>
    <row r="103" ht="79" customHeight="1">
      <c r="A103" s="15" t="inlineStr">
        <is>
          <t>PERSON-102</t>
        </is>
      </c>
      <c r="B103" s="5" t="inlineStr">
        <is>
          <t>Abhishek Sharma</t>
        </is>
      </c>
      <c r="C103" s="5" t="inlineStr">
        <is>
          <t>Director</t>
        </is>
      </c>
      <c r="D103" s="20" t="n"/>
      <c r="E103" s="20" t="n"/>
      <c r="F103" s="5" t="inlineStr">
        <is>
          <t>2010–present</t>
        </is>
      </c>
      <c r="G103" s="5" t="inlineStr">
        <is>
          <t>Hindi cinema</t>
        </is>
      </c>
      <c r="H103" s="5" t="inlineStr">
        <is>
          <t>An Indian director and writer of Hindi films, known for political satire and comedy.</t>
        </is>
      </c>
      <c r="I103" s="5" t="inlineStr">
        <is>
          <t>Tere Bin Laden (2010).</t>
        </is>
      </c>
      <c r="J103" s="5" t="inlineStr">
        <is>
          <t>With Khan: The Zoya Factor (2019). Wider work: Tere Bin Laden, The Shaukeens, Tere Bin Laden: Dead or Alive, Parmanu: The Story of Pokhran.</t>
        </is>
      </c>
      <c r="K103" s="19" t="inlineStr">
        <is>
          <t>Satirical comedy; a nationalist docudrama about the Pokhran-II nuclear tests.</t>
        </is>
      </c>
      <c r="L103" s="19" t="n"/>
      <c r="M103" s="5" t="n"/>
      <c r="N103" s="19" t="n"/>
      <c r="O103" s="19" t="inlineStr">
        <is>
          <t>One film: The Zoya Factor, his adaptation of Anuja Chauhan's cricket romance, for which Khan provides narration. It was a box-office disaster.</t>
        </is>
      </c>
      <c r="P103" s="17" t="n">
        <v>1</v>
      </c>
      <c r="Q103" s="5" t="inlineStr">
        <is>
          <t>FILM-090</t>
        </is>
      </c>
      <c r="R103" s="5" t="inlineStr">
        <is>
          <t>The Zoya Factor (2019)</t>
        </is>
      </c>
      <c r="S103" s="5" t="inlineStr">
        <is>
          <t>Abhishek Sharma made his debut with Tere Bin Laden (2010), a satire about a fake Osama bin Laden video, and followed it with The Shaukeens (2014), the sequel Tere Bin Laden: Dead or Alive (2016) and Parmanu: The Story of Pokhran (2018), a drama about the 1998 nuclear tests. His only connection to Shah Rukh Khan is The Zoya Factor (2019), adapted from Anuja Chauhan's novel about a woman considered a lucky charm by the Indian cricket team, in which Khan is the narrator. The film was a box-office disaster.</t>
        </is>
      </c>
      <c r="T103" s="5" t="inlineStr">
        <is>
          <t>SOURCE-207; SOURCE-093</t>
        </is>
      </c>
      <c r="U103" s="5" t="inlineStr">
        <is>
          <t>Medium</t>
        </is>
      </c>
    </row>
    <row r="104" ht="94" customHeight="1">
      <c r="A104" s="15" t="inlineStr">
        <is>
          <t>PERSON-103</t>
        </is>
      </c>
      <c r="B104" s="5" t="inlineStr">
        <is>
          <t>Abrar Alvi</t>
        </is>
      </c>
      <c r="C104" s="5" t="inlineStr">
        <is>
          <t>Writer</t>
        </is>
      </c>
      <c r="D104" s="17" t="n">
        <v>1927</v>
      </c>
      <c r="E104" s="17" t="n">
        <v>2009</v>
      </c>
      <c r="F104" s="5" t="inlineStr">
        <is>
          <t>1954–1995</t>
        </is>
      </c>
      <c r="G104" s="5" t="inlineStr">
        <is>
          <t>Hindi cinema</t>
        </is>
      </c>
      <c r="H104" s="5" t="inlineStr">
        <is>
          <t>An Indian writer, director and actor whose most important work was done with Guru Dutt in the 1950s and 1960s.</t>
        </is>
      </c>
      <c r="I104" s="5" t="inlineStr">
        <is>
          <t>Began writing and directing for college theatre in Nagpur before joining Guru Dutt.</t>
        </is>
      </c>
      <c r="J104" s="5" t="inlineStr">
        <is>
          <t>With Khan: Guddu (1995). Wider work: Pyaasa (1957), Kaagaz Ke Phool (1959), Sahib Bibi Aur Ghulam (1962, also director); later Janta Hawaldar and Begunaah.</t>
        </is>
      </c>
      <c r="K104" s="19" t="inlineStr">
        <is>
          <t>Poetic melodrama about artists, romance and decline.</t>
        </is>
      </c>
      <c r="L104" s="19" t="n"/>
      <c r="M104" s="5" t="n"/>
      <c r="N104" s="19" t="inlineStr">
        <is>
          <t>Writer of Pyaasa, which Time magazine included in its All-Time 100 Movies.</t>
        </is>
      </c>
      <c r="O104" s="19" t="inlineStr">
        <is>
          <t>One late credit: Prem Lalwani's Guddu (1995), with Khan in the lead.</t>
        </is>
      </c>
      <c r="P104" s="17" t="n">
        <v>1</v>
      </c>
      <c r="Q104" s="5" t="inlineStr">
        <is>
          <t>FILM-014</t>
        </is>
      </c>
      <c r="R104" s="5" t="inlineStr">
        <is>
          <t>Guddu (1995)</t>
        </is>
      </c>
      <c r="S104" s="5" t="inlineStr">
        <is>
          <t>Abrar Alvi wrote three of the most admired films in Hindi cinema for Guru Dutt — Pyaasa (1957), Kaagaz Ke Phool (1959) and Sahib Bibi Aur Ghulam (1962), which he also directed. Pyaasa is on Time magazine's All-Time 100 Movies list. He started in college theatre in Nagpur and in later decades wrote for mainstream films, including Rajesh Khanna's Janta Hawaldar and Begunaah. His one Shah Rukh Khan credit comes near the end of his career: Guddu (1995), a family melodrama directed by Prem Lalwani in which Khan plays the title role. Alvi died on 18 November 2009.</t>
        </is>
      </c>
      <c r="T104" s="5" t="inlineStr">
        <is>
          <t>SOURCE-208; SOURCE-017</t>
        </is>
      </c>
      <c r="U104" s="5" t="inlineStr">
        <is>
          <t>Medium</t>
        </is>
      </c>
    </row>
    <row r="105" ht="109" customHeight="1">
      <c r="A105" s="15" t="inlineStr">
        <is>
          <t>PERSON-104</t>
        </is>
      </c>
      <c r="B105" s="5" t="inlineStr">
        <is>
          <t>Ad-Labs Films</t>
        </is>
      </c>
      <c r="C105" s="5" t="inlineStr">
        <is>
          <t>Production banner (Adlabs, later Reliance MediaWorks)</t>
        </is>
      </c>
      <c r="D105" s="20" t="n"/>
      <c r="E105" s="20" t="n"/>
      <c r="F105" s="5" t="n"/>
      <c r="G105" s="5" t="inlineStr">
        <is>
          <t>Hindi cinema</t>
        </is>
      </c>
      <c r="H105" s="5" t="inlineStr">
        <is>
          <t>A film and entertainment services company, originally established as Adlabs, that became Reliance MediaWorks within the Reliance Group; its businesses include film processing and digital intermediate, visual effects, exhibition and television production.</t>
        </is>
      </c>
      <c r="I105" s="5" t="n"/>
      <c r="J105" s="5" t="inlineStr">
        <is>
          <t>With Khan: The Zoya Factor (2019). Its BIG Synergy unit produced Kaun Banega Crorepati and Indian Idol.</t>
        </is>
      </c>
      <c r="K105" s="19" t="n"/>
      <c r="L105" s="19" t="n"/>
      <c r="M105" s="5" t="n"/>
      <c r="N105" s="19" t="n"/>
      <c r="O105" s="19" t="inlineStr">
        <is>
          <t>One film: The Zoya Factor, which Khan narrates.</t>
        </is>
      </c>
      <c r="P105" s="17" t="n">
        <v>1</v>
      </c>
      <c r="Q105" s="5" t="inlineStr">
        <is>
          <t>FILM-090</t>
        </is>
      </c>
      <c r="R105" s="5" t="inlineStr">
        <is>
          <t>The Zoya Factor (2019)</t>
        </is>
      </c>
      <c r="S105" s="5" t="inlineStr">
        <is>
          <t>Ad-Labs Films is credited as a production banner on The Zoya Factor (2019), Abhishek Sharma's cricket romance, which Shah Rukh Khan narrates. The company has no article under its own name; Adlabs became Reliance MediaWorks, the Reliance Group's film and entertainment services business, which offers processing, digital intermediate, visual effects, 2D-to-3D conversion, studio rental and post-production and runs operations in India, the United Kingdom and the United States. Its television arm, BIG Synergy, produced Kaun Banega Crorepati and Indian Idol. Linking the 2019 credit to this corporate history rests on the article name change, so confidence is low.</t>
        </is>
      </c>
      <c r="T105" s="5" t="inlineStr">
        <is>
          <t>SOURCE-209; SOURCE-093</t>
        </is>
      </c>
      <c r="U105" s="5" t="inlineStr">
        <is>
          <t>Low</t>
        </is>
      </c>
    </row>
    <row r="106" ht="94" customHeight="1">
      <c r="A106" s="15" t="inlineStr">
        <is>
          <t>PERSON-105</t>
        </is>
      </c>
      <c r="B106" s="5" t="inlineStr">
        <is>
          <t>Adnan Sami</t>
        </is>
      </c>
      <c r="C106" s="5" t="inlineStr">
        <is>
          <t>Song composer</t>
        </is>
      </c>
      <c r="D106" s="17" t="n">
        <v>1971</v>
      </c>
      <c r="E106" s="20" t="n"/>
      <c r="F106" s="5" t="inlineStr">
        <is>
          <t>1986–present</t>
        </is>
      </c>
      <c r="G106" s="5" t="inlineStr">
        <is>
          <t>Hindi cinema; independent pop</t>
        </is>
      </c>
      <c r="H106" s="5" t="inlineStr">
        <is>
          <t>A UK-raised singer, composer and pianist of Pakistani origin who became an Indian citizen in 2016; he plays some 32 instruments and is noted for adapting the santoor and Indian classical music to the piano.</t>
        </is>
      </c>
      <c r="I106" s="5" t="n"/>
      <c r="J106" s="5" t="inlineStr">
        <is>
          <t>With Khan: Shaurya (2008). Wider work: his pop albums and many Hindi film songs as playback singer.</t>
        </is>
      </c>
      <c r="K106" s="19" t="inlineStr">
        <is>
          <t>Romantic Hindi-Urdu pop, piano-led arrangements.</t>
        </is>
      </c>
      <c r="L106" s="19" t="n"/>
      <c r="M106" s="5" t="inlineStr">
        <is>
          <t>Padma Shri.</t>
        </is>
      </c>
      <c r="N106" s="19" t="n"/>
      <c r="O106" s="19" t="inlineStr">
        <is>
          <t>One film: Samar Khan's military courtroom drama Shaurya, which Khan narrates, for which Sami composed the songs.</t>
        </is>
      </c>
      <c r="P106" s="17" t="n">
        <v>1</v>
      </c>
      <c r="Q106" s="5" t="inlineStr">
        <is>
          <t>FILM-063</t>
        </is>
      </c>
      <c r="R106" s="5" t="inlineStr">
        <is>
          <t>Shaurya (2008)</t>
        </is>
      </c>
      <c r="S106" s="5" t="inlineStr">
        <is>
          <t>Adnan Sami was raised and educated in the United Kingdom, the son of a Pakistani Air Force veteran and diplomat, and built a reputation as a virtuoso pianist; Keyboard magazine called him the fastest keyboard player in the world. He became a popular singer and composer in Hindi music and was naturalised as an Indian citizen in 2016, later receiving the Padma Shri. His only Shah Rukh Khan credit is Shaurya (2008), Samar Khan's drama about the court martial of a soldier, for which he composed the songs; Khan's involvement is limited to narration.</t>
        </is>
      </c>
      <c r="T106" s="5" t="inlineStr">
        <is>
          <t>SOURCE-210; SOURCE-066</t>
        </is>
      </c>
      <c r="U106" s="5" t="inlineStr">
        <is>
          <t>Medium</t>
        </is>
      </c>
    </row>
    <row r="107" ht="79" customHeight="1">
      <c r="A107" s="15" t="inlineStr">
        <is>
          <t>PERSON-106</t>
        </is>
      </c>
      <c r="B107" s="5" t="inlineStr">
        <is>
          <t>Advait Chandan</t>
        </is>
      </c>
      <c r="C107" s="5" t="inlineStr">
        <is>
          <t>Director</t>
        </is>
      </c>
      <c r="D107" s="20" t="n"/>
      <c r="E107" s="20" t="n"/>
      <c r="F107" s="5" t="inlineStr">
        <is>
          <t>2017–present</t>
        </is>
      </c>
      <c r="G107" s="5" t="inlineStr">
        <is>
          <t>Hindi cinema</t>
        </is>
      </c>
      <c r="H107" s="5" t="inlineStr">
        <is>
          <t>A Hindi-film director who came up through Aamir Khan's production unit, working as an assistant on Taare Zameen Par and as casting director and post-production supervisor on Dhobi Ghat.</t>
        </is>
      </c>
      <c r="I107" s="5" t="inlineStr">
        <is>
          <t>Secret Superstar (2017), which he also wrote.</t>
        </is>
      </c>
      <c r="J107" s="5" t="inlineStr">
        <is>
          <t>With Khan: Laal Singh Chaddha (2022). Wider work: Secret Superstar, Loveyapa (2025).</t>
        </is>
      </c>
      <c r="K107" s="19" t="inlineStr">
        <is>
          <t>Family and coming-of-age drama.</t>
        </is>
      </c>
      <c r="L107" s="19" t="n"/>
      <c r="M107" s="5" t="n"/>
      <c r="N107" s="19" t="inlineStr">
        <is>
          <t>Secret Superstar was the highest-grossing Hindi film of 2017.</t>
        </is>
      </c>
      <c r="O107" s="19" t="inlineStr">
        <is>
          <t>One film: Laal Singh Chaddha, Aamir Khan's Forrest Gump remake, in which Khan appears as himself. It was a commercial disaster.</t>
        </is>
      </c>
      <c r="P107" s="17" t="n">
        <v>1</v>
      </c>
      <c r="Q107" s="5" t="inlineStr">
        <is>
          <t>FILM-092</t>
        </is>
      </c>
      <c r="R107" s="5" t="inlineStr">
        <is>
          <t>Laal Singh Chaddha (2022)</t>
        </is>
      </c>
      <c r="S107" s="5" t="inlineStr">
        <is>
          <t>Advait Chandan worked his way up within Aamir Khan's films — third assistant director, assistant production manager on Taare Zameen Par, casting director on Dhobi Ghat — before writing and directing Secret Superstar (2017), which was the highest-grossing Hindi film of its year. His second film, Laal Singh Chaddha (2022), adapted Forrest Gump with Aamir Khan in the lead; Shah Rukh Khan makes a brief appearance as himself, and the film failed commercially. Chandan's next film was Loveyapa (2025), starring Junaid Khan and Khushi Kapoor.</t>
        </is>
      </c>
      <c r="T107" s="5" t="inlineStr">
        <is>
          <t>SOURCE-211; SOURCE-095</t>
        </is>
      </c>
      <c r="U107" s="5" t="inlineStr">
        <is>
          <t>Medium</t>
        </is>
      </c>
    </row>
    <row r="108" ht="79" customHeight="1">
      <c r="A108" s="15" t="inlineStr">
        <is>
          <t>PERSON-107</t>
        </is>
      </c>
      <c r="B108" s="5" t="inlineStr">
        <is>
          <t>Ajay–Atul</t>
        </is>
      </c>
      <c r="C108" s="5" t="inlineStr">
        <is>
          <t>Song composer (composing duo)</t>
        </is>
      </c>
      <c r="D108" s="20" t="n"/>
      <c r="E108" s="20" t="n"/>
      <c r="F108" s="5" t="inlineStr">
        <is>
          <t>2000–present</t>
        </is>
      </c>
      <c r="G108" s="5" t="inlineStr">
        <is>
          <t>Marathi cinema; Hindi cinema</t>
        </is>
      </c>
      <c r="H108" s="5" t="inlineStr">
        <is>
          <t>A composing duo of the brothers Ajay and Atul Gogavale, working mainly in Marathi and Hindi films.</t>
        </is>
      </c>
      <c r="I108" s="5" t="inlineStr">
        <is>
          <t>The devotional album Vishwa Vinayak.</t>
        </is>
      </c>
      <c r="J108" s="5" t="inlineStr">
        <is>
          <t>With Khan: Zero (2018). Wider work: Natarang, Sairat, Agneepath (2012), Dhadak, PK (contributions), Ved.</t>
        </is>
      </c>
      <c r="K108" s="19" t="inlineStr">
        <is>
          <t>Orchestral, folk-inflected songs with live instruments.</t>
        </is>
      </c>
      <c r="L108" s="19" t="n"/>
      <c r="M108" s="5" t="inlineStr">
        <is>
          <t>A National Film Award, four Filmfare Awards Marathi and three Maharashtra State Film Awards.</t>
        </is>
      </c>
      <c r="N108" s="19" t="inlineStr">
        <is>
          <t>The most commercially successful composers in modern Marathi cinema.</t>
        </is>
      </c>
      <c r="O108" s="19" t="inlineStr">
        <is>
          <t>One film: Aanand L. Rai's Zero, with Khan as a dwarf from Meerut; it was highly unsuccessful.</t>
        </is>
      </c>
      <c r="P108" s="17" t="n">
        <v>1</v>
      </c>
      <c r="Q108" s="5" t="inlineStr">
        <is>
          <t>FILM-089</t>
        </is>
      </c>
      <c r="R108" s="5" t="inlineStr">
        <is>
          <t>Zero (2018)</t>
        </is>
      </c>
      <c r="S108" s="5" t="inlineStr">
        <is>
          <t>Ajay–Atul are the brothers Ajay and Atul Gogavale, who began with the devotional album Vishwa Vinayak, combining Ganpati mantras with symphonic music, and became the leading composers of Marathi cinema with Natarang and Sairat. In Hindi their work includes Agneepath (2012) and Dhadak, and they have a National Film Award and four Filmfare Awards Marathi. Their one Shah Rukh Khan film is Zero (2018), Aanand L. Rai's romance in which Khan plays Bauua Singh, a man of short stature; it was one of the biggest failures of his career.</t>
        </is>
      </c>
      <c r="T108" s="5" t="inlineStr">
        <is>
          <t>SOURCE-212; SOURCE-092</t>
        </is>
      </c>
      <c r="U108" s="5" t="inlineStr">
        <is>
          <t>Medium</t>
        </is>
      </c>
    </row>
    <row r="109" ht="94" customHeight="1">
      <c r="A109" s="15" t="inlineStr">
        <is>
          <t>PERSON-108</t>
        </is>
      </c>
      <c r="B109" s="5" t="inlineStr">
        <is>
          <t>Ajit Andhare</t>
        </is>
      </c>
      <c r="C109" s="5" t="inlineStr">
        <is>
          <t>Producer (Viacom18 Studios)</t>
        </is>
      </c>
      <c r="D109" s="17" t="n">
        <v>1973</v>
      </c>
      <c r="E109" s="20" t="n"/>
      <c r="F109" s="5" t="n"/>
      <c r="G109" s="5" t="inlineStr">
        <is>
          <t>Hindi cinema</t>
        </is>
      </c>
      <c r="H109" s="5" t="inlineStr">
        <is>
          <t>An Indian media executive, chief operating officer of Viacom18 Studios, trained as a mechanical engineer at NIT Rourkela and at the Indian School of Business, who previously worked for Hindustan Lever and Brooke Bond Lipton and founded Colosceum Media.</t>
        </is>
      </c>
      <c r="I109" s="5" t="n"/>
      <c r="J109" s="5" t="inlineStr">
        <is>
          <t>With Khan: Laal Singh Chaddha (2022). Television: MTV Roadies, MTV Splitsvilla, MasterChef India.</t>
        </is>
      </c>
      <c r="K109" s="19" t="n"/>
      <c r="L109" s="19" t="n"/>
      <c r="M109" s="5" t="n"/>
      <c r="N109" s="19" t="n"/>
      <c r="O109" s="19" t="inlineStr">
        <is>
          <t>One film: Laal Singh Chaddha, co-produced by Viacom18, in which Khan appears as himself.</t>
        </is>
      </c>
      <c r="P109" s="17" t="n">
        <v>1</v>
      </c>
      <c r="Q109" s="5" t="inlineStr">
        <is>
          <t>FILM-092</t>
        </is>
      </c>
      <c r="R109" s="5" t="inlineStr">
        <is>
          <t>Laal Singh Chaddha (2022)</t>
        </is>
      </c>
      <c r="S109" s="5" t="inlineStr">
        <is>
          <t>Ajit Andhare is the chief operating officer of Viacom18 Studios, the film business of Viacom18 Media. Before film he worked in consumer goods and founded Colosceum Media, which produced television formats such as MTV Roadies, MTV Splitsvilla and MasterChef India. He is credited as a producer on Laal Singh Chaddha (2022), Viacom18's co-production with Aamir Khan Productions and Paramount Pictures, in which Shah Rukh Khan makes a brief appearance as himself. The film was a commercial disaster.</t>
        </is>
      </c>
      <c r="T109" s="5" t="inlineStr">
        <is>
          <t>SOURCE-213; SOURCE-095</t>
        </is>
      </c>
      <c r="U109" s="5" t="inlineStr">
        <is>
          <t>Medium</t>
        </is>
      </c>
    </row>
    <row r="110" ht="79" customHeight="1">
      <c r="A110" s="15" t="inlineStr">
        <is>
          <t>PERSON-109</t>
        </is>
      </c>
      <c r="B110" s="5" t="inlineStr">
        <is>
          <t>Alejandro Monteverde</t>
        </is>
      </c>
      <c r="C110" s="5" t="inlineStr">
        <is>
          <t>Writer</t>
        </is>
      </c>
      <c r="D110" s="17" t="n">
        <v>1977</v>
      </c>
      <c r="E110" s="20" t="n"/>
      <c r="F110" s="5" t="inlineStr">
        <is>
          <t>2001–present</t>
        </is>
      </c>
      <c r="G110" s="5" t="inlineStr">
        <is>
          <t>American and Mexican cinema</t>
        </is>
      </c>
      <c r="H110" s="5" t="inlineStr">
        <is>
          <t>A Mexican filmmaker and naturalised US citizen whose first film, Bella, won the People's Choice Award at the 2006 Toronto International Film Festival.</t>
        </is>
      </c>
      <c r="I110" s="5" t="inlineStr">
        <is>
          <t>Bella (2006).</t>
        </is>
      </c>
      <c r="J110" s="5" t="inlineStr">
        <is>
          <t>With Khan: Tubelight (2017), credited as a writer. Wider work: Bella, Little Boy, Sound of Freedom, Cabrini.</t>
        </is>
      </c>
      <c r="K110" s="19" t="inlineStr">
        <is>
          <t>Faith-inflected family drama.</t>
        </is>
      </c>
      <c r="L110" s="19" t="n"/>
      <c r="M110" s="5" t="inlineStr">
        <is>
          <t>People's Choice Award, Toronto International Film Festival (Bella).</t>
        </is>
      </c>
      <c r="N110" s="19" t="n"/>
      <c r="O110" s="19" t="inlineStr">
        <is>
          <t>Credited as a writer on Kabir Khan's Tubelight, in which Khan has a cameo. The film is an adaptation of Monteverde's own Little Boy, which explains the credit.</t>
        </is>
      </c>
      <c r="P110" s="17" t="n">
        <v>1</v>
      </c>
      <c r="Q110" s="5" t="inlineStr">
        <is>
          <t>FILM-087</t>
        </is>
      </c>
      <c r="R110" s="5" t="inlineStr">
        <is>
          <t>Tubelight (2017)</t>
        </is>
      </c>
      <c r="S110" s="5" t="inlineStr">
        <is>
          <t>Alejandro Gómez Monteverde won the People's Choice Award at Toronto in 2006 with his first feature, Bella, and later directed Little Boy, Sound of Freedom and Cabrini. He is credited as a writer on Tubelight (2017), Kabir Khan's war-era fable starring Salman Khan, which adapts Little Boy, and in which Shah Rukh Khan makes a cameo as a magician. He had no direct working relationship with Shah Rukh Khan; the credit comes from the source film.</t>
        </is>
      </c>
      <c r="T110" s="5" t="inlineStr">
        <is>
          <t>SOURCE-214; SOURCE-090</t>
        </is>
      </c>
      <c r="U110" s="5" t="inlineStr">
        <is>
          <t>Low</t>
        </is>
      </c>
    </row>
    <row r="111" ht="64" customHeight="1">
      <c r="A111" s="15" t="inlineStr">
        <is>
          <t>PERSON-110</t>
        </is>
      </c>
      <c r="B111" s="5" t="inlineStr">
        <is>
          <t>Ali Raza</t>
        </is>
      </c>
      <c r="C111" s="5" t="inlineStr">
        <is>
          <t>Writer</t>
        </is>
      </c>
      <c r="D111" s="20" t="n"/>
      <c r="E111" s="20" t="n"/>
      <c r="F111" s="5" t="n"/>
      <c r="G111" s="5" t="inlineStr">
        <is>
          <t>Hindi cinema</t>
        </is>
      </c>
      <c r="H111" s="5" t="inlineStr">
        <is>
          <t>A writer credited on one film in this filmography, with no Wikipedia article of their own.</t>
        </is>
      </c>
      <c r="I111" s="5" t="n"/>
      <c r="J111" s="5" t="inlineStr">
        <is>
          <t>With Khan: English Babu Desi Mem (1996).</t>
        </is>
      </c>
      <c r="K111" s="19" t="n"/>
      <c r="L111" s="19" t="n"/>
      <c r="M111" s="5" t="n"/>
      <c r="N111" s="19" t="n"/>
      <c r="O111" s="19" t="inlineStr">
        <is>
          <t>One film with Khan, credited as writer: English Babu Desi Mem (1996), directed by Praveen Nischol, with Khan in the lead as Vikram Mayur; verdict: Flop.</t>
        </is>
      </c>
      <c r="P111" s="17" t="n">
        <v>1</v>
      </c>
      <c r="Q111" s="5" t="inlineStr">
        <is>
          <t>FILM-019</t>
        </is>
      </c>
      <c r="R111" s="5" t="inlineStr">
        <is>
          <t>English Babu Desi Mem (1996)</t>
        </is>
      </c>
      <c r="S111" s="5" t="inlineStr">
        <is>
          <t>Ali Raza is credited as writer on English Babu Desi Mem (1996). No Wikipedia article or other independent biography was located; this row is built from the film credit alone.</t>
        </is>
      </c>
      <c r="T111" s="5" t="inlineStr">
        <is>
          <t>SOURCE-022</t>
        </is>
      </c>
      <c r="U111" s="5" t="inlineStr">
        <is>
          <t>Low</t>
        </is>
      </c>
    </row>
    <row r="112" ht="64" customHeight="1">
      <c r="A112" s="15" t="inlineStr">
        <is>
          <t>PERSON-111</t>
        </is>
      </c>
      <c r="B112" s="5" t="inlineStr">
        <is>
          <t>Althea Kaushal</t>
        </is>
      </c>
      <c r="C112" s="5" t="inlineStr">
        <is>
          <t>Writer</t>
        </is>
      </c>
      <c r="D112" s="20" t="n"/>
      <c r="E112" s="20" t="n"/>
      <c r="F112" s="5" t="n"/>
      <c r="G112" s="5" t="inlineStr">
        <is>
          <t>Hindi cinema</t>
        </is>
      </c>
      <c r="H112" s="5" t="inlineStr">
        <is>
          <t>A writer credited on one film in this filmography, with no Wikipedia article of their own.</t>
        </is>
      </c>
      <c r="I112" s="5" t="n"/>
      <c r="J112" s="5" t="inlineStr">
        <is>
          <t>With Khan: Happy New Year (2014).</t>
        </is>
      </c>
      <c r="K112" s="19" t="n"/>
      <c r="L112" s="19" t="n"/>
      <c r="M112" s="5" t="n"/>
      <c r="N112" s="19" t="n"/>
      <c r="O112" s="19" t="inlineStr">
        <is>
          <t>One film with Khan, credited as writer: Happy New Year (2014), directed by Farah Khan, with Khan in the lead as Chandramohan "Charlie" Manohar Sharma.</t>
        </is>
      </c>
      <c r="P112" s="17" t="n">
        <v>1</v>
      </c>
      <c r="Q112" s="5" t="inlineStr">
        <is>
          <t>FILM-081</t>
        </is>
      </c>
      <c r="R112" s="5" t="inlineStr">
        <is>
          <t>Happy New Year (2014)</t>
        </is>
      </c>
      <c r="S112" s="5" t="inlineStr">
        <is>
          <t>Althea Kaushal is credited as writer on Happy New Year (2014). No Wikipedia article or other independent biography was located; this row is built from the film credit alone.</t>
        </is>
      </c>
      <c r="T112" s="5" t="inlineStr">
        <is>
          <t>SOURCE-084</t>
        </is>
      </c>
      <c r="U112" s="5" t="inlineStr">
        <is>
          <t>Low</t>
        </is>
      </c>
    </row>
    <row r="113" ht="64" customHeight="1">
      <c r="A113" s="15" t="inlineStr">
        <is>
          <t>PERSON-112</t>
        </is>
      </c>
      <c r="B113" s="5" t="inlineStr">
        <is>
          <t>Aman Pant</t>
        </is>
      </c>
      <c r="C113" s="5" t="inlineStr">
        <is>
          <t>Background-score composer</t>
        </is>
      </c>
      <c r="D113" s="20" t="n"/>
      <c r="E113" s="20" t="n"/>
      <c r="F113" s="5" t="n"/>
      <c r="G113" s="5" t="inlineStr">
        <is>
          <t>Hindi cinema</t>
        </is>
      </c>
      <c r="H113" s="5" t="inlineStr">
        <is>
          <t>A background-score composer credited on one film in this filmography, with no Wikipedia article of their own.</t>
        </is>
      </c>
      <c r="I113" s="5" t="n"/>
      <c r="J113" s="5" t="inlineStr">
        <is>
          <t>With Khan: Dunki (2023).</t>
        </is>
      </c>
      <c r="K113" s="19" t="n"/>
      <c r="L113" s="19" t="n"/>
      <c r="M113" s="5" t="n"/>
      <c r="N113" s="19" t="n"/>
      <c r="O113" s="19" t="inlineStr">
        <is>
          <t>One film with Khan, credited as background-score composer: Dunki (2023), directed by Rajkumar Hirani, with Khan in the lead as Hardayal "Hardy" Singh Dhillon.</t>
        </is>
      </c>
      <c r="P113" s="17" t="n">
        <v>1</v>
      </c>
      <c r="Q113" s="5" t="inlineStr">
        <is>
          <t>FILM-097</t>
        </is>
      </c>
      <c r="R113" s="5" t="inlineStr">
        <is>
          <t>Dunki (2023)</t>
        </is>
      </c>
      <c r="S113" s="5" t="inlineStr">
        <is>
          <t>Aman Pant is credited as background-score composer on Dunki (2023). No Wikipedia article or other independent biography was located; this row is built from the film credit alone.</t>
        </is>
      </c>
      <c r="T113" s="5" t="inlineStr">
        <is>
          <t>SOURCE-100</t>
        </is>
      </c>
      <c r="U113" s="5" t="inlineStr">
        <is>
          <t>Low</t>
        </is>
      </c>
    </row>
    <row r="114" ht="94" customHeight="1">
      <c r="A114" s="15" t="inlineStr">
        <is>
          <t>PERSON-113</t>
        </is>
      </c>
      <c r="B114" s="5" t="inlineStr">
        <is>
          <t>Amar Haldipur</t>
        </is>
      </c>
      <c r="C114" s="5" t="inlineStr">
        <is>
          <t>Background-score composer; music arranger</t>
        </is>
      </c>
      <c r="D114" s="20" t="n"/>
      <c r="E114" s="20" t="n"/>
      <c r="F114" s="5" t="n"/>
      <c r="G114" s="5" t="inlineStr">
        <is>
          <t>Hindi cinema</t>
        </is>
      </c>
      <c r="H114" s="5" t="inlineStr">
        <is>
          <t>A Hindi and Punjabi film composer, violinist and music arranger who says he has arranged about 6,000 songs for composers from Laxmikant–Pyarelal and Khayyam to Nadeem–Shravan; father of the composers Siddharth and Sangeet Haldipur.</t>
        </is>
      </c>
      <c r="I114" s="5" t="n"/>
      <c r="J114" s="5" t="inlineStr">
        <is>
          <t>With Khan: Chaahat (1996). Wider work: Shaheed-E-Mohabbat and Channa Sachi Muchi as composer; arrangement on Shahenshah and Main Azaad Hoon; the violin solo on 'Dard-e-Dil' from Karz.</t>
        </is>
      </c>
      <c r="K114" s="19" t="inlineStr">
        <is>
          <t>Orchestral arrangement and background scoring.</t>
        </is>
      </c>
      <c r="L114" s="19" t="n"/>
      <c r="M114" s="5" t="n"/>
      <c r="N114" s="19" t="n"/>
      <c r="O114" s="19" t="inlineStr">
        <is>
          <t>One film: Mahesh Bhatt's Chaahat, for which he wrote the background score; Khan played the lead and the film was below average.</t>
        </is>
      </c>
      <c r="P114" s="17" t="n">
        <v>1</v>
      </c>
      <c r="Q114" s="5" t="inlineStr">
        <is>
          <t>FILM-020</t>
        </is>
      </c>
      <c r="R114" s="5" t="inlineStr">
        <is>
          <t>Chaahat (1996)</t>
        </is>
      </c>
      <c r="S114" s="5" t="inlineStr">
        <is>
          <t>Amar Haldipur spent most of his career as a violinist and arranger in the Bombay film-music industry, arranging for Laxmikant–Pyarelal, Khayyam, Rajesh Roshan, Shankar–Jaikishan, Anu Malik and Nadeem–Shravan, among others, and playing the violin solo on Mohammed Rafi's 'Dard-e-Dil' in Karz. He also composed for Hindi and Punjabi films such as Shaheed-E-Mohabbat. For Shah Rukh Khan he wrote the background score of Chaahat (1996), Mahesh Bhatt's romance with Khan as a singer from Rajasthan; it did below-average business. His article is thinly sourced, so confidence is low.</t>
        </is>
      </c>
      <c r="T114" s="5" t="inlineStr">
        <is>
          <t>SOURCE-215; SOURCE-023</t>
        </is>
      </c>
      <c r="U114" s="5" t="inlineStr">
        <is>
          <t>Low</t>
        </is>
      </c>
    </row>
    <row r="115" ht="64" customHeight="1">
      <c r="A115" s="15" t="inlineStr">
        <is>
          <t>PERSON-114</t>
        </is>
      </c>
      <c r="B115" s="5" t="inlineStr">
        <is>
          <t>Amarjeet Singh Bhasin</t>
        </is>
      </c>
      <c r="C115" s="5" t="inlineStr">
        <is>
          <t>Producer</t>
        </is>
      </c>
      <c r="D115" s="20" t="n"/>
      <c r="E115" s="20" t="n"/>
      <c r="F115" s="5" t="n"/>
      <c r="G115" s="5" t="inlineStr">
        <is>
          <t>Hindi cinema</t>
        </is>
      </c>
      <c r="H115" s="5" t="inlineStr">
        <is>
          <t>A producer credited on one film in this filmography, with no Wikipedia article of their own.</t>
        </is>
      </c>
      <c r="I115" s="5" t="n"/>
      <c r="J115" s="5" t="inlineStr">
        <is>
          <t>With Khan: Shahrukh Bola "Khoobsurat Hai Tu" (2010).</t>
        </is>
      </c>
      <c r="K115" s="19" t="n"/>
      <c r="L115" s="19" t="n"/>
      <c r="M115" s="5" t="n"/>
      <c r="N115" s="19" t="n"/>
      <c r="O115" s="19" t="inlineStr">
        <is>
          <t>One film with Khan, credited as producer: Shahrukh Bola "Khoobsurat Hai Tu" (2010), directed by Makrand Deshpande, with Khan in a self appearance.</t>
        </is>
      </c>
      <c r="P115" s="17" t="n">
        <v>1</v>
      </c>
      <c r="Q115" s="5" t="inlineStr">
        <is>
          <t>FILM-072</t>
        </is>
      </c>
      <c r="R115" s="5" t="inlineStr">
        <is>
          <t>Shahrukh Bola "Khoobsurat Hai Tu" (2010)</t>
        </is>
      </c>
      <c r="S115" s="5" t="inlineStr">
        <is>
          <t>Amarjeet Singh Bhasin is credited as producer on Shahrukh Bola "Khoobsurat Hai Tu" (2010). No Wikipedia article or other independent biography was located; this row is built from the film credit alone.</t>
        </is>
      </c>
      <c r="T115" s="5" t="inlineStr">
        <is>
          <t>SOURCE-075</t>
        </is>
      </c>
      <c r="U115" s="5" t="inlineStr">
        <is>
          <t>Low</t>
        </is>
      </c>
    </row>
    <row r="116" ht="64" customHeight="1">
      <c r="A116" s="15" t="inlineStr">
        <is>
          <t>PERSON-115</t>
        </is>
      </c>
      <c r="B116" s="5" t="inlineStr">
        <is>
          <t>Ameet Mehta</t>
        </is>
      </c>
      <c r="C116" s="5" t="inlineStr">
        <is>
          <t>Writer</t>
        </is>
      </c>
      <c r="D116" s="20" t="n"/>
      <c r="E116" s="20" t="n"/>
      <c r="F116" s="5" t="n"/>
      <c r="G116" s="5" t="inlineStr">
        <is>
          <t>Hindi cinema</t>
        </is>
      </c>
      <c r="H116" s="5" t="inlineStr">
        <is>
          <t>A writer credited on one film in this filmography, with no Wikipedia article of their own.</t>
        </is>
      </c>
      <c r="I116" s="5" t="n"/>
      <c r="J116" s="5" t="inlineStr">
        <is>
          <t>With Khan: Don 2 (2011).</t>
        </is>
      </c>
      <c r="K116" s="19" t="n"/>
      <c r="L116" s="19" t="n"/>
      <c r="M116" s="5" t="n"/>
      <c r="N116" s="19" t="n"/>
      <c r="O116" s="19" t="inlineStr">
        <is>
          <t>One film with Khan, credited as writer: Don 2 (2011), directed by Farhan Akhtar, with Khan in the lead as Mark "Don" Donald; verdict: Commercial success.</t>
        </is>
      </c>
      <c r="P116" s="17" t="n">
        <v>1</v>
      </c>
      <c r="Q116" s="5" t="inlineStr">
        <is>
          <t>FILM-076</t>
        </is>
      </c>
      <c r="R116" s="5" t="inlineStr">
        <is>
          <t>Don 2 (2011)</t>
        </is>
      </c>
      <c r="S116" s="5" t="inlineStr">
        <is>
          <t>Ameet Mehta is credited as writer on Don 2 (2011). No Wikipedia article or other independent biography was located; this row is built from the film credit alone.</t>
        </is>
      </c>
      <c r="T116" s="5" t="inlineStr">
        <is>
          <t>SOURCE-079</t>
        </is>
      </c>
      <c r="U116" s="5" t="inlineStr">
        <is>
          <t>Low</t>
        </is>
      </c>
    </row>
    <row r="117" ht="139" customHeight="1">
      <c r="A117" s="15" t="inlineStr">
        <is>
          <t>PERSON-116</t>
        </is>
      </c>
      <c r="B117" s="5" t="inlineStr">
        <is>
          <t>Amol Palekar</t>
        </is>
      </c>
      <c r="C117" s="5" t="inlineStr">
        <is>
          <t>Director; actor; producer</t>
        </is>
      </c>
      <c r="D117" s="17" t="n">
        <v>1944</v>
      </c>
      <c r="E117" s="20" t="n"/>
      <c r="F117" s="5" t="inlineStr">
        <is>
          <t>1969–present</t>
        </is>
      </c>
      <c r="G117" s="5" t="inlineStr">
        <is>
          <t>Hindi; Marathi</t>
        </is>
      </c>
      <c r="H117" s="5" t="inlineStr">
        <is>
          <t>A leading actor of 'middle cinema' in the 1970s; also a painter and author; married to Sandhya Gokhale, who wrote Paheli's screenplay.</t>
        </is>
      </c>
      <c r="I117" s="5" t="n"/>
      <c r="J117" s="5" t="inlineStr">
        <is>
          <t>Chhoti Si Baat (1975, actor); Chitchor (1976, actor); Bhumika (1977, actor); Baaton Baaton Mein (1979, actor); Gol Maal (1979, actor); Paheli (2005, director)</t>
        </is>
      </c>
      <c r="K117" s="19" t="inlineStr">
        <is>
          <t>Understated, middle-class storytelling; Paheli adapts a Rajasthani folk tale about desire and duty.</t>
        </is>
      </c>
      <c r="L117" s="19" t="inlineStr">
        <is>
          <t>Folk-tale lyricism in Paheli, narrated by puppets.</t>
        </is>
      </c>
      <c r="M117" s="5" t="inlineStr">
        <is>
          <t>Three Filmfare Best Actor awards; six Maharashtra State Film Awards as Best Actor</t>
        </is>
      </c>
      <c r="N117" s="19" t="inlineStr">
        <is>
          <t>Part of the group of filmmakers who popularised 'middle cinema'; Paheli was India's Academy Award submission.</t>
        </is>
      </c>
      <c r="O117" s="19" t="inlineStr">
        <is>
          <t>Directed Paheli, Red Chillies Entertainment's second production, with Khan as both a neglectful merchant's son and the ghost who takes his place.</t>
        </is>
      </c>
      <c r="P117" s="17" t="n">
        <v>1</v>
      </c>
      <c r="Q117" s="5" t="inlineStr">
        <is>
          <t>FILM-055</t>
        </is>
      </c>
      <c r="R117" s="5" t="inlineStr">
        <is>
          <t>Paheli (2005)</t>
        </is>
      </c>
      <c r="S117" s="5" t="inlineStr">
        <is>
          <t>Amol Palekar, born on 24 November 1944, is an actor, director and producer in Hindi and Marathi cinema, as well as a painter and author. He was part of the movement that popularised 'middle cinema', with popular films including Chhoti Si Baat (1975), Chitchor (1976), Bhumika (1977), Baaton Baaton Mein (1979) and Gol Maal (1979), and he won three Filmfare Awards and six Maharashtra State Film Awards as Best Actor. He directed Paheli (2005), produced by Gauri Khan for Red Chillies Entertainment and based on Vijayadan Detha's Rajasthani short story 'Duvidha', with a screenplay by his wife Sandhya Gokhale. Shah Rukh Khan plays both Kishanlal, a merchant's son who leaves his bride on their wedding night, and the ghost who takes his form and wins her love. The film opened the Zimbabwe International Film Festival, screened at Sundance, and was India's official submission to the Academy Awards; Taran Adarsh called it one of the finest films of recent times.</t>
        </is>
      </c>
      <c r="T117" s="5" t="inlineStr">
        <is>
          <t>SOURCE-166; SOURCE-058</t>
        </is>
      </c>
      <c r="U117" s="5" t="inlineStr">
        <is>
          <t>Medium</t>
        </is>
      </c>
    </row>
    <row r="118" ht="64" customHeight="1">
      <c r="A118" s="15" t="inlineStr">
        <is>
          <t>PERSON-117</t>
        </is>
      </c>
      <c r="B118" s="5" t="inlineStr">
        <is>
          <t>Amrish Shah</t>
        </is>
      </c>
      <c r="C118" s="5" t="inlineStr">
        <is>
          <t>Writer</t>
        </is>
      </c>
      <c r="D118" s="20" t="n"/>
      <c r="E118" s="20" t="n"/>
      <c r="F118" s="5" t="n"/>
      <c r="G118" s="5" t="inlineStr">
        <is>
          <t>Hindi cinema</t>
        </is>
      </c>
      <c r="H118" s="5" t="inlineStr">
        <is>
          <t>A writer credited on one film in this filmography, with no Wikipedia article of their own.</t>
        </is>
      </c>
      <c r="I118" s="5" t="n"/>
      <c r="J118" s="5" t="inlineStr">
        <is>
          <t>With Khan: Don 2 (2011).</t>
        </is>
      </c>
      <c r="K118" s="19" t="n"/>
      <c r="L118" s="19" t="n"/>
      <c r="M118" s="5" t="n"/>
      <c r="N118" s="19" t="n"/>
      <c r="O118" s="19" t="inlineStr">
        <is>
          <t>One film with Khan, credited as writer: Don 2 (2011), directed by Farhan Akhtar, with Khan in the lead as Mark "Don" Donald; verdict: Commercial success.</t>
        </is>
      </c>
      <c r="P118" s="17" t="n">
        <v>1</v>
      </c>
      <c r="Q118" s="5" t="inlineStr">
        <is>
          <t>FILM-076</t>
        </is>
      </c>
      <c r="R118" s="5" t="inlineStr">
        <is>
          <t>Don 2 (2011)</t>
        </is>
      </c>
      <c r="S118" s="5" t="inlineStr">
        <is>
          <t>Amrish Shah is credited as writer on Don 2 (2011). No Wikipedia article or other independent biography was located; this row is built from the film credit alone.</t>
        </is>
      </c>
      <c r="T118" s="5" t="inlineStr">
        <is>
          <t>SOURCE-079</t>
        </is>
      </c>
      <c r="U118" s="5" t="inlineStr">
        <is>
          <t>Low</t>
        </is>
      </c>
    </row>
    <row r="119" ht="94" customHeight="1">
      <c r="A119" s="15" t="inlineStr">
        <is>
          <t>PERSON-118</t>
        </is>
      </c>
      <c r="B119" s="5" t="inlineStr">
        <is>
          <t>Anand Raj Anand</t>
        </is>
      </c>
      <c r="C119" s="5" t="inlineStr">
        <is>
          <t>Song composer</t>
        </is>
      </c>
      <c r="D119" s="17" t="n">
        <v>1962</v>
      </c>
      <c r="E119" s="20" t="n"/>
      <c r="F119" s="5" t="inlineStr">
        <is>
          <t>1995–present</t>
        </is>
      </c>
      <c r="G119" s="5" t="inlineStr">
        <is>
          <t>Hindi cinema</t>
        </is>
      </c>
      <c r="H119" s="5" t="inlineStr">
        <is>
          <t>A Delhi-born composer, lyricist and playback singer from a jewellers' family who moved to Mumbai in 1995 to pursue music.</t>
        </is>
      </c>
      <c r="I119" s="5" t="inlineStr">
        <is>
          <t>The private album Babu Tiptop (1995); first film break with 'Chhota Bachcha Jaan Ke' in Masoom (1996).</t>
        </is>
      </c>
      <c r="J119" s="5" t="inlineStr">
        <is>
          <t>With Khan: Kaal (2005). Wider work: Kaante, Musafir, Shootout at Lokhandwala, Welcome, Double Dhamaal, Shootout at Wadala.</t>
        </is>
      </c>
      <c r="K119" s="19" t="inlineStr">
        <is>
          <t>Punjabi-inflected commercial songs for action films.</t>
        </is>
      </c>
      <c r="L119" s="19" t="n"/>
      <c r="M119" s="5" t="inlineStr">
        <is>
          <t>Filmfare nomination for Best Music Director for Kaante.</t>
        </is>
      </c>
      <c r="N119" s="19" t="n"/>
      <c r="O119" s="19" t="inlineStr">
        <is>
          <t>One film: Soham Shah's horror film Kaal, a Red Chillies co-production in which Khan appears as himself in a song.</t>
        </is>
      </c>
      <c r="P119" s="17" t="n">
        <v>1</v>
      </c>
      <c r="Q119" s="5" t="inlineStr">
        <is>
          <t>FILM-053</t>
        </is>
      </c>
      <c r="R119" s="5" t="inlineStr">
        <is>
          <t>Kaal (2005)</t>
        </is>
      </c>
      <c r="S119" s="5" t="inlineStr">
        <is>
          <t>Anand Raaj Anand left the family jewellery business in 1995 to try his luck in Mumbai as a singer, released the album Babu Tiptop, and broke through as a composer with 'Chhota Bachcha Jaan Ke' in Masoom (1996). He went on to score Kaante, which brought a Filmfare nomination for Best Music Director, as well as Musafir, Welcome and the Shootout films. He composed songs for Kaal (2005), a jungle horror film produced by Karan Johar and Shah Rukh Khan's Red Chillies, in which Khan makes a self appearance in a song. The film was an average performer.</t>
        </is>
      </c>
      <c r="T119" s="5" t="inlineStr">
        <is>
          <t>SOURCE-216; SOURCE-056</t>
        </is>
      </c>
      <c r="U119" s="5" t="inlineStr">
        <is>
          <t>Medium</t>
        </is>
      </c>
    </row>
    <row r="120" ht="94" customHeight="1">
      <c r="A120" s="15" t="inlineStr">
        <is>
          <t>PERSON-119</t>
        </is>
      </c>
      <c r="B120" s="5" t="inlineStr">
        <is>
          <t>Andrea Guerra</t>
        </is>
      </c>
      <c r="C120" s="5" t="inlineStr">
        <is>
          <t>Background-score composer</t>
        </is>
      </c>
      <c r="D120" s="17" t="n">
        <v>1961</v>
      </c>
      <c r="E120" s="20" t="n"/>
      <c r="F120" s="5" t="n"/>
      <c r="G120" s="5" t="inlineStr">
        <is>
          <t>Italian cinema; Hindi cinema</t>
        </is>
      </c>
      <c r="H120" s="5" t="inlineStr">
        <is>
          <t>An Italian film composer, son of the poet and screenwriter Tonino Guerra, who trained under Ettore Ballotta and began scoring nature documentaries in Rome.</t>
        </is>
      </c>
      <c r="I120" s="5" t="n"/>
      <c r="J120" s="5" t="inlineStr">
        <is>
          <t>With Khan: Fan (2016). Wider work: Facing Windows, Hotel Rwanda, The Pursuit of Happyness; in Hindi, Dum Laga Ke Haisha.</t>
        </is>
      </c>
      <c r="K120" s="19" t="inlineStr">
        <is>
          <t>Lyrical orchestral scores for drama.</t>
        </is>
      </c>
      <c r="L120" s="19" t="n"/>
      <c r="M120" s="5" t="n"/>
      <c r="N120" s="19" t="n"/>
      <c r="O120" s="19" t="inlineStr">
        <is>
          <t>One film: Maneesh Sharma's Fan, in which Khan plays both a superstar and the obsessive fan who resembles him; Guerra wrote the background score.</t>
        </is>
      </c>
      <c r="P120" s="17" t="n">
        <v>1</v>
      </c>
      <c r="Q120" s="5" t="inlineStr">
        <is>
          <t>FILM-083</t>
        </is>
      </c>
      <c r="R120" s="5" t="inlineStr">
        <is>
          <t>Fan (2016)</t>
        </is>
      </c>
      <c r="S120" s="5" t="inlineStr">
        <is>
          <t>Andrea Guerra, born in 1961 in Santarcangelo di Romagna, is the son of the poet and screenwriter Tonino Guerra. After early work on documentaries he scored films for Ferzan Özpetek and others and reached international audiences with Hotel Rwanda and The Pursuit of Happyness. He came to Hindi cinema with Dum Laga Ke Haisha (2015) for Yash Raj Films, and the following year wrote the background score for Fan (2016), Maneesh Sharma's thriller in which Shah Rukh Khan plays both the film star Aryan Khanna and Gaurav, a young fan from Delhi who looks like him.</t>
        </is>
      </c>
      <c r="T120" s="5" t="inlineStr">
        <is>
          <t>SOURCE-217; SOURCE-086</t>
        </is>
      </c>
      <c r="U120" s="5" t="inlineStr">
        <is>
          <t>Medium</t>
        </is>
      </c>
    </row>
    <row r="121" ht="94" customHeight="1">
      <c r="A121" s="15" t="inlineStr">
        <is>
          <t>PERSON-120</t>
        </is>
      </c>
      <c r="B121" s="5" t="inlineStr">
        <is>
          <t>Anirudh Ravichander</t>
        </is>
      </c>
      <c r="C121" s="5" t="inlineStr">
        <is>
          <t>Song composer; Background-score composer</t>
        </is>
      </c>
      <c r="D121" s="17" t="n">
        <v>1990</v>
      </c>
      <c r="E121" s="20" t="n"/>
      <c r="F121" s="5" t="inlineStr">
        <is>
          <t>2012–present</t>
        </is>
      </c>
      <c r="G121" s="5" t="inlineStr">
        <is>
          <t>Tamil cinema; Telugu and Hindi cinema</t>
        </is>
      </c>
      <c r="H121" s="5" t="inlineStr">
        <is>
          <t>A Tamil composer and playback singer, son of the actor Ravi Raghavendra and the classical dancer Lakshmi Ravichander, who works mainly in Tamil cinema.</t>
        </is>
      </c>
      <c r="I121" s="5" t="inlineStr">
        <is>
          <t>'Why This Kolaveri Di' from 3 (2012), which went viral worldwide.</t>
        </is>
      </c>
      <c r="J121" s="5" t="inlineStr">
        <is>
          <t>With Khan: Jawan (2023). Wider work: Kaththi, Petta, Vikram, Jailer, Leo.</t>
        </is>
      </c>
      <c r="K121" s="19" t="inlineStr">
        <is>
          <t>High-energy mass-hero soundtracks.</t>
        </is>
      </c>
      <c r="L121" s="19" t="n"/>
      <c r="M121" s="5" t="inlineStr">
        <is>
          <t>Two Filmfare Awards South and ten SIIMA Awards.</t>
        </is>
      </c>
      <c r="N121" s="19" t="n"/>
      <c r="O121" s="19" t="inlineStr">
        <is>
          <t>One film, his Hindi debut: Atlee's Jawan, for which he wrote both songs and score; Khan plays a father and son in a double role. Khan publicly praised his work.</t>
        </is>
      </c>
      <c r="P121" s="17" t="n">
        <v>1</v>
      </c>
      <c r="Q121" s="5" t="inlineStr">
        <is>
          <t>FILM-095</t>
        </is>
      </c>
      <c r="R121" s="5" t="inlineStr">
        <is>
          <t>Jawan (2023)</t>
        </is>
      </c>
      <c r="S121" s="5" t="inlineStr">
        <is>
          <t>Anirudh Ravichander became famous at twenty-one with 'Why This Kolaveri Di', composed for the Tamil film 3 (2012), and grew into the most sought-after composer in Tamil cinema, scoring star vehicles for Vijay and Rajinikanth from Kaththi to Petta. Jawan (2023), Atlee's first Hindi film, brought him to Shah Rukh Khan after A. R. Rahman reportedly turned the project down; he composed both songs and background score for the film, an action thriller in which Khan plays a vigilante and his father. It was one of the biggest hits of Khan's career.</t>
        </is>
      </c>
      <c r="T121" s="5" t="inlineStr">
        <is>
          <t>SOURCE-218; SOURCE-098</t>
        </is>
      </c>
      <c r="U121" s="5" t="inlineStr">
        <is>
          <t>Medium</t>
        </is>
      </c>
    </row>
    <row r="122" ht="64" customHeight="1">
      <c r="A122" s="15" t="inlineStr">
        <is>
          <t>PERSON-121</t>
        </is>
      </c>
      <c r="B122" s="5" t="inlineStr">
        <is>
          <t>Anirudh Tiwari</t>
        </is>
      </c>
      <c r="C122" s="5" t="inlineStr">
        <is>
          <t>Writer</t>
        </is>
      </c>
      <c r="D122" s="20" t="n"/>
      <c r="E122" s="20" t="n"/>
      <c r="F122" s="5" t="n"/>
      <c r="G122" s="5" t="inlineStr">
        <is>
          <t>Hindi cinema</t>
        </is>
      </c>
      <c r="H122" s="5" t="inlineStr">
        <is>
          <t>A writer credited on one film in this filmography, with no Wikipedia article of their own.</t>
        </is>
      </c>
      <c r="I122" s="5" t="n"/>
      <c r="J122" s="5" t="inlineStr">
        <is>
          <t>With Khan: Yeh Lamhe Judaai Ke (2004).</t>
        </is>
      </c>
      <c r="K122" s="19" t="n"/>
      <c r="L122" s="19" t="n"/>
      <c r="M122" s="5" t="n"/>
      <c r="N122" s="19" t="n"/>
      <c r="O122" s="19" t="inlineStr">
        <is>
          <t>One film with Khan, credited as writer: Yeh Lamhe Judaai Ke (2004), directed by Birendra Nath Tiwari, with Khan in the lead as Dushyant Kumar; verdict: Box-office bomb.</t>
        </is>
      </c>
      <c r="P122" s="17" t="n">
        <v>1</v>
      </c>
      <c r="Q122" s="5" t="inlineStr">
        <is>
          <t>FILM-048</t>
        </is>
      </c>
      <c r="R122" s="5" t="inlineStr">
        <is>
          <t>Yeh Lamhe Judaai Ke (2004)</t>
        </is>
      </c>
      <c r="S122" s="5" t="inlineStr">
        <is>
          <t>Anirudh Tiwari is credited as writer on Yeh Lamhe Judaai Ke (2004). No Wikipedia article or other independent biography was located; this row is built from the film credit alone.</t>
        </is>
      </c>
      <c r="T122" s="5" t="inlineStr">
        <is>
          <t>SOURCE-051</t>
        </is>
      </c>
      <c r="U122" s="5" t="inlineStr">
        <is>
          <t>Low</t>
        </is>
      </c>
    </row>
    <row r="123" ht="64" customHeight="1">
      <c r="A123" s="15" t="inlineStr">
        <is>
          <t>PERSON-122</t>
        </is>
      </c>
      <c r="B123" s="5" t="inlineStr">
        <is>
          <t>Anjan Biswas</t>
        </is>
      </c>
      <c r="C123" s="5" t="inlineStr">
        <is>
          <t>Background-score composer</t>
        </is>
      </c>
      <c r="D123" s="20" t="n"/>
      <c r="E123" s="20" t="n"/>
      <c r="F123" s="5" t="n"/>
      <c r="G123" s="5" t="inlineStr">
        <is>
          <t>Hindi cinema</t>
        </is>
      </c>
      <c r="H123" s="5" t="inlineStr">
        <is>
          <t>A background-score composer credited on one film in this filmography, with no Wikipedia article of their own.</t>
        </is>
      </c>
      <c r="I123" s="5" t="n"/>
      <c r="J123" s="5" t="inlineStr">
        <is>
          <t>With Khan: Josh (2000).</t>
        </is>
      </c>
      <c r="K123" s="19" t="n"/>
      <c r="L123" s="19" t="n"/>
      <c r="M123" s="5" t="n"/>
      <c r="N123" s="19" t="n"/>
      <c r="O123" s="19" t="inlineStr">
        <is>
          <t>One film with Khan, credited as background-score composer: Josh (2000), directed by Mansoor Khan, with Khan in the lead as Max Dias; verdict: Average.</t>
        </is>
      </c>
      <c r="P123" s="17" t="n">
        <v>1</v>
      </c>
      <c r="Q123" s="5" t="inlineStr">
        <is>
          <t>FILM-035</t>
        </is>
      </c>
      <c r="R123" s="5" t="inlineStr">
        <is>
          <t>Josh (2000)</t>
        </is>
      </c>
      <c r="S123" s="5" t="inlineStr">
        <is>
          <t>Anjan Biswas is credited as background-score composer on Josh (2000). No Wikipedia article or other independent biography was located; this row is built from the film credit alone.</t>
        </is>
      </c>
      <c r="T123" s="5" t="inlineStr">
        <is>
          <t>SOURCE-038</t>
        </is>
      </c>
      <c r="U123" s="5" t="inlineStr">
        <is>
          <t>Low</t>
        </is>
      </c>
    </row>
    <row r="124" ht="79" customHeight="1">
      <c r="A124" s="15" t="inlineStr">
        <is>
          <t>PERSON-123</t>
        </is>
      </c>
      <c r="B124" s="5" t="inlineStr">
        <is>
          <t>Ankit Balhara</t>
        </is>
      </c>
      <c r="C124" s="5" t="inlineStr">
        <is>
          <t>Background-score composer (with Sanchit Balhara)</t>
        </is>
      </c>
      <c r="D124" s="20" t="n"/>
      <c r="E124" s="20" t="n"/>
      <c r="F124" s="5" t="n"/>
      <c r="G124" s="5" t="inlineStr">
        <is>
          <t>Hindi cinema</t>
        </is>
      </c>
      <c r="H124" s="5" t="inlineStr">
        <is>
          <t>With his younger brother Sanchit, one half of a film-score duo from Sonipat, Haryana; their father is the Haryanvi singer and filmmaker Bhal Singh Balhara. He joined Sanchit in 2018.</t>
        </is>
      </c>
      <c r="I124" s="5" t="inlineStr">
        <is>
          <t>As a duo, Manikarnika: The Queen of Jhansi (2019).</t>
        </is>
      </c>
      <c r="J124" s="5" t="inlineStr">
        <is>
          <t>With Khan: Pathaan (2023). Wider work (duo): Manikarnika; Sanchit alone scored Bajirao Mastani.</t>
        </is>
      </c>
      <c r="K124" s="19" t="inlineStr">
        <is>
          <t>Large orchestral scores for historical and action films.</t>
        </is>
      </c>
      <c r="L124" s="19" t="n"/>
      <c r="M124" s="5" t="n"/>
      <c r="N124" s="19" t="n"/>
      <c r="O124" s="19" t="inlineStr">
        <is>
          <t>One film: Siddharth Anand's Pathaan, Khan's spy-film comeback, for which the Balharas wrote the background score.</t>
        </is>
      </c>
      <c r="P124" s="17" t="n">
        <v>1</v>
      </c>
      <c r="Q124" s="5" t="inlineStr">
        <is>
          <t>FILM-094</t>
        </is>
      </c>
      <c r="R124" s="5" t="inlineStr">
        <is>
          <t>Pathaan (2023)</t>
        </is>
      </c>
      <c r="S124" s="5" t="inlineStr">
        <is>
          <t>Ankit Balhara works with his brother Sanchit as a background-score team; Sanchit made his name on Sanjay Leela Bhansali's Bajirao Mastani (2015), and Ankit joined him in 2018, starting with Manikarnika: The Queen of Jhansi. The brothers grew up in Sonipat in a family connected to Haryanvi cinema. Their score for Pathaan (2023), Yash Raj Films' spy thriller starring Shah Rukh Khan as an exiled agent, is their only Khan credit. The roster lists Ankit and Sanchit separately because the film credits them that way.</t>
        </is>
      </c>
      <c r="T124" s="5" t="inlineStr">
        <is>
          <t>SOURCE-219; SOURCE-097</t>
        </is>
      </c>
      <c r="U124" s="5" t="inlineStr">
        <is>
          <t>Medium</t>
        </is>
      </c>
    </row>
    <row r="125" ht="94" customHeight="1">
      <c r="A125" s="15" t="inlineStr">
        <is>
          <t>PERSON-124</t>
        </is>
      </c>
      <c r="B125" s="5" t="inlineStr">
        <is>
          <t>Anubhav Sinha</t>
        </is>
      </c>
      <c r="C125" s="5" t="inlineStr">
        <is>
          <t>Director; Writer</t>
        </is>
      </c>
      <c r="D125" s="17" t="n">
        <v>1965</v>
      </c>
      <c r="E125" s="20" t="n"/>
      <c r="F125" s="5" t="inlineStr">
        <is>
          <t>1993–present</t>
        </is>
      </c>
      <c r="G125" s="5" t="inlineStr">
        <is>
          <t>Hindi cinema</t>
        </is>
      </c>
      <c r="H125" s="5" t="inlineStr">
        <is>
          <t>A director, producer and writer born in Allahabad who studied mechanical engineering at Aligarh Muslim University, did theatre in Delhi and directed television and music videos before films.</t>
        </is>
      </c>
      <c r="I125" s="5" t="inlineStr">
        <is>
          <t>Tum Bin (2001).</t>
        </is>
      </c>
      <c r="J125" s="5" t="inlineStr">
        <is>
          <t>With Khan: Ra.One (2011). Wider work: Tum Bin, Dus, Mulk, Article 15, Thappad, Anek, Bheed; the series IC 814: The Kandahar Hijack.</t>
        </is>
      </c>
      <c r="K125" s="19" t="inlineStr">
        <is>
          <t>Early slick commercial films; from 2018, socio-political drama.</t>
        </is>
      </c>
      <c r="L125" s="19" t="n"/>
      <c r="M125" s="5" t="n"/>
      <c r="N125" s="19" t="n"/>
      <c r="O125" s="19" t="inlineStr">
        <is>
          <t>One film: Ra.One, which he directed and co-wrote, Khan's expensive superhero production for Red Chillies, with Khan in a double role.</t>
        </is>
      </c>
      <c r="P125" s="17" t="n">
        <v>1</v>
      </c>
      <c r="Q125" s="5" t="inlineStr">
        <is>
          <t>FILM-075</t>
        </is>
      </c>
      <c r="R125" s="5" t="inlineStr">
        <is>
          <t>Ra.One (2011)</t>
        </is>
      </c>
      <c r="S125" s="5" t="inlineStr">
        <is>
          <t>Anubhav Sinha moved to Mumbai in 1990 after theatre work in Delhi, assisted Pankaj Parashar and directed television and music videos before his first feature, Tum Bin (2001). He made the action film Dus (2005) and then Ra.One (2011), Shah Rukh Khan's superhero film with Arjun Rampal and Kareena Kapoor. Khan played both a game designer and his digital creation, and the film was one of Red Chillies' most expensive productions. Sinha's later career turned to social and political drama with Mulk, Article 15, Thappad, Anek and Bheed, followed by the Netflix series IC 814.</t>
        </is>
      </c>
      <c r="T125" s="5" t="inlineStr">
        <is>
          <t>SOURCE-220; SOURCE-078</t>
        </is>
      </c>
      <c r="U125" s="5" t="inlineStr">
        <is>
          <t>Medium</t>
        </is>
      </c>
    </row>
    <row r="126" ht="79" customHeight="1">
      <c r="A126" s="15" t="inlineStr">
        <is>
          <t>PERSON-125</t>
        </is>
      </c>
      <c r="B126" s="5" t="inlineStr">
        <is>
          <t>Anuja Chauhan</t>
        </is>
      </c>
      <c r="C126" s="5" t="inlineStr">
        <is>
          <t>Writer</t>
        </is>
      </c>
      <c r="D126" s="20" t="n"/>
      <c r="E126" s="20" t="n"/>
      <c r="F126" s="5" t="n"/>
      <c r="G126" s="5" t="inlineStr">
        <is>
          <t>English-language fiction; Hindi cinema</t>
        </is>
      </c>
      <c r="H126" s="5" t="inlineStr">
        <is>
          <t>An Indian novelist and screenwriter who spent seventeen years at the advertising agency JWT before writing fiction; she grew up in army cantonments and studied economics at Miranda House.</t>
        </is>
      </c>
      <c r="I126" s="5" t="inlineStr">
        <is>
          <t>The novel The Zoya Factor (2008).</t>
        </is>
      </c>
      <c r="J126" s="5" t="inlineStr">
        <is>
          <t>With Khan: The Zoya Factor (2019). Novels: The Zoya Factor, Battle for Bittora, Those Pricey Thakur Girls, The House That BJ Built, Baaz, Club You to Death.</t>
        </is>
      </c>
      <c r="K126" s="19" t="inlineStr">
        <is>
          <t>Comic romances in contemporary Indian settings.</t>
        </is>
      </c>
      <c r="L126" s="19" t="n"/>
      <c r="M126" s="5" t="n"/>
      <c r="N126" s="19" t="n"/>
      <c r="O126" s="19" t="inlineStr">
        <is>
          <t>One film: the screen adaptation of her novel The Zoya Factor, which Khan narrates. Khan's Red Chillies had earlier optioned the book.</t>
        </is>
      </c>
      <c r="P126" s="17" t="n">
        <v>1</v>
      </c>
      <c r="Q126" s="5" t="inlineStr">
        <is>
          <t>FILM-090</t>
        </is>
      </c>
      <c r="R126" s="5" t="inlineStr">
        <is>
          <t>The Zoya Factor (2019)</t>
        </is>
      </c>
      <c r="S126" s="5" t="inlineStr">
        <is>
          <t>Anuja Chauhan worked at JWT from 1993, where she was responsible for many well-known advertising campaigns, before publishing The Zoya Factor (2008), a comic novel about a woman who becomes the Indian cricket team's lucky charm. Red Chillies Entertainment, Shah Rukh Khan's company, first optioned the book; the film eventually made by Abhishek Sharma in 2019, with Khan as narrator, was a box-office disaster. Chauhan's later novels include Battle for Bittora, Those Pricey Thakur Girls and Baaz.</t>
        </is>
      </c>
      <c r="T126" s="5" t="inlineStr">
        <is>
          <t>SOURCE-221; SOURCE-093</t>
        </is>
      </c>
      <c r="U126" s="5" t="inlineStr">
        <is>
          <t>Medium</t>
        </is>
      </c>
    </row>
    <row r="127" ht="109" customHeight="1">
      <c r="A127" s="15" t="inlineStr">
        <is>
          <t>PERSON-126</t>
        </is>
      </c>
      <c r="B127" s="5" t="inlineStr">
        <is>
          <t>Anurag Kashyap</t>
        </is>
      </c>
      <c r="C127" s="5" t="inlineStr">
        <is>
          <t>Director; Writer (anthology segment)</t>
        </is>
      </c>
      <c r="D127" s="20" t="n"/>
      <c r="E127" s="20" t="n"/>
      <c r="F127" s="5" t="inlineStr">
        <is>
          <t>1997–present</t>
        </is>
      </c>
      <c r="G127" s="5" t="inlineStr">
        <is>
          <t>Hindi cinema</t>
        </is>
      </c>
      <c r="H127" s="5" t="inlineStr">
        <is>
          <t>A Hindi-film director and actor who rose as a co-writer for Ram Gopal Varma and became the leading figure of independent Hindi cinema in the 2000s and 2010s.</t>
        </is>
      </c>
      <c r="I127" s="5" t="inlineStr">
        <is>
          <t>Co-writer of Satya (1998); directorial debut Paanch, which was never released.</t>
        </is>
      </c>
      <c r="J127" s="5" t="inlineStr">
        <is>
          <t>With Khan: Bombay Talkies (2013), his segment. Wider work: Black Friday, Dev.D, Gulaal, Gangs of Wasseypur.</t>
        </is>
      </c>
      <c r="K127" s="19" t="inlineStr">
        <is>
          <t>Crime, urban violence and literary adaptation.</t>
        </is>
      </c>
      <c r="L127" s="19" t="n"/>
      <c r="M127" s="5" t="inlineStr">
        <is>
          <t>Four Filmfare Awards; Knight of the Order of Arts and Letters (France, 2013).</t>
        </is>
      </c>
      <c r="N127" s="19" t="inlineStr">
        <is>
          <t>The central figure of the Hindi indie wave.</t>
        </is>
      </c>
      <c r="O127" s="19" t="inlineStr">
        <is>
          <t>One film: the anthology Bombay Talkies, in which Kashyap directed and wrote one of four segments. Khan appears as himself in the film.</t>
        </is>
      </c>
      <c r="P127" s="17" t="n">
        <v>1</v>
      </c>
      <c r="Q127" s="5" t="inlineStr">
        <is>
          <t>FILM-078</t>
        </is>
      </c>
      <c r="R127" s="5" t="inlineStr">
        <is>
          <t>Bombay Talkies (2013)</t>
        </is>
      </c>
      <c r="S127" s="5" t="inlineStr">
        <is>
          <t>Anurag Kashyap broke through as co-writer of Ram Gopal Varma's Satya (1998); his own debut, Paanch, was blocked by the censors, and Black Friday (2004) was held up for years before release. Dev.D (2009), a modern Devdas, was his first commercial success, and Gangs of Wasseypur (2012) made him the most prominent independent filmmaker in Hindi. He directed one of the four segments of Bombay Talkies (2013), an anthology marking the centenary of Indian cinema, alongside Karan Johar, Dibakar Banerjee and Zoya Akhtar; Shah Rukh Khan appears as himself. Sources disagree on his birth year (1972 in the article, 1970 in its short description), so it is left blank.</t>
        </is>
      </c>
      <c r="T127" s="5" t="inlineStr">
        <is>
          <t>SOURCE-222; SOURCE-081</t>
        </is>
      </c>
      <c r="U127" s="5" t="inlineStr">
        <is>
          <t>Medium</t>
        </is>
      </c>
    </row>
    <row r="128" ht="49" customHeight="1">
      <c r="A128" s="15" t="inlineStr">
        <is>
          <t>PERSON-127</t>
        </is>
      </c>
      <c r="B128" s="5" t="inlineStr">
        <is>
          <t>Aparna Malhotra</t>
        </is>
      </c>
      <c r="C128" s="5" t="inlineStr">
        <is>
          <t>Writer</t>
        </is>
      </c>
      <c r="D128" s="20" t="n"/>
      <c r="E128" s="20" t="n"/>
      <c r="F128" s="5" t="n"/>
      <c r="G128" s="5" t="inlineStr">
        <is>
          <t>Hindi cinema</t>
        </is>
      </c>
      <c r="H128" s="5" t="inlineStr">
        <is>
          <t>A writer credited on one film in this filmography, with no Wikipedia article of their own.</t>
        </is>
      </c>
      <c r="I128" s="5" t="n"/>
      <c r="J128" s="5" t="inlineStr">
        <is>
          <t>With Khan: Shaurya (2008).</t>
        </is>
      </c>
      <c r="K128" s="19" t="n"/>
      <c r="L128" s="19" t="n"/>
      <c r="M128" s="5" t="n"/>
      <c r="N128" s="19" t="n"/>
      <c r="O128" s="19" t="inlineStr">
        <is>
          <t>One film with Khan, credited as writer: Shaurya (2008), directed by Samar Khan, with Khan in the narration.</t>
        </is>
      </c>
      <c r="P128" s="17" t="n">
        <v>1</v>
      </c>
      <c r="Q128" s="5" t="inlineStr">
        <is>
          <t>FILM-063</t>
        </is>
      </c>
      <c r="R128" s="5" t="inlineStr">
        <is>
          <t>Shaurya (2008)</t>
        </is>
      </c>
      <c r="S128" s="5" t="inlineStr">
        <is>
          <t>Aparna Malhotra is credited as writer on Shaurya (2008). No Wikipedia article or other independent biography was located; this row is built from the film credit alone.</t>
        </is>
      </c>
      <c r="T128" s="5" t="inlineStr">
        <is>
          <t>SOURCE-066</t>
        </is>
      </c>
      <c r="U128" s="5" t="inlineStr">
        <is>
          <t>Low</t>
        </is>
      </c>
    </row>
    <row r="129" ht="64" customHeight="1">
      <c r="A129" s="15" t="inlineStr">
        <is>
          <t>PERSON-128</t>
        </is>
      </c>
      <c r="B129" s="5" t="inlineStr">
        <is>
          <t>Archlightz Films</t>
        </is>
      </c>
      <c r="C129" s="5" t="inlineStr">
        <is>
          <t>Production banner</t>
        </is>
      </c>
      <c r="D129" s="20" t="n"/>
      <c r="E129" s="20" t="n"/>
      <c r="F129" s="5" t="n"/>
      <c r="G129" s="5" t="inlineStr">
        <is>
          <t>Hindi cinema</t>
        </is>
      </c>
      <c r="H129" s="5" t="inlineStr">
        <is>
          <t>A production banner credited on one film in this filmography, with no Wikipedia article of its own.</t>
        </is>
      </c>
      <c r="I129" s="5" t="n"/>
      <c r="J129" s="5" t="inlineStr">
        <is>
          <t>With Khan: Aśoka (2001).</t>
        </is>
      </c>
      <c r="K129" s="19" t="n"/>
      <c r="L129" s="19" t="n"/>
      <c r="M129" s="5" t="n"/>
      <c r="N129" s="19" t="n"/>
      <c r="O129" s="19" t="inlineStr">
        <is>
          <t>One film with Khan, credited as production banner: Aśoka (2001), directed by Santosh Sivan, with Khan in the lead as Ashoka Maurya.</t>
        </is>
      </c>
      <c r="P129" s="17" t="n">
        <v>1</v>
      </c>
      <c r="Q129" s="5" t="inlineStr">
        <is>
          <t>FILM-040</t>
        </is>
      </c>
      <c r="R129" s="5" t="inlineStr">
        <is>
          <t>Aśoka (2001)</t>
        </is>
      </c>
      <c r="S129" s="5" t="inlineStr">
        <is>
          <t>Archlightz Films is credited as production banner on Aśoka (2001). No Wikipedia article or other independent biography was located for the company; this row is built from the film credit alone.</t>
        </is>
      </c>
      <c r="T129" s="5" t="inlineStr">
        <is>
          <t>SOURCE-043</t>
        </is>
      </c>
      <c r="U129" s="5" t="inlineStr">
        <is>
          <t>Low</t>
        </is>
      </c>
    </row>
    <row r="130" ht="64" customHeight="1">
      <c r="A130" s="15" t="inlineStr">
        <is>
          <t>PERSON-129</t>
        </is>
      </c>
      <c r="B130" s="5" t="inlineStr">
        <is>
          <t>Ashi Dua</t>
        </is>
      </c>
      <c r="C130" s="5" t="inlineStr">
        <is>
          <t>Producer</t>
        </is>
      </c>
      <c r="D130" s="20" t="n"/>
      <c r="E130" s="20" t="n"/>
      <c r="F130" s="5" t="n"/>
      <c r="G130" s="5" t="inlineStr">
        <is>
          <t>Hindi cinema</t>
        </is>
      </c>
      <c r="H130" s="5" t="inlineStr">
        <is>
          <t>A producer credited on one film in this filmography, with no Wikipedia article of their own.</t>
        </is>
      </c>
      <c r="I130" s="5" t="n"/>
      <c r="J130" s="5" t="inlineStr">
        <is>
          <t>With Khan: Bombay Talkies (2013).</t>
        </is>
      </c>
      <c r="K130" s="19" t="n"/>
      <c r="L130" s="19" t="n"/>
      <c r="M130" s="5" t="n"/>
      <c r="N130" s="19" t="n"/>
      <c r="O130" s="19" t="inlineStr">
        <is>
          <t>One film with Khan, credited as producer: Bombay Talkies (2013), directed by Karan Johar, Dibakar Banerjee, Zoya Akhtar and Anurag Kashyap, with Khan in a self appearance.</t>
        </is>
      </c>
      <c r="P130" s="17" t="n">
        <v>1</v>
      </c>
      <c r="Q130" s="5" t="inlineStr">
        <is>
          <t>FILM-078</t>
        </is>
      </c>
      <c r="R130" s="5" t="inlineStr">
        <is>
          <t>Bombay Talkies (2013)</t>
        </is>
      </c>
      <c r="S130" s="5" t="inlineStr">
        <is>
          <t>Ashi Dua is credited as producer on Bombay Talkies (2013). No Wikipedia article or other independent biography was located; this row is built from the film credit alone.</t>
        </is>
      </c>
      <c r="T130" s="5" t="inlineStr">
        <is>
          <t>SOURCE-081</t>
        </is>
      </c>
      <c r="U130" s="5" t="inlineStr">
        <is>
          <t>Low</t>
        </is>
      </c>
    </row>
    <row r="131" ht="64" customHeight="1">
      <c r="A131" s="15" t="inlineStr">
        <is>
          <t>PERSON-130</t>
        </is>
      </c>
      <c r="B131" s="5" t="inlineStr">
        <is>
          <t>Ashish Vashi</t>
        </is>
      </c>
      <c r="C131" s="5" t="inlineStr">
        <is>
          <t>Writer</t>
        </is>
      </c>
      <c r="D131" s="20" t="n"/>
      <c r="E131" s="20" t="n"/>
      <c r="F131" s="5" t="n"/>
      <c r="G131" s="5" t="inlineStr">
        <is>
          <t>Hindi cinema</t>
        </is>
      </c>
      <c r="H131" s="5" t="inlineStr">
        <is>
          <t>A writer credited on one film in this filmography, with no Wikipedia article of their own.</t>
        </is>
      </c>
      <c r="I131" s="5" t="n"/>
      <c r="J131" s="5" t="inlineStr">
        <is>
          <t>With Khan: Raees (2017).</t>
        </is>
      </c>
      <c r="K131" s="19" t="n"/>
      <c r="L131" s="19" t="n"/>
      <c r="M131" s="5" t="n"/>
      <c r="N131" s="19" t="n"/>
      <c r="O131" s="19" t="inlineStr">
        <is>
          <t>One film with Khan, credited as writer: Raees (2017), directed by Rahul Dholakia, with Khan in the lead as Raees Alam; verdict: Moderate success.</t>
        </is>
      </c>
      <c r="P131" s="17" t="n">
        <v>1</v>
      </c>
      <c r="Q131" s="5" t="inlineStr">
        <is>
          <t>FILM-086</t>
        </is>
      </c>
      <c r="R131" s="5" t="inlineStr">
        <is>
          <t>Raees (2017)</t>
        </is>
      </c>
      <c r="S131" s="5" t="inlineStr">
        <is>
          <t>Ashish Vashi is credited as writer on Raees (2017). No Wikipedia article or other independent biography was located; this row is built from the film credit alone.</t>
        </is>
      </c>
      <c r="T131" s="5" t="inlineStr">
        <is>
          <t>SOURCE-089</t>
        </is>
      </c>
      <c r="U131" s="5" t="inlineStr">
        <is>
          <t>Low</t>
        </is>
      </c>
    </row>
    <row r="132" ht="64" customHeight="1">
      <c r="A132" s="15" t="inlineStr">
        <is>
          <t>PERSON-131</t>
        </is>
      </c>
      <c r="B132" s="5" t="inlineStr">
        <is>
          <t>Ashok Mishra</t>
        </is>
      </c>
      <c r="C132" s="5" t="inlineStr">
        <is>
          <t>Producer</t>
        </is>
      </c>
      <c r="D132" s="20" t="n"/>
      <c r="E132" s="20" t="n"/>
      <c r="F132" s="5" t="n"/>
      <c r="G132" s="5" t="inlineStr">
        <is>
          <t>Hindi cinema</t>
        </is>
      </c>
      <c r="H132" s="5" t="inlineStr">
        <is>
          <t>A producer credited on one film in this filmography, with no Wikipedia article of their own.</t>
        </is>
      </c>
      <c r="I132" s="5" t="n"/>
      <c r="J132" s="5" t="inlineStr">
        <is>
          <t>With Khan: Dushman Duniya Ka (1996).</t>
        </is>
      </c>
      <c r="K132" s="19" t="n"/>
      <c r="L132" s="19" t="n"/>
      <c r="M132" s="5" t="n"/>
      <c r="N132" s="19" t="n"/>
      <c r="O132" s="19" t="inlineStr">
        <is>
          <t>One film with Khan, credited as producer: Dushman Duniya Ka (1996), directed by Mehmood, with Khan in a cameo as Badru; verdict: Box-office disaster.</t>
        </is>
      </c>
      <c r="P132" s="17" t="n">
        <v>1</v>
      </c>
      <c r="Q132" s="5" t="inlineStr">
        <is>
          <t>FILM-022</t>
        </is>
      </c>
      <c r="R132" s="5" t="inlineStr">
        <is>
          <t>Dushman Duniya Ka (1996)</t>
        </is>
      </c>
      <c r="S132" s="5" t="inlineStr">
        <is>
          <t>Ashok Mishra is credited as producer on Dushman Duniya Ka (1996). No Wikipedia article or other independent biography was located; this row is built from the film credit alone.</t>
        </is>
      </c>
      <c r="T132" s="5" t="inlineStr">
        <is>
          <t>SOURCE-025</t>
        </is>
      </c>
      <c r="U132" s="5" t="inlineStr">
        <is>
          <t>Low</t>
        </is>
      </c>
    </row>
    <row r="133" ht="64" customHeight="1">
      <c r="A133" s="15" t="inlineStr">
        <is>
          <t>PERSON-132</t>
        </is>
      </c>
      <c r="B133" s="5" t="inlineStr">
        <is>
          <t>Ashu Trikha</t>
        </is>
      </c>
      <c r="C133" s="5" t="inlineStr">
        <is>
          <t>Director; Writer</t>
        </is>
      </c>
      <c r="D133" s="17" t="n">
        <v>1963</v>
      </c>
      <c r="E133" s="20" t="n"/>
      <c r="F133" s="5" t="inlineStr">
        <is>
          <t>2001–present</t>
        </is>
      </c>
      <c r="G133" s="5" t="inlineStr">
        <is>
          <t>Hindi cinema</t>
        </is>
      </c>
      <c r="H133" s="5" t="inlineStr">
        <is>
          <t>A Hindi-film director and producer who started with films produced by Vashu Bhagnani.</t>
        </is>
      </c>
      <c r="I133" s="5" t="inlineStr">
        <is>
          <t>Deewaanapan (2001), starring Arjun Rampal.</t>
        </is>
      </c>
      <c r="J133" s="5" t="inlineStr">
        <is>
          <t>With Khan: Alag (2006). Wider work: Deewaanapan, Sheesha, Baabarr, Enemmy.</t>
        </is>
      </c>
      <c r="K133" s="19" t="inlineStr">
        <is>
          <t>Mid-budget thrillers and action dramas, several with Mithun Chakraborty.</t>
        </is>
      </c>
      <c r="L133" s="19" t="n"/>
      <c r="M133" s="5" t="n"/>
      <c r="N133" s="19" t="n"/>
      <c r="O133" s="19" t="inlineStr">
        <is>
          <t>One film: Alag, his science-fiction drama about a boy with telekinetic powers, in which Khan appears as himself in a song.</t>
        </is>
      </c>
      <c r="P133" s="17" t="n">
        <v>1</v>
      </c>
      <c r="Q133" s="5" t="inlineStr">
        <is>
          <t>FILM-056</t>
        </is>
      </c>
      <c r="R133" s="5" t="inlineStr">
        <is>
          <t>Alag (2006)</t>
        </is>
      </c>
      <c r="S133" s="5" t="inlineStr">
        <is>
          <t>Ashu Trikha debuted with Deewaanapan (2001) for Vashu Bhagnani and made a series of mid-budget films after it, including Sheesha (2005), Baabarr and Enemmy, the last two with Mithun Chakraborty. He wrote and directed Alag (2006), about a boy raised in isolation who develops telekinetic powers, in which Shah Rukh Khan appears as himself in a song number. Trikha has no other connection to Khan.</t>
        </is>
      </c>
      <c r="T133" s="5" t="inlineStr">
        <is>
          <t>SOURCE-223; SOURCE-059</t>
        </is>
      </c>
      <c r="U133" s="5" t="inlineStr">
        <is>
          <t>Medium</t>
        </is>
      </c>
    </row>
    <row r="134" ht="64" customHeight="1">
      <c r="A134" s="15" t="inlineStr">
        <is>
          <t>PERSON-133</t>
        </is>
      </c>
      <c r="B134" s="5" t="inlineStr">
        <is>
          <t>Ashutosh Gowariker Productions</t>
        </is>
      </c>
      <c r="C134" s="5" t="inlineStr">
        <is>
          <t>Production banner</t>
        </is>
      </c>
      <c r="D134" s="20" t="n"/>
      <c r="E134" s="20" t="n"/>
      <c r="F134" s="5" t="n"/>
      <c r="G134" s="5" t="inlineStr">
        <is>
          <t>Hindi cinema</t>
        </is>
      </c>
      <c r="H134" s="5" t="inlineStr">
        <is>
          <t>A production banner credited on one film in this filmography, with no Wikipedia article of its own.</t>
        </is>
      </c>
      <c r="I134" s="5" t="n"/>
      <c r="J134" s="5" t="inlineStr">
        <is>
          <t>With Khan: Swades (2004).</t>
        </is>
      </c>
      <c r="K134" s="19" t="n"/>
      <c r="L134" s="19" t="n"/>
      <c r="M134" s="5" t="n"/>
      <c r="N134" s="19" t="n"/>
      <c r="O134" s="19" t="inlineStr">
        <is>
          <t>One film with Khan, credited as production banner: Swades (2004), directed by Ashutosh Gowariker, with Khan in the lead as Mohan Bhargav; verdict: Commercial failure.</t>
        </is>
      </c>
      <c r="P134" s="17" t="n">
        <v>1</v>
      </c>
      <c r="Q134" s="5" t="inlineStr">
        <is>
          <t>FILM-051</t>
        </is>
      </c>
      <c r="R134" s="5" t="inlineStr">
        <is>
          <t>Swades (2004)</t>
        </is>
      </c>
      <c r="S134" s="5" t="inlineStr">
        <is>
          <t>Ashutosh Gowariker Productions is credited as production banner on Swades (2004). No Wikipedia article or other independent biography was located for the company; this row is built from the film credit alone.</t>
        </is>
      </c>
      <c r="T134" s="5" t="inlineStr">
        <is>
          <t>SOURCE-054</t>
        </is>
      </c>
      <c r="U134" s="5" t="inlineStr">
        <is>
          <t>Low</t>
        </is>
      </c>
    </row>
    <row r="135" ht="79" customHeight="1">
      <c r="A135" s="15" t="inlineStr">
        <is>
          <t>PERSON-134</t>
        </is>
      </c>
      <c r="B135" s="5" t="inlineStr">
        <is>
          <t>Ashwni Dhir</t>
        </is>
      </c>
      <c r="C135" s="5" t="inlineStr">
        <is>
          <t>Writer</t>
        </is>
      </c>
      <c r="D135" s="17" t="n">
        <v>1968</v>
      </c>
      <c r="E135" s="20" t="n"/>
      <c r="F135" s="5" t="inlineStr">
        <is>
          <t>2000–present</t>
        </is>
      </c>
      <c r="G135" s="5" t="inlineStr">
        <is>
          <t>Hindi cinema</t>
        </is>
      </c>
      <c r="H135" s="5" t="inlineStr">
        <is>
          <t>A Kanpur-born director and screenwriter from a Punjabi family who wrote and produced television comedy for SAB TV, including Office Office and Chidiya Ghar.</t>
        </is>
      </c>
      <c r="I135" s="5" t="n"/>
      <c r="J135" s="5" t="inlineStr">
        <is>
          <t>With Khan: Krazzy 4 (2008). Wider work as director: One Two Three, Atithi Tum Kab Jaoge?, Son of Sardaar, Guest Iin London.</t>
        </is>
      </c>
      <c r="K135" s="19" t="inlineStr">
        <is>
          <t>Situational comedy.</t>
        </is>
      </c>
      <c r="L135" s="19" t="n"/>
      <c r="M135" s="5" t="n"/>
      <c r="N135" s="19" t="n"/>
      <c r="O135" s="19" t="inlineStr">
        <is>
          <t>One film: Krazzy 4, a Rakesh Roshan production about four mental patients loose in Mumbai, which Dhir co-wrote and in which Khan appears as himself in a song.</t>
        </is>
      </c>
      <c r="P135" s="17" t="n">
        <v>1</v>
      </c>
      <c r="Q135" s="5" t="inlineStr">
        <is>
          <t>FILM-064</t>
        </is>
      </c>
      <c r="R135" s="5" t="inlineStr">
        <is>
          <t>Krazzy 4 (2008)</t>
        </is>
      </c>
      <c r="S135" s="5" t="inlineStr">
        <is>
          <t>Ashwni Dhir studied economics and journalism in Kanpur and came into the industry through television comedy, writing Office Office and producing Chidiya Ghar for SAB TV. As a film director he made One Two Three (2008), Atithi Tum Kab Jaoge? (2010), Son of Sardaar (2012) and Guest Iin London (2017). He co-wrote Krazzy 4 (2008), Jaideep Sen's comedy produced by Rakesh Roshan, in which Shah Rukh Khan makes a self appearance in a song. The film was a moderate success.</t>
        </is>
      </c>
      <c r="T135" s="5" t="inlineStr">
        <is>
          <t>SOURCE-224; SOURCE-067</t>
        </is>
      </c>
      <c r="U135" s="5" t="inlineStr">
        <is>
          <t>Medium</t>
        </is>
      </c>
    </row>
    <row r="136" ht="139" customHeight="1">
      <c r="A136" s="15" t="inlineStr">
        <is>
          <t>PERSON-135</t>
        </is>
      </c>
      <c r="B136" s="5" t="inlineStr">
        <is>
          <t>Atlee</t>
        </is>
      </c>
      <c r="C136" s="5" t="inlineStr">
        <is>
          <t>Director; screenwriter; producer</t>
        </is>
      </c>
      <c r="D136" s="17" t="n">
        <v>1986</v>
      </c>
      <c r="E136" s="20" t="n"/>
      <c r="F136" s="5" t="inlineStr">
        <is>
          <t>2010–present</t>
        </is>
      </c>
      <c r="G136" s="5" t="inlineStr">
        <is>
          <t>Tamil; Hindi</t>
        </is>
      </c>
      <c r="H136" s="5" t="n"/>
      <c r="I136" s="5" t="inlineStr">
        <is>
          <t>Raja Rani (2013).</t>
        </is>
      </c>
      <c r="J136" s="5" t="inlineStr">
        <is>
          <t>Raja Rani (2013); Theri (2016); Mersal (2017); Bigil (2019); Jawan (2023)</t>
        </is>
      </c>
      <c r="K136" s="19" t="inlineStr">
        <is>
          <t>Mass-appeal action dramas with social messages.</t>
        </is>
      </c>
      <c r="L136" s="19" t="inlineStr">
        <is>
          <t>High-octane commercial Tamil filmmaking with plot twists and star-centred set pieces.</t>
        </is>
      </c>
      <c r="M136" s="5" t="inlineStr">
        <is>
          <t>Vijay Award for Best Debut Director and Tamil Nadu State Award for Best Dialogue (Raja Rani)</t>
        </is>
      </c>
      <c r="N136" s="19" t="inlineStr">
        <is>
          <t>His Hindi debut, Jawan, is among the highest-grossing Indian films; his work has also faced plagiarism allegations.</t>
        </is>
      </c>
      <c r="O136" s="19" t="inlineStr">
        <is>
          <t>Directed and co-wrote Jawan, casting Khan in a double role as a vigilante jailer and his wrongly disgraced father; Khan had described Atlee's Bigil as 'Chak De India on steroids'.</t>
        </is>
      </c>
      <c r="P136" s="17" t="n">
        <v>1</v>
      </c>
      <c r="Q136" s="5" t="inlineStr">
        <is>
          <t>FILM-095</t>
        </is>
      </c>
      <c r="R136" s="5" t="inlineStr">
        <is>
          <t>Jawan (2023)</t>
        </is>
      </c>
      <c r="S136" s="5" t="inlineStr">
        <is>
          <t>Arun 'Atlee' Kumar, born on 21 September 1986, is a filmmaker working primarily in Tamil cinema. His debut, Raja Rani (2013), won him the Vijay Award for Best Debut Director and the Tamil Nadu State Award for best dialogue, and he followed it with three hits starring Vijay: Theri (2016), Mersal (2017) and Bigil (2019), which Shah Rukh Khan described as 'Chak De India on steroids'. His films have also attracted plagiarism allegations. Atlee made his Hindi debut with Jawan (2023), produced by Gauri Khan for Red Chillies Entertainment. Khan plays Azad, a prison jailer who leads a band of women inmates in heists exposing corruption, and his father Vikram, a soldier framed by an arms dealer. The film broke opening-day records, overtook Pathaan as the highest net-grossing Hindi film in India, and won Khan the National Film Award for Best Actor. Critics credited Khan's screen image with selling its conceit, although some found the story chaotic.</t>
        </is>
      </c>
      <c r="T136" s="5" t="inlineStr">
        <is>
          <t>SOURCE-185; SOURCE-098</t>
        </is>
      </c>
      <c r="U136" s="5" t="inlineStr">
        <is>
          <t>Medium</t>
        </is>
      </c>
    </row>
    <row r="137" ht="79" customHeight="1">
      <c r="A137" s="15" t="inlineStr">
        <is>
          <t>PERSON-136</t>
        </is>
      </c>
      <c r="B137" s="5" t="inlineStr">
        <is>
          <t>Atul Kulkarni</t>
        </is>
      </c>
      <c r="C137" s="5" t="inlineStr">
        <is>
          <t>Writer (screenplay); actor</t>
        </is>
      </c>
      <c r="D137" s="17" t="n">
        <v>1965</v>
      </c>
      <c r="E137" s="20" t="n"/>
      <c r="F137" s="5" t="n"/>
      <c r="G137" s="5" t="inlineStr">
        <is>
          <t>Hindi and Marathi cinema; multilingual</t>
        </is>
      </c>
      <c r="H137" s="5" t="inlineStr">
        <is>
          <t>An actor, producer and screenwriter trained at the National School of Drama (diploma 1995), who works across Hindi, Marathi and South Indian cinema and is president of Quest, an education research organisation.</t>
        </is>
      </c>
      <c r="I137" s="5" t="inlineStr">
        <is>
          <t>Hey Ram (2000).</t>
        </is>
      </c>
      <c r="J137" s="5" t="inlineStr">
        <is>
          <t>With Khan: Laal Singh Chaddha (2022). As actor: Hey Ram, Chandni Bar, Rang De Basanti, Natarang.</t>
        </is>
      </c>
      <c r="K137" s="19" t="inlineStr">
        <is>
          <t>Character roles in serious drama.</t>
        </is>
      </c>
      <c r="L137" s="19" t="n"/>
      <c r="M137" s="5" t="inlineStr">
        <is>
          <t>National Film Award for Best Supporting Actor for Hey Ram and for Chandni Bar.</t>
        </is>
      </c>
      <c r="N137" s="19" t="n"/>
      <c r="O137" s="19" t="inlineStr">
        <is>
          <t>One film: Laal Singh Chaddha, whose screenplay he adapted from Forrest Gump; Khan appears as himself.</t>
        </is>
      </c>
      <c r="P137" s="17" t="n">
        <v>1</v>
      </c>
      <c r="Q137" s="5" t="inlineStr">
        <is>
          <t>FILM-092</t>
        </is>
      </c>
      <c r="R137" s="5" t="inlineStr">
        <is>
          <t>Laal Singh Chaddha (2022)</t>
        </is>
      </c>
      <c r="S137" s="5" t="inlineStr">
        <is>
          <t>Atul Kulkarni won two National Awards for Best Supporting Actor, for Hey Ram and Chandni Bar, and is known for Rang De Basanti and the Marathi film Natarang. He trained at the National School of Drama, where he met his wife, the actress Geetanjali Kulkarni. Kulkarni wrote the screenplay of Laal Singh Chaddha (2022), starring Aamir Khan, in which Shah Rukh Khan makes a brief appearance as himself. The film was a commercial disaster.</t>
        </is>
      </c>
      <c r="T137" s="5" t="inlineStr">
        <is>
          <t>SOURCE-225; SOURCE-095</t>
        </is>
      </c>
      <c r="U137" s="5" t="inlineStr">
        <is>
          <t>Medium</t>
        </is>
      </c>
    </row>
    <row r="138" ht="94" customHeight="1">
      <c r="A138" s="15" t="inlineStr">
        <is>
          <t>PERSON-137</t>
        </is>
      </c>
      <c r="B138" s="5" t="inlineStr">
        <is>
          <t>Ayan Mukerji</t>
        </is>
      </c>
      <c r="C138" s="5" t="inlineStr">
        <is>
          <t>Director; Producer; Writer</t>
        </is>
      </c>
      <c r="D138" s="17" t="n">
        <v>1983</v>
      </c>
      <c r="E138" s="20" t="n"/>
      <c r="F138" s="5" t="inlineStr">
        <is>
          <t>2004–present</t>
        </is>
      </c>
      <c r="G138" s="5" t="inlineStr">
        <is>
          <t>Hindi cinema</t>
        </is>
      </c>
      <c r="H138" s="5" t="inlineStr">
        <is>
          <t>A Hindi-film director born in Calcutta, son of the actor Deb Mukherjee and a member of the Mukherjee-Samarth film family, whose grandfather Sashadhar Mukherjee co-founded Filmistan.</t>
        </is>
      </c>
      <c r="I138" s="5" t="inlineStr">
        <is>
          <t>Wake Up Sid (2009).</t>
        </is>
      </c>
      <c r="J138" s="5" t="inlineStr">
        <is>
          <t>With Khan: Brahmāstra: Part One – Shiva (2022). Wider work: Wake Up Sid, Yeh Jawaani Hai Deewani, War 2.</t>
        </is>
      </c>
      <c r="K138" s="19" t="inlineStr">
        <is>
          <t>Coming-of-age romance; large-scale fantasy.</t>
        </is>
      </c>
      <c r="L138" s="19" t="n"/>
      <c r="M138" s="5" t="inlineStr">
        <is>
          <t>Filmfare Award for Best Debut Director for Wake Up Sid; Best Director nominations for all three of his first films.</t>
        </is>
      </c>
      <c r="N138" s="19" t="n"/>
      <c r="O138" s="19" t="inlineStr">
        <is>
          <t>One film: Brahmāstra, which he wrote, directed and co-produced, with Khan in an extended special appearance as the scientist Mohan Bhargav. It was a hit.</t>
        </is>
      </c>
      <c r="P138" s="17" t="n">
        <v>1</v>
      </c>
      <c r="Q138" s="5" t="inlineStr">
        <is>
          <t>FILM-093</t>
        </is>
      </c>
      <c r="R138" s="5" t="inlineStr">
        <is>
          <t>Brahmāstra: Part One – Shiva (2022)</t>
        </is>
      </c>
      <c r="S138" s="5" t="inlineStr">
        <is>
          <t>Ayan Mukerji belongs to one of Bombay cinema's oldest families: his grandfather Sashadhar Mukherjee co-founded Filmistan, and his father is the actor Deb Mukherjee. He made Wake Up Sid (2009) and Yeh Jawaani Hai Deewani (2013) for Dharma Productions with Ranbir Kapoor and spent nearly a decade on Brahmāstra: Part One – Shiva (2022), a fantasy epic built on Hindu mythology. Shah Rukh Khan appears in its opening section as Mohan Bhargav, a scientist who guards a fragment of the Brahmāstra. The film was a hit and one of the highest-grossing Hindi films of its year.</t>
        </is>
      </c>
      <c r="T138" s="5" t="inlineStr">
        <is>
          <t>SOURCE-226; SOURCE-096</t>
        </is>
      </c>
      <c r="U138" s="5" t="inlineStr">
        <is>
          <t>Medium</t>
        </is>
      </c>
    </row>
    <row r="139" ht="64" customHeight="1">
      <c r="A139" s="15" t="inlineStr">
        <is>
          <t>PERSON-138</t>
        </is>
      </c>
      <c r="B139" s="5" t="inlineStr">
        <is>
          <t>Aziz Quaisi</t>
        </is>
      </c>
      <c r="C139" s="5" t="inlineStr">
        <is>
          <t>Writer</t>
        </is>
      </c>
      <c r="D139" s="20" t="n"/>
      <c r="E139" s="20" t="n"/>
      <c r="F139" s="5" t="n"/>
      <c r="G139" s="5" t="inlineStr">
        <is>
          <t>Hindi cinema</t>
        </is>
      </c>
      <c r="H139" s="5" t="inlineStr">
        <is>
          <t>A writer credited on one film in this filmography, with no Wikipedia article of their own.</t>
        </is>
      </c>
      <c r="I139" s="5" t="n"/>
      <c r="J139" s="5" t="inlineStr">
        <is>
          <t>With Khan: Dushman Duniya Ka (1996).</t>
        </is>
      </c>
      <c r="K139" s="19" t="n"/>
      <c r="L139" s="19" t="n"/>
      <c r="M139" s="5" t="n"/>
      <c r="N139" s="19" t="n"/>
      <c r="O139" s="19" t="inlineStr">
        <is>
          <t>One film with Khan, credited as writer: Dushman Duniya Ka (1996), directed by Mehmood, with Khan in a cameo as Badru; verdict: Box-office disaster.</t>
        </is>
      </c>
      <c r="P139" s="17" t="n">
        <v>1</v>
      </c>
      <c r="Q139" s="5" t="inlineStr">
        <is>
          <t>FILM-022</t>
        </is>
      </c>
      <c r="R139" s="5" t="inlineStr">
        <is>
          <t>Dushman Duniya Ka (1996)</t>
        </is>
      </c>
      <c r="S139" s="5" t="inlineStr">
        <is>
          <t>Aziz Quaisi is credited as writer on Dushman Duniya Ka (1996). No Wikipedia article or other independent biography was located; this row is built from the film credit alone.</t>
        </is>
      </c>
      <c r="T139" s="5" t="inlineStr">
        <is>
          <t>SOURCE-025</t>
        </is>
      </c>
      <c r="U139" s="5" t="inlineStr">
        <is>
          <t>Low</t>
        </is>
      </c>
    </row>
    <row r="140" ht="64" customHeight="1">
      <c r="A140" s="15" t="inlineStr">
        <is>
          <t>PERSON-139</t>
        </is>
      </c>
      <c r="B140" s="5" t="inlineStr">
        <is>
          <t>Babubhai</t>
        </is>
      </c>
      <c r="C140" s="5" t="inlineStr">
        <is>
          <t>Producer</t>
        </is>
      </c>
      <c r="D140" s="20" t="n"/>
      <c r="E140" s="20" t="n"/>
      <c r="F140" s="5" t="n"/>
      <c r="G140" s="5" t="inlineStr">
        <is>
          <t>Hindi cinema</t>
        </is>
      </c>
      <c r="H140" s="5" t="inlineStr">
        <is>
          <t>A producer credited on one film in this filmography, with no Wikipedia article of their own.</t>
        </is>
      </c>
      <c r="I140" s="5" t="n"/>
      <c r="J140" s="5" t="inlineStr">
        <is>
          <t>With Khan: Dushman Duniya Ka (1996).</t>
        </is>
      </c>
      <c r="K140" s="19" t="n"/>
      <c r="L140" s="19" t="n"/>
      <c r="M140" s="5" t="n"/>
      <c r="N140" s="19" t="n"/>
      <c r="O140" s="19" t="inlineStr">
        <is>
          <t>One film with Khan, credited as producer: Dushman Duniya Ka (1996), directed by Mehmood, with Khan in a cameo as Badru; verdict: Box-office disaster.</t>
        </is>
      </c>
      <c r="P140" s="17" t="n">
        <v>1</v>
      </c>
      <c r="Q140" s="5" t="inlineStr">
        <is>
          <t>FILM-022</t>
        </is>
      </c>
      <c r="R140" s="5" t="inlineStr">
        <is>
          <t>Dushman Duniya Ka (1996)</t>
        </is>
      </c>
      <c r="S140" s="5" t="inlineStr">
        <is>
          <t>Babubhai is credited as producer on Dushman Duniya Ka (1996). No Wikipedia article or other independent biography was located; this row is built from the film credit alone.</t>
        </is>
      </c>
      <c r="T140" s="5" t="inlineStr">
        <is>
          <t>SOURCE-025</t>
        </is>
      </c>
      <c r="U140" s="5" t="inlineStr">
        <is>
          <t>Low</t>
        </is>
      </c>
    </row>
    <row r="141" ht="79" customHeight="1">
      <c r="A141" s="15" t="inlineStr">
        <is>
          <t>PERSON-140</t>
        </is>
      </c>
      <c r="B141" s="5" t="inlineStr">
        <is>
          <t>Bali Brahmabhatt</t>
        </is>
      </c>
      <c r="C141" s="5" t="inlineStr">
        <is>
          <t>Song composer</t>
        </is>
      </c>
      <c r="D141" s="20" t="n"/>
      <c r="E141" s="20" t="n"/>
      <c r="F141" s="5" t="inlineStr">
        <is>
          <t>1993–2012</t>
        </is>
      </c>
      <c r="G141" s="5" t="inlineStr">
        <is>
          <t>Hindi cinema; Gujarati music</t>
        </is>
      </c>
      <c r="H141" s="5" t="inlineStr">
        <is>
          <t>A Gujarati music director and playback singer who mainly worked on Hindi film songs and later became a radio presenter on Lyca Gold Radio in London.</t>
        </is>
      </c>
      <c r="I141" s="5" t="n"/>
      <c r="J141" s="5" t="inlineStr">
        <is>
          <t>With Khan: Hum Tumhare Hain Sanam (2002).</t>
        </is>
      </c>
      <c r="K141" s="19" t="n"/>
      <c r="L141" s="19" t="n"/>
      <c r="M141" s="5" t="n"/>
      <c r="N141" s="19" t="n"/>
      <c r="O141" s="19" t="inlineStr">
        <is>
          <t>One film: K. S. Adhiyaman's Hum Tumhare Hain Sanam, a delayed release with Khan in the lead, to which he contributed songs among several composers.</t>
        </is>
      </c>
      <c r="P141" s="17" t="n">
        <v>1</v>
      </c>
      <c r="Q141" s="5" t="inlineStr">
        <is>
          <t>FILM-042</t>
        </is>
      </c>
      <c r="R141" s="5" t="inlineStr">
        <is>
          <t>Hum Tumhare Hain Sanam (2002)</t>
        </is>
      </c>
      <c r="S141" s="5" t="inlineStr">
        <is>
          <t>Bali Brahmbhatt is a Gujarati composer and singer credited on Hindi film songs from the 1990s and 2000s; his article says he now presents an afternoon show on Lyca Gold Radio in London. He is one of several song composers credited on Hum Tumhare Hain Sanam (2002), a romantic drama about jealousy in a marriage, starring Shah Rukh Khan, Madhuri Dixit and Salman Khan, which spent years in production. His article is very brief, so confidence is low.</t>
        </is>
      </c>
      <c r="T141" s="5" t="inlineStr">
        <is>
          <t>SOURCE-227; SOURCE-045</t>
        </is>
      </c>
      <c r="U141" s="5" t="inlineStr">
        <is>
          <t>Low</t>
        </is>
      </c>
    </row>
    <row r="142" ht="94" customHeight="1">
      <c r="A142" s="15" t="inlineStr">
        <is>
          <t>PERSON-141</t>
        </is>
      </c>
      <c r="B142" s="5" t="inlineStr">
        <is>
          <t>Basu Chatterjee</t>
        </is>
      </c>
      <c r="C142" s="5" t="inlineStr">
        <is>
          <t>Director; Writer</t>
        </is>
      </c>
      <c r="D142" s="17" t="n">
        <v>1927</v>
      </c>
      <c r="E142" s="17" t="n">
        <v>2020</v>
      </c>
      <c r="F142" s="5" t="n"/>
      <c r="G142" s="5" t="inlineStr">
        <is>
          <t>Hindi cinema; Bengali cinema</t>
        </is>
      </c>
      <c r="H142" s="5" t="inlineStr">
        <is>
          <t>A Hindi and Bengali filmmaker associated with 'middle cinema' alongside Hrishikesh Mukherjee and Basu Bhattacharya, whom he assisted on Teesri Kasam (1966).</t>
        </is>
      </c>
      <c r="I142" s="5" t="inlineStr">
        <is>
          <t>Sara Akash (1969).</t>
        </is>
      </c>
      <c r="J142" s="5" t="inlineStr">
        <is>
          <t>With Khan: Gudgudee (1997). Wider work: Piya Ka Ghar, Rajnigandha, Chhoti Si Baat, Chitchor, Khatta Meetha, Baton Baton Mein, Shaukeen, Chameli Ki Shaadi, Ek Ruka Hua Faisla.</t>
        </is>
      </c>
      <c r="K142" s="19" t="inlineStr">
        <is>
          <t>Gentle comedies of middle-class urban love and marriage.</t>
        </is>
      </c>
      <c r="L142" s="19" t="n"/>
      <c r="M142" s="5" t="n"/>
      <c r="N142" s="19" t="inlineStr">
        <is>
          <t>Defined the light middle-class romantic comedy in 1970s Hindi cinema.</t>
        </is>
      </c>
      <c r="O142" s="19" t="inlineStr">
        <is>
          <t>One film: Gudgudee, a late comedy he wrote and directed, in which Khan appears as himself.</t>
        </is>
      </c>
      <c r="P142" s="17" t="n">
        <v>1</v>
      </c>
      <c r="Q142" s="5" t="inlineStr">
        <is>
          <t>FILM-023</t>
        </is>
      </c>
      <c r="R142" s="5" t="inlineStr">
        <is>
          <t>Gudgudee (1997)</t>
        </is>
      </c>
      <c r="S142" s="5" t="inlineStr">
        <is>
          <t>Basu Chatterjee assisted Basu Bhattacharya on Teesri Kasam (1966) and became, with Hrishikesh Mukherjee, the chief practitioner of the middle-of-the-road Hindi film of the 1970s and 1980s: low-key comedies about the loves and marriages of ordinary urban families, such as Rajnigandha, Chhoti Si Baat, Chitchor, Baton Baton Mein and Shaukeen. He also made the jury drama Ek Ruka Hua Faisla and worked in Bengali. Gudgudee (1997), a comedy he wrote and directed late in his career, includes a self appearance by Shah Rukh Khan. Chatterjee died on 4 June 2020.</t>
        </is>
      </c>
      <c r="T142" s="5" t="inlineStr">
        <is>
          <t>SOURCE-228; SOURCE-026</t>
        </is>
      </c>
      <c r="U142" s="5" t="inlineStr">
        <is>
          <t>Medium</t>
        </is>
      </c>
    </row>
    <row r="143" ht="49" customHeight="1">
      <c r="A143" s="15" t="inlineStr">
        <is>
          <t>PERSON-142</t>
        </is>
      </c>
      <c r="B143" s="5" t="inlineStr">
        <is>
          <t>Bhagwan Chitra Mandir</t>
        </is>
      </c>
      <c r="C143" s="5" t="inlineStr">
        <is>
          <t>Production banner</t>
        </is>
      </c>
      <c r="D143" s="20" t="n"/>
      <c r="E143" s="20" t="n"/>
      <c r="F143" s="5" t="n"/>
      <c r="G143" s="5" t="inlineStr">
        <is>
          <t>Hindi cinema</t>
        </is>
      </c>
      <c r="H143" s="5" t="inlineStr">
        <is>
          <t>A production banner credited on one film in this filmography, with no Wikipedia article of its own.</t>
        </is>
      </c>
      <c r="I143" s="5" t="n"/>
      <c r="J143" s="5" t="inlineStr">
        <is>
          <t>With Khan: Deewana (1992).</t>
        </is>
      </c>
      <c r="K143" s="19" t="n"/>
      <c r="L143" s="19" t="n"/>
      <c r="M143" s="5" t="n"/>
      <c r="N143" s="19" t="n"/>
      <c r="O143" s="19" t="inlineStr">
        <is>
          <t>One film with Khan, credited as production banner: Deewana (1992), directed by Raj Kanwar, with Khan in a co-lead as Raja Sahai.</t>
        </is>
      </c>
      <c r="P143" s="17" t="n">
        <v>1</v>
      </c>
      <c r="Q143" s="5" t="inlineStr">
        <is>
          <t>FILM-001</t>
        </is>
      </c>
      <c r="R143" s="5" t="inlineStr">
        <is>
          <t>Deewana (1992)</t>
        </is>
      </c>
      <c r="S143" s="5" t="inlineStr">
        <is>
          <t>Bhagwan Chitra Mandir is credited as production banner on Deewana (1992). No Wikipedia article or other independent biography was located for the company; this row is built from the film credit alone.</t>
        </is>
      </c>
      <c r="T143" s="5" t="inlineStr">
        <is>
          <t>SOURCE-004</t>
        </is>
      </c>
      <c r="U143" s="5" t="inlineStr">
        <is>
          <t>Low</t>
        </is>
      </c>
    </row>
    <row r="144" ht="64" customHeight="1">
      <c r="A144" s="15" t="inlineStr">
        <is>
          <t>PERSON-143</t>
        </is>
      </c>
      <c r="B144" s="5" t="inlineStr">
        <is>
          <t>Bhawar Jain</t>
        </is>
      </c>
      <c r="C144" s="5" t="inlineStr">
        <is>
          <t>Producer</t>
        </is>
      </c>
      <c r="D144" s="20" t="n"/>
      <c r="E144" s="20" t="n"/>
      <c r="F144" s="5" t="n"/>
      <c r="G144" s="5" t="inlineStr">
        <is>
          <t>Hindi cinema</t>
        </is>
      </c>
      <c r="H144" s="5" t="inlineStr">
        <is>
          <t>A producer credited on one film in this filmography, with no Wikipedia article of their own.</t>
        </is>
      </c>
      <c r="I144" s="5" t="n"/>
      <c r="J144" s="5" t="inlineStr">
        <is>
          <t>With Khan: Baadshah (1999).</t>
        </is>
      </c>
      <c r="K144" s="19" t="n"/>
      <c r="L144" s="19" t="n"/>
      <c r="M144" s="5" t="n"/>
      <c r="N144" s="19" t="n"/>
      <c r="O144" s="19" t="inlineStr">
        <is>
          <t>One film with Khan, credited as producer: Baadshah (1999), directed by Abbas–Mustan, with Khan in the lead as Raj (Baadshah); verdict: Average.</t>
        </is>
      </c>
      <c r="P144" s="17" t="n">
        <v>1</v>
      </c>
      <c r="Q144" s="5" t="inlineStr">
        <is>
          <t>FILM-032</t>
        </is>
      </c>
      <c r="R144" s="5" t="inlineStr">
        <is>
          <t>Baadshah (1999)</t>
        </is>
      </c>
      <c r="S144" s="5" t="inlineStr">
        <is>
          <t>Bhawar Jain is credited as producer on Baadshah (1999). No Wikipedia article or other independent biography was located; this row is built from the film credit alone.</t>
        </is>
      </c>
      <c r="T144" s="5" t="inlineStr">
        <is>
          <t>SOURCE-035</t>
        </is>
      </c>
      <c r="U144" s="5" t="inlineStr">
        <is>
          <t>Low</t>
        </is>
      </c>
    </row>
    <row r="145" ht="94" customHeight="1">
      <c r="A145" s="15" t="inlineStr">
        <is>
          <t>PERSON-144</t>
        </is>
      </c>
      <c r="B145" s="5" t="inlineStr">
        <is>
          <t>Bhupen Hazarika</t>
        </is>
      </c>
      <c r="C145" s="5" t="inlineStr">
        <is>
          <t>Song composer</t>
        </is>
      </c>
      <c r="D145" s="17" t="n">
        <v>1926</v>
      </c>
      <c r="E145" s="17" t="n">
        <v>2011</v>
      </c>
      <c r="F145" s="5" t="inlineStr">
        <is>
          <t>1939–2010</t>
        </is>
      </c>
      <c r="G145" s="5" t="inlineStr">
        <is>
          <t>Assamese cinema and music; Hindi cinema</t>
        </is>
      </c>
      <c r="H145" s="5" t="inlineStr">
        <is>
          <t>An Assamese singer, songwriter, filmmaker and politician whose songs on communal amity and justice are widely popular in Assam, West Bengal and Bangladesh.</t>
        </is>
      </c>
      <c r="I145" s="5" t="n"/>
      <c r="J145" s="5" t="inlineStr">
        <is>
          <t>With Khan: Gaja Gamini (2000). Wider work: Assamese film and folk-based songs; in Hindi, Rudaali.</t>
        </is>
      </c>
      <c r="K145" s="19" t="inlineStr">
        <is>
          <t>Humanist songs drawn from Assamese and North-East Indian folk music.</t>
        </is>
      </c>
      <c r="L145" s="19" t="n"/>
      <c r="M145" s="5" t="inlineStr">
        <is>
          <t>National Film Award for Best Music Direction (1975); Dadasaheb Phalke Award (1992); Padma Bhushan (2001); Padma Vibhushan (2012, posthumous).</t>
        </is>
      </c>
      <c r="N145" s="19" t="inlineStr">
        <is>
          <t>Credited with bringing the folk music of Assam and the North-East to Hindi cinema.</t>
        </is>
      </c>
      <c r="O145" s="19" t="inlineStr">
        <is>
          <t>One film: M. F. Husain's Gaja Gamini, in which Khan appears as himself. It failed at the box office.</t>
        </is>
      </c>
      <c r="P145" s="17" t="n">
        <v>1</v>
      </c>
      <c r="Q145" s="5" t="inlineStr">
        <is>
          <t>FILM-038</t>
        </is>
      </c>
      <c r="R145" s="5" t="inlineStr">
        <is>
          <t>Gaja Gamini (2000)</t>
        </is>
      </c>
      <c r="S145" s="5" t="inlineStr">
        <is>
          <t>Bhupen Hazarika wrote and sang mainly in Assamese, and his songs on humanity and brotherhood made him one of the most loved cultural figures in eastern India. He is credited with introducing Assamese and North-East folk music to Hindi cinema at the national level, won the National Award for music direction in 1975 and received the Dadasaheb Phalke Award in 1992. He composed the songs for Gaja Gamini (2000), the painter M. F. Husain's film about Madhuri Dixit as an eternal muse, in which Shah Rukh Khan appears as himself. Hazarika died on 5 November 2011.</t>
        </is>
      </c>
      <c r="T145" s="5" t="inlineStr">
        <is>
          <t>SOURCE-229; SOURCE-041</t>
        </is>
      </c>
      <c r="U145" s="5" t="inlineStr">
        <is>
          <t>Medium</t>
        </is>
      </c>
    </row>
    <row r="146" ht="79" customHeight="1">
      <c r="A146" s="15" t="inlineStr">
        <is>
          <t>PERSON-145</t>
        </is>
      </c>
      <c r="B146" s="5" t="inlineStr">
        <is>
          <t>Bhushan Kumar</t>
        </is>
      </c>
      <c r="C146" s="5" t="inlineStr">
        <is>
          <t>Producer (T-Series)</t>
        </is>
      </c>
      <c r="D146" s="17" t="n">
        <v>1977</v>
      </c>
      <c r="E146" s="20" t="n"/>
      <c r="F146" s="5" t="inlineStr">
        <is>
          <t>1996–present</t>
        </is>
      </c>
      <c r="G146" s="5" t="inlineStr">
        <is>
          <t>Hindi cinema</t>
        </is>
      </c>
      <c r="H146" s="5" t="inlineStr">
        <is>
          <t>Chairman and managing director of Super Cassettes Industries (T-Series), who took over the company in 1997 with his uncle Krishan Kumar after the murder of his father, Gulshan Kumar.</t>
        </is>
      </c>
      <c r="I146" s="5" t="n"/>
      <c r="J146" s="5" t="inlineStr">
        <is>
          <t>With Khan: Bhoothnath Returns (2014). Wider work: Aashiqui 2, Nautanki Saala and a large T-Series film slate.</t>
        </is>
      </c>
      <c r="K146" s="19" t="inlineStr">
        <is>
          <t>Music-led mainstream production.</t>
        </is>
      </c>
      <c r="L146" s="19" t="n"/>
      <c r="M146" s="5" t="n"/>
      <c r="N146" s="19" t="inlineStr">
        <is>
          <t>Head of India's largest music label.</t>
        </is>
      </c>
      <c r="O146" s="19" t="inlineStr">
        <is>
          <t>One film: Nitesh Tiwari's Bhoothnath Returns, co-produced by T-Series, in which Khan has a cameo. It was profitable.</t>
        </is>
      </c>
      <c r="P146" s="17" t="n">
        <v>1</v>
      </c>
      <c r="Q146" s="5" t="inlineStr">
        <is>
          <t>FILM-080</t>
        </is>
      </c>
      <c r="R146" s="5" t="inlineStr">
        <is>
          <t>Bhoothnath Returns (2014)</t>
        </is>
      </c>
      <c r="S146" s="5" t="inlineStr">
        <is>
          <t>Bhushan Kumar became head of T-Series in 1997, after the murder of his father Gulshan Kumar, running it with his uncle Krishan Kumar. Under him the music label became a major film producer, with releases such as Aashiqui 2 and Nautanki Saala in 2013, and he began developing Mogul, a biopic of his father. He is credited as a producer on Bhoothnath Returns (2014), Nitesh Tiwari's political comedy starring Amitabh Bachchan as a ghost, in which Shah Rukh Khan makes a cameo; the film was profitable.</t>
        </is>
      </c>
      <c r="T146" s="5" t="inlineStr">
        <is>
          <t>SOURCE-230; SOURCE-083</t>
        </is>
      </c>
      <c r="U146" s="5" t="inlineStr">
        <is>
          <t>Medium</t>
        </is>
      </c>
    </row>
    <row r="147" ht="64" customHeight="1">
      <c r="A147" s="15" t="inlineStr">
        <is>
          <t>PERSON-146</t>
        </is>
      </c>
      <c r="B147" s="5" t="inlineStr">
        <is>
          <t>Birendra Nath Tiwari</t>
        </is>
      </c>
      <c r="C147" s="5" t="inlineStr">
        <is>
          <t>Director</t>
        </is>
      </c>
      <c r="D147" s="20" t="n"/>
      <c r="E147" s="20" t="n"/>
      <c r="F147" s="5" t="n"/>
      <c r="G147" s="5" t="inlineStr">
        <is>
          <t>Hindi cinema</t>
        </is>
      </c>
      <c r="H147" s="5" t="inlineStr">
        <is>
          <t>A director credited on one film in this filmography, with no Wikipedia article of their own.</t>
        </is>
      </c>
      <c r="I147" s="5" t="n"/>
      <c r="J147" s="5" t="inlineStr">
        <is>
          <t>With Khan: Yeh Lamhe Judaai Ke (2004).</t>
        </is>
      </c>
      <c r="K147" s="19" t="n"/>
      <c r="L147" s="19" t="n"/>
      <c r="M147" s="5" t="n"/>
      <c r="N147" s="19" t="n"/>
      <c r="O147" s="19" t="inlineStr">
        <is>
          <t>One film with Khan, credited as director: Yeh Lamhe Judaai Ke (2004), with Khan in the lead as Dushyant Kumar; verdict: Box-office bomb.</t>
        </is>
      </c>
      <c r="P147" s="17" t="n">
        <v>1</v>
      </c>
      <c r="Q147" s="5" t="inlineStr">
        <is>
          <t>FILM-048</t>
        </is>
      </c>
      <c r="R147" s="5" t="inlineStr">
        <is>
          <t>Yeh Lamhe Judaai Ke (2004)</t>
        </is>
      </c>
      <c r="S147" s="5" t="inlineStr">
        <is>
          <t>Birendra Nath Tiwari is credited as director on Yeh Lamhe Judaai Ke (2004). No Wikipedia article or other independent biography was located; this row is built from the film credit alone.</t>
        </is>
      </c>
      <c r="T147" s="5" t="inlineStr">
        <is>
          <t>SOURCE-051</t>
        </is>
      </c>
      <c r="U147" s="5" t="inlineStr">
        <is>
          <t>Low</t>
        </is>
      </c>
    </row>
    <row r="148" ht="94" customHeight="1">
      <c r="A148" s="15" t="inlineStr">
        <is>
          <t>PERSON-147</t>
        </is>
      </c>
      <c r="B148" s="5" t="inlineStr">
        <is>
          <t>Birju Maharaj</t>
        </is>
      </c>
      <c r="C148" s="5" t="inlineStr">
        <is>
          <t>Song composer (one song)</t>
        </is>
      </c>
      <c r="D148" s="17" t="n">
        <v>1938</v>
      </c>
      <c r="E148" s="17" t="n">
        <v>2022</v>
      </c>
      <c r="F148" s="5" t="inlineStr">
        <is>
          <t>1951–2016</t>
        </is>
      </c>
      <c r="G148" s="5" t="inlineStr">
        <is>
          <t>Hindustani classical dance and music; Hindi cinema</t>
        </is>
      </c>
      <c r="H148" s="5" t="inlineStr">
        <is>
          <t>A Kathak dancer, choreographer, composer and singer, the leading exponent of the Lucknow Kalka-Bindadin gharana, who headed the Kathak Kendra in Delhi until 1998 and then founded his own school, Kalashram.</t>
        </is>
      </c>
      <c r="I148" s="5" t="n"/>
      <c r="J148" s="5" t="inlineStr">
        <is>
          <t>With Khan: Devdas (2002).</t>
        </is>
      </c>
      <c r="K148" s="19" t="inlineStr">
        <is>
          <t>Kathak choreography and thumri-based composition.</t>
        </is>
      </c>
      <c r="L148" s="19" t="n"/>
      <c r="M148" s="5" t="inlineStr">
        <is>
          <t>Padma Vibhushan (1986).</t>
        </is>
      </c>
      <c r="N148" s="19" t="inlineStr">
        <is>
          <t>The most celebrated Kathak master of his generation.</t>
        </is>
      </c>
      <c r="O148" s="19" t="inlineStr">
        <is>
          <t>One film: Sanjay Leela Bhansali's Devdas, with Khan in the title role; Birju Maharaj is credited for a song alongside the main composers.</t>
        </is>
      </c>
      <c r="P148" s="17" t="n">
        <v>1</v>
      </c>
      <c r="Q148" s="5" t="inlineStr">
        <is>
          <t>FILM-043</t>
        </is>
      </c>
      <c r="R148" s="5" t="inlineStr">
        <is>
          <t>Devdas (2002)</t>
        </is>
      </c>
      <c r="S148" s="5" t="inlineStr">
        <is>
          <t>Birju Maharaj was born Brijmohan Nath Mishra into the Maharaj family of Kathak dancers and trained under his father, Acchan Maharaj. He led the Kathak Kendra in New Delhi for many years, opened his own school, Kalashram, after retiring in 1998, and received the Padma Vibhushan in 1986. In Devdas (2002), Sanjay Leela Bhansali's lavish adaptation starring Shah Rukh Khan, Aishwarya Rai and Madhuri Dixit, he is credited with a song composition alongside the film's main composers. The film was a commercial success. He died on 17 January 2022.</t>
        </is>
      </c>
      <c r="T148" s="5" t="inlineStr">
        <is>
          <t>SOURCE-231; SOURCE-046</t>
        </is>
      </c>
      <c r="U148" s="5" t="inlineStr">
        <is>
          <t>Medium</t>
        </is>
      </c>
    </row>
    <row r="149" ht="64" customHeight="1">
      <c r="A149" s="15" t="inlineStr">
        <is>
          <t>PERSON-148</t>
        </is>
      </c>
      <c r="B149" s="5" t="inlineStr">
        <is>
          <t>BMB Productions</t>
        </is>
      </c>
      <c r="C149" s="5" t="inlineStr">
        <is>
          <t>Production banner</t>
        </is>
      </c>
      <c r="D149" s="20" t="n"/>
      <c r="E149" s="20" t="n"/>
      <c r="F149" s="5" t="n"/>
      <c r="G149" s="5" t="inlineStr">
        <is>
          <t>Hindi cinema</t>
        </is>
      </c>
      <c r="H149" s="5" t="inlineStr">
        <is>
          <t>A production banner credited on one film in this filmography, with no Wikipedia article of its own.</t>
        </is>
      </c>
      <c r="I149" s="5" t="n"/>
      <c r="J149" s="5" t="inlineStr">
        <is>
          <t>With Khan: Hum Tumhare Hain Sanam (2002).</t>
        </is>
      </c>
      <c r="K149" s="19" t="n"/>
      <c r="L149" s="19" t="n"/>
      <c r="M149" s="5" t="n"/>
      <c r="N149" s="19" t="n"/>
      <c r="O149" s="19" t="inlineStr">
        <is>
          <t>One film with Khan, credited as production banner: Hum Tumhare Hain Sanam (2002), directed by K. S. Adhiyaman, with Khan in the lead as Gopal Sharma.</t>
        </is>
      </c>
      <c r="P149" s="17" t="n">
        <v>1</v>
      </c>
      <c r="Q149" s="5" t="inlineStr">
        <is>
          <t>FILM-042</t>
        </is>
      </c>
      <c r="R149" s="5" t="inlineStr">
        <is>
          <t>Hum Tumhare Hain Sanam (2002)</t>
        </is>
      </c>
      <c r="S149" s="5" t="inlineStr">
        <is>
          <t>BMB Productions is credited as production banner on Hum Tumhare Hain Sanam (2002). No Wikipedia article or other independent biography was located for the company; this row is built from the film credit alone.</t>
        </is>
      </c>
      <c r="T149" s="5" t="inlineStr">
        <is>
          <t>SOURCE-045</t>
        </is>
      </c>
      <c r="U149" s="5" t="inlineStr">
        <is>
          <t>Low</t>
        </is>
      </c>
    </row>
    <row r="150" ht="79" customHeight="1">
      <c r="A150" s="15" t="inlineStr">
        <is>
          <t>PERSON-149</t>
        </is>
      </c>
      <c r="B150" s="5" t="inlineStr">
        <is>
          <t>Bobby Bedi</t>
        </is>
      </c>
      <c r="C150" s="5" t="inlineStr">
        <is>
          <t>Producer (Kaleidoscope Entertainment)</t>
        </is>
      </c>
      <c r="D150" s="20" t="n"/>
      <c r="E150" s="20" t="n"/>
      <c r="F150" s="5" t="n"/>
      <c r="G150" s="5" t="inlineStr">
        <is>
          <t>Hindi and international cinema</t>
        </is>
      </c>
      <c r="H150" s="5" t="inlineStr">
        <is>
          <t>An independent film producer who founded Kaleidoscope Entertainment and remains its owner and managing director. He has no Wikipedia article of his own; this profile uses the company article.</t>
        </is>
      </c>
      <c r="I150" s="5" t="n"/>
      <c r="J150" s="5" t="inlineStr">
        <is>
          <t>With Khan: Saathiya (2002). Kaleidoscope productions: Bandit Queen, Fire, Electric Moon, Maqbool, Mangal Pandey: The Rising; the Mahabharata 360 project.</t>
        </is>
      </c>
      <c r="K150" s="19" t="inlineStr">
        <is>
          <t>Crossover and arthouse films that reached Western audiences.</t>
        </is>
      </c>
      <c r="L150" s="19" t="n"/>
      <c r="M150" s="5" t="n"/>
      <c r="N150" s="19" t="n"/>
      <c r="O150" s="19" t="inlineStr">
        <is>
          <t>One film: Shaad Ali's Saathiya, a commercial success, in which Khan has a cameo.</t>
        </is>
      </c>
      <c r="P150" s="17" t="n">
        <v>1</v>
      </c>
      <c r="Q150" s="5" t="inlineStr">
        <is>
          <t>FILM-045</t>
        </is>
      </c>
      <c r="R150" s="5" t="inlineStr">
        <is>
          <t>Saathiya (2002)</t>
        </is>
      </c>
      <c r="S150" s="5" t="inlineStr">
        <is>
          <t>Bobby Bedi founded Kaleidoscope Entertainment, a Delhi-based production company known for films that crossed over to Western audiences, among them Bandit Queen, Fire and Electric Moon, and later Maqbool and Mangal Pandey: The Rising. He produced Saathiya (2002), Shaad Ali's remake of Mani Ratnam's Alaipayuthey with Vivek Oberoi and Rani Mukerji, in which Shah Rukh Khan has a cameo. The film was a commercial success. Facts about Bedi here come from the article on his company.</t>
        </is>
      </c>
      <c r="T150" s="5" t="inlineStr">
        <is>
          <t>SOURCE-232; SOURCE-048</t>
        </is>
      </c>
      <c r="U150" s="5" t="inlineStr">
        <is>
          <t>Low</t>
        </is>
      </c>
    </row>
    <row r="151" ht="94" customHeight="1">
      <c r="A151" s="15" t="inlineStr">
        <is>
          <t>PERSON-150</t>
        </is>
      </c>
      <c r="B151" s="5" t="inlineStr">
        <is>
          <t>Boney Kapoor</t>
        </is>
      </c>
      <c r="C151" s="5" t="inlineStr">
        <is>
          <t>Producer</t>
        </is>
      </c>
      <c r="D151" s="17" t="n">
        <v>1953</v>
      </c>
      <c r="E151" s="20" t="n"/>
      <c r="F151" s="5" t="inlineStr">
        <is>
          <t>1979–present</t>
        </is>
      </c>
      <c r="G151" s="5" t="inlineStr">
        <is>
          <t>Hindi cinema</t>
        </is>
      </c>
      <c r="H151" s="5" t="inlineStr">
        <is>
          <t>A Hindi-film producer from Meerut, son of the producer Surinder Kapoor and elder brother of the actors Anil and Sanjay Kapoor, who apprenticed as an editor under Kamlakar Karkhanis and worked with Shakti Samanta.</t>
        </is>
      </c>
      <c r="I151" s="5" t="inlineStr">
        <is>
          <t>Apprenticed on The Great Gambler (1979); first productions Hum Paanch and Woh Saat Din.</t>
        </is>
      </c>
      <c r="J151" s="5" t="inlineStr">
        <is>
          <t>With Khan: Shakti: The Power (2002). Wider work: Mr. India, Roop Ki Rani Choron Ka Raja, Judaai, No Entry, Wanted.</t>
        </is>
      </c>
      <c r="K151" s="19" t="inlineStr">
        <is>
          <t>Big-budget commercial entertainers; later Tamil and Telugu productions.</t>
        </is>
      </c>
      <c r="L151" s="19" t="n"/>
      <c r="M151" s="5" t="n"/>
      <c r="N151" s="19" t="n"/>
      <c r="O151" s="19" t="inlineStr">
        <is>
          <t>One film: Krishna Vamsi's Shakti: The Power, a flop, in which Khan has a supporting role.</t>
        </is>
      </c>
      <c r="P151" s="17" t="n">
        <v>1</v>
      </c>
      <c r="Q151" s="5" t="inlineStr">
        <is>
          <t>FILM-044</t>
        </is>
      </c>
      <c r="R151" s="5" t="inlineStr">
        <is>
          <t>Shakti: The Power (2002)</t>
        </is>
      </c>
      <c r="S151" s="5" t="inlineStr">
        <is>
          <t>Boney Kapoor learned film editing and production as an apprentice on Manmohan Desai's and Shakti Samanta's films before producing in his own right. His productions include Mr. India, Judaai, No Entry and Wanted, the last of which revived Salman Khan's career in 2009, and he later produced in Tamil and Telugu. He was married to the actress Sridevi. Shakti: The Power (2002), a Hindi remake of the Telugu film Antahpuram directed by Krishna Vamsi, gave Shah Rukh Khan a supporting role as a mercenary who helps Karisma Kapoor's character escape; the film was a flop.</t>
        </is>
      </c>
      <c r="T151" s="5" t="inlineStr">
        <is>
          <t>SOURCE-233; SOURCE-047</t>
        </is>
      </c>
      <c r="U151" s="5" t="inlineStr">
        <is>
          <t>Medium</t>
        </is>
      </c>
    </row>
    <row r="152" ht="64" customHeight="1">
      <c r="A152" s="15" t="inlineStr">
        <is>
          <t>PERSON-151</t>
        </is>
      </c>
      <c r="B152" s="5" t="inlineStr">
        <is>
          <t>Born Free Entertainment</t>
        </is>
      </c>
      <c r="C152" s="5" t="inlineStr">
        <is>
          <t>Production banner</t>
        </is>
      </c>
      <c r="D152" s="20" t="n"/>
      <c r="E152" s="20" t="n"/>
      <c r="F152" s="5" t="n"/>
      <c r="G152" s="5" t="inlineStr">
        <is>
          <t>Hindi cinema</t>
        </is>
      </c>
      <c r="H152" s="5" t="inlineStr">
        <is>
          <t>A production house co-owned by the actress Dia Mirza and her then husband, the director Sahil Sangha. It has no article of its own; this profile uses the Dia Mirza article.</t>
        </is>
      </c>
      <c r="I152" s="5" t="n"/>
      <c r="J152" s="5" t="inlineStr">
        <is>
          <t>With Khan: Love Breakups Zindagi (2011).</t>
        </is>
      </c>
      <c r="K152" s="19" t="n"/>
      <c r="L152" s="19" t="n"/>
      <c r="M152" s="5" t="n"/>
      <c r="N152" s="19" t="n"/>
      <c r="O152" s="19" t="inlineStr">
        <is>
          <t>One film: Sahil Sangha's Love Breakups Zindagi, in which Khan appears as himself.</t>
        </is>
      </c>
      <c r="P152" s="17" t="n">
        <v>1</v>
      </c>
      <c r="Q152" s="5" t="inlineStr">
        <is>
          <t>FILM-074</t>
        </is>
      </c>
      <c r="R152" s="5" t="inlineStr">
        <is>
          <t>Love Breakups Zindagi (2011)</t>
        </is>
      </c>
      <c r="S152" s="5" t="inlineStr">
        <is>
          <t>Born Free Entertainment was the production company of Dia Mirza and Sahil Sangha. Its romantic comedy Love Breakups Zindagi (2011), directed by Sangha and starring Mirza and Zayed Khan, includes a self appearance by Shah Rukh Khan. After the couple divorced, Mirza set up her own company, One India Stories, in 2019. The company has no independent documentation.</t>
        </is>
      </c>
      <c r="T152" s="5" t="inlineStr">
        <is>
          <t>SOURCE-234; SOURCE-077</t>
        </is>
      </c>
      <c r="U152" s="5" t="inlineStr">
        <is>
          <t>Low</t>
        </is>
      </c>
    </row>
    <row r="153" ht="64" customHeight="1">
      <c r="A153" s="15" t="inlineStr">
        <is>
          <t>PERSON-152</t>
        </is>
      </c>
      <c r="B153" s="5" t="inlineStr">
        <is>
          <t>Canmore Cinema</t>
        </is>
      </c>
      <c r="C153" s="5" t="inlineStr">
        <is>
          <t>Production banner</t>
        </is>
      </c>
      <c r="D153" s="20" t="n"/>
      <c r="E153" s="20" t="n"/>
      <c r="F153" s="5" t="n"/>
      <c r="G153" s="5" t="inlineStr">
        <is>
          <t>Hindi cinema</t>
        </is>
      </c>
      <c r="H153" s="5" t="inlineStr">
        <is>
          <t>A production banner credited on one film in this filmography, with no Wikipedia article of its own.</t>
        </is>
      </c>
      <c r="I153" s="5" t="n"/>
      <c r="J153" s="5" t="inlineStr">
        <is>
          <t>With Khan: Dushman Duniya Ka (1996).</t>
        </is>
      </c>
      <c r="K153" s="19" t="n"/>
      <c r="L153" s="19" t="n"/>
      <c r="M153" s="5" t="n"/>
      <c r="N153" s="19" t="n"/>
      <c r="O153" s="19" t="inlineStr">
        <is>
          <t>One film with Khan, credited as production banner: Dushman Duniya Ka (1996), directed by Mehmood, with Khan in a cameo as Badru; verdict: Box-office disaster.</t>
        </is>
      </c>
      <c r="P153" s="17" t="n">
        <v>1</v>
      </c>
      <c r="Q153" s="5" t="inlineStr">
        <is>
          <t>FILM-022</t>
        </is>
      </c>
      <c r="R153" s="5" t="inlineStr">
        <is>
          <t>Dushman Duniya Ka (1996)</t>
        </is>
      </c>
      <c r="S153" s="5" t="inlineStr">
        <is>
          <t>Canmore Cinema is credited as production banner on Dushman Duniya Ka (1996). No Wikipedia article or other independent biography was located for the company; this row is built from the film credit alone.</t>
        </is>
      </c>
      <c r="T153" s="5" t="inlineStr">
        <is>
          <t>SOURCE-025</t>
        </is>
      </c>
      <c r="U153" s="5" t="inlineStr">
        <is>
          <t>Low</t>
        </is>
      </c>
    </row>
    <row r="154" ht="109" customHeight="1">
      <c r="A154" s="15" t="inlineStr">
        <is>
          <t>PERSON-153</t>
        </is>
      </c>
      <c r="B154" s="5" t="inlineStr">
        <is>
          <t>Chandrahasan</t>
        </is>
      </c>
      <c r="C154" s="5" t="inlineStr">
        <is>
          <t>Producer</t>
        </is>
      </c>
      <c r="D154" s="17" t="n">
        <v>1936</v>
      </c>
      <c r="E154" s="17" t="n">
        <v>2017</v>
      </c>
      <c r="F154" s="5" t="inlineStr">
        <is>
          <t>1981–2017</t>
        </is>
      </c>
      <c r="G154" s="5" t="inlineStr">
        <is>
          <t>Tamil cinema</t>
        </is>
      </c>
      <c r="H154" s="5" t="inlineStr">
        <is>
          <t>A Tamil film producer and actor from Paramakudi, elder brother of Kamal Haasan and Charuhasan, who managed Kamal Haasan's company Raaj Kamal Films International.</t>
        </is>
      </c>
      <c r="I154" s="5" t="n"/>
      <c r="J154" s="5" t="inlineStr">
        <is>
          <t>With Khan: Hey Ram (2000). Acted in Indira (1995).</t>
        </is>
      </c>
      <c r="K154" s="19" t="n"/>
      <c r="L154" s="19" t="n"/>
      <c r="M154" s="5" t="n"/>
      <c r="N154" s="19" t="n"/>
      <c r="O154" s="19" t="inlineStr">
        <is>
          <t>One film: Kamal Haasan's Hey Ram, a Partition-era political drama in which Khan plays Amjad, a Pathan archaeologist. The film was a commercial failure.</t>
        </is>
      </c>
      <c r="P154" s="17" t="n">
        <v>1</v>
      </c>
      <c r="Q154" s="5" t="inlineStr">
        <is>
          <t>FILM-034</t>
        </is>
      </c>
      <c r="R154" s="5" t="inlineStr">
        <is>
          <t>Hey Ram (2000)</t>
        </is>
      </c>
      <c r="S154" s="5" t="inlineStr">
        <is>
          <t>Chandrahasan Srinivasan was the second of four children of the Paramakudi advocate D. Srinivasan and remained close to his younger brother Kamal Haasan throughout his career, taking an increasingly active role in running Raaj Kamal Films International in the 2000s. He is credited as a producer on Hey Ram (2000), which Kamal Haasan wrote, directed and starred in, about a man drawn into the plot to assassinate Gandhi. Shah Rukh Khan took a supporting role as Amjad Khan, the protagonist's Muslim friend. The film failed commercially. Chandrahasan died on 18 March 2017; his article's infobox gives his birth year as 1936 and its description gives 1937.</t>
        </is>
      </c>
      <c r="T154" s="5" t="inlineStr">
        <is>
          <t>SOURCE-235; SOURCE-037</t>
        </is>
      </c>
      <c r="U154" s="5" t="inlineStr">
        <is>
          <t>Medium</t>
        </is>
      </c>
    </row>
    <row r="155" ht="79" customHeight="1">
      <c r="A155" s="15" t="inlineStr">
        <is>
          <t>PERSON-154</t>
        </is>
      </c>
      <c r="B155" s="5" t="inlineStr">
        <is>
          <t>Clinton Cerejo</t>
        </is>
      </c>
      <c r="C155" s="5" t="inlineStr">
        <is>
          <t>Background-score composer</t>
        </is>
      </c>
      <c r="D155" s="20" t="n"/>
      <c r="E155" s="20" t="n"/>
      <c r="F155" s="5" t="inlineStr">
        <is>
          <t>1999–present</t>
        </is>
      </c>
      <c r="G155" s="5" t="inlineStr">
        <is>
          <t>Hindi cinema</t>
        </is>
      </c>
      <c r="H155" s="5" t="inlineStr">
        <is>
          <t>A Mumbai-born composer, producer and singer with a commerce degree from Poddar College, who came to film music through jam sessions with Siddharth Haldipur and was taken on by Siddharth's father, the arranger Amar Haldipur.</t>
        </is>
      </c>
      <c r="I155" s="5" t="n"/>
      <c r="J155" s="5" t="inlineStr">
        <is>
          <t>With Khan: Love Breakups Zindagi (2011). Wider work: Coke Studio India productions; background scores.</t>
        </is>
      </c>
      <c r="K155" s="19" t="inlineStr">
        <is>
          <t>Pop, rock and fusion arrangement.</t>
        </is>
      </c>
      <c r="L155" s="19" t="n"/>
      <c r="M155" s="5" t="n"/>
      <c r="N155" s="19" t="n"/>
      <c r="O155" s="19" t="inlineStr">
        <is>
          <t>One film: Love Breakups Zindagi, for which he wrote the background score; Khan appears as himself.</t>
        </is>
      </c>
      <c r="P155" s="17" t="n">
        <v>1</v>
      </c>
      <c r="Q155" s="5" t="inlineStr">
        <is>
          <t>FILM-074</t>
        </is>
      </c>
      <c r="R155" s="5" t="inlineStr">
        <is>
          <t>Love Breakups Zindagi (2011)</t>
        </is>
      </c>
      <c r="S155" s="5" t="inlineStr">
        <is>
          <t>Clinton Cerejo was heading for an MBA when friends persuaded him to take music seriously; jam sessions with Siddharth Haldipur led to work with Amar Haldipur, the arranger, and from there to a career as a producer, composer and session singer. He is married to the singer Dominique Cerejo. His Shah Rukh Khan credit is the background score of Love Breakups Zindagi (2011), Sahil Sangha's romantic comedy, in which Khan makes a self appearance.</t>
        </is>
      </c>
      <c r="T155" s="5" t="inlineStr">
        <is>
          <t>SOURCE-236; SOURCE-077</t>
        </is>
      </c>
      <c r="U155" s="5" t="inlineStr">
        <is>
          <t>Medium</t>
        </is>
      </c>
    </row>
    <row r="156" ht="79" customHeight="1">
      <c r="A156" s="15" t="inlineStr">
        <is>
          <t>PERSON-155</t>
        </is>
      </c>
      <c r="B156" s="5" t="inlineStr">
        <is>
          <t>Colour Yellow Productions</t>
        </is>
      </c>
      <c r="C156" s="5" t="inlineStr">
        <is>
          <t>Production banner</t>
        </is>
      </c>
      <c r="D156" s="20" t="n"/>
      <c r="E156" s="20" t="n"/>
      <c r="F156" s="5" t="n"/>
      <c r="G156" s="5" t="inlineStr">
        <is>
          <t>Hindi cinema</t>
        </is>
      </c>
      <c r="H156" s="5" t="inlineStr">
        <is>
          <t>A production company founded in 2011 by the director Aanand L. Rai.</t>
        </is>
      </c>
      <c r="I156" s="5" t="inlineStr">
        <is>
          <t>Tanu Weds Manu (2011).</t>
        </is>
      </c>
      <c r="J156" s="5" t="inlineStr">
        <is>
          <t>With Khan: Zero (2018). Wider work: Tanu Weds Manu, Raanjhanaa, Nil Battey Sannata, Happy Bhag Jayegi, Manmarziyaan, Tumbbad, Shubh Mangal Zyada Saavdhan, Haseen Dillruba, Atrangi Re.</t>
        </is>
      </c>
      <c r="K156" s="19" t="inlineStr">
        <is>
          <t>Small-town romance and comedy; some genre experiments.</t>
        </is>
      </c>
      <c r="L156" s="19" t="n"/>
      <c r="M156" s="5" t="n"/>
      <c r="N156" s="19" t="n"/>
      <c r="O156" s="19" t="inlineStr">
        <is>
          <t>One film: Zero, co-produced with Red Chillies, Rai's romance with Khan as a man of short stature. It was highly unsuccessful.</t>
        </is>
      </c>
      <c r="P156" s="17" t="n">
        <v>1</v>
      </c>
      <c r="Q156" s="5" t="inlineStr">
        <is>
          <t>FILM-089</t>
        </is>
      </c>
      <c r="R156" s="5" t="inlineStr">
        <is>
          <t>Zero (2018)</t>
        </is>
      </c>
      <c r="S156" s="5" t="inlineStr">
        <is>
          <t>Colour Yellow Productions is Aanand L. Rai's company, founded in 2011 with Tanu Weds Manu. It became known for small-town romances and comedies such as Raanjhanaa and Shubh Mangal Zyada Saavdhan, and also backed the horror film Tumbbad. Zero (2018), co-produced with Gauri Khan's Red Chillies Entertainment, cast Shah Rukh Khan as Bauua Singh opposite Anushka Sharma and Katrina Kaif. It was the most expensive film either company had made and one of the least successful of Khan's career.</t>
        </is>
      </c>
      <c r="T156" s="5" t="inlineStr">
        <is>
          <t>SOURCE-237; SOURCE-092</t>
        </is>
      </c>
      <c r="U156" s="5" t="inlineStr">
        <is>
          <t>Medium</t>
        </is>
      </c>
    </row>
    <row r="157" ht="64" customHeight="1">
      <c r="A157" s="15" t="inlineStr">
        <is>
          <t>PERSON-156</t>
        </is>
      </c>
      <c r="B157" s="5" t="inlineStr">
        <is>
          <t>Daasa Movies</t>
        </is>
      </c>
      <c r="C157" s="5" t="inlineStr">
        <is>
          <t>Production banner</t>
        </is>
      </c>
      <c r="D157" s="20" t="n"/>
      <c r="E157" s="20" t="n"/>
      <c r="F157" s="5" t="n"/>
      <c r="G157" s="5" t="inlineStr">
        <is>
          <t>Hindi cinema</t>
        </is>
      </c>
      <c r="H157" s="5" t="inlineStr">
        <is>
          <t>A production banner credited on one film in this filmography, with no Wikipedia article of its own.</t>
        </is>
      </c>
      <c r="I157" s="5" t="n"/>
      <c r="J157" s="5" t="inlineStr">
        <is>
          <t>With Khan: English Babu Desi Mem (1996).</t>
        </is>
      </c>
      <c r="K157" s="19" t="n"/>
      <c r="L157" s="19" t="n"/>
      <c r="M157" s="5" t="n"/>
      <c r="N157" s="19" t="n"/>
      <c r="O157" s="19" t="inlineStr">
        <is>
          <t>One film with Khan, credited as production banner: English Babu Desi Mem (1996), directed by Praveen Nischol, with Khan in the lead as Vikram Mayur; verdict: Flop.</t>
        </is>
      </c>
      <c r="P157" s="17" t="n">
        <v>1</v>
      </c>
      <c r="Q157" s="5" t="inlineStr">
        <is>
          <t>FILM-019</t>
        </is>
      </c>
      <c r="R157" s="5" t="inlineStr">
        <is>
          <t>English Babu Desi Mem (1996)</t>
        </is>
      </c>
      <c r="S157" s="5" t="inlineStr">
        <is>
          <t>Daasa Movies is credited as production banner on English Babu Desi Mem (1996). No Wikipedia article or other independent biography was located for the company; this row is built from the film credit alone.</t>
        </is>
      </c>
      <c r="T157" s="5" t="inlineStr">
        <is>
          <t>SOURCE-022</t>
        </is>
      </c>
      <c r="U157" s="5" t="inlineStr">
        <is>
          <t>Low</t>
        </is>
      </c>
    </row>
    <row r="158" ht="79" customHeight="1">
      <c r="A158" s="15" t="inlineStr">
        <is>
          <t>PERSON-157</t>
        </is>
      </c>
      <c r="B158" s="5" t="inlineStr">
        <is>
          <t>Daboo Malik</t>
        </is>
      </c>
      <c r="C158" s="5" t="inlineStr">
        <is>
          <t>Song composer</t>
        </is>
      </c>
      <c r="D158" s="17" t="n">
        <v>1963</v>
      </c>
      <c r="E158" s="20" t="n"/>
      <c r="F158" s="5" t="n"/>
      <c r="G158" s="5" t="inlineStr">
        <is>
          <t>Hindi cinema</t>
        </is>
      </c>
      <c r="H158" s="5" t="inlineStr">
        <is>
          <t>A Mumbai-born composer, singer and actor, son of the composer Sardar Malik and nephew of the lyricist Hasrat Jaipuri, and brother of Anu Malik and Abu Malik.</t>
        </is>
      </c>
      <c r="I158" s="5" t="inlineStr">
        <is>
          <t>Acted in B. R. Chopra's Mahabharat (1988) and in Baazigar; credits Salim Khan with starting his composing career.</t>
        </is>
      </c>
      <c r="J158" s="5" t="inlineStr">
        <is>
          <t>With Khan: Hum Tumhare Hain Sanam (2002). Acted in Baazigar (1993).</t>
        </is>
      </c>
      <c r="K158" s="19" t="inlineStr">
        <is>
          <t>Mainstream romantic songs.</t>
        </is>
      </c>
      <c r="L158" s="19" t="n"/>
      <c r="M158" s="5" t="n"/>
      <c r="N158" s="19" t="n"/>
      <c r="O158" s="19" t="inlineStr">
        <is>
          <t>One composing credit on Hum Tumhare Hain Sanam, one of several composers on the film. He had also acted in Khan's Baazigar.</t>
        </is>
      </c>
      <c r="P158" s="17" t="n">
        <v>1</v>
      </c>
      <c r="Q158" s="5" t="inlineStr">
        <is>
          <t>FILM-042</t>
        </is>
      </c>
      <c r="R158" s="5" t="inlineStr">
        <is>
          <t>Hum Tumhare Hain Sanam (2002)</t>
        </is>
      </c>
      <c r="S158" s="5" t="inlineStr">
        <is>
          <t>Daboo Malik was born into a film-music family — his father was Sardar Malik and his uncle Hasrat Jaipuri — and first worked as an actor, playing Devavrata in the television Mahabharat and appearing in films including Baazigar (1993), Shah Rukh Khan's breakthrough. He later turned to composing, a move he attributes to encouragement from Salim Khan. He is one of several composers credited on Hum Tumhare Hain Sanam (2002), K. S. Adhiyaman's long-delayed marriage drama starring Khan, Madhuri Dixit and Salman Khan.</t>
        </is>
      </c>
      <c r="T158" s="5" t="inlineStr">
        <is>
          <t>SOURCE-238; SOURCE-045</t>
        </is>
      </c>
      <c r="U158" s="5" t="inlineStr">
        <is>
          <t>Medium</t>
        </is>
      </c>
    </row>
    <row r="159" ht="49" customHeight="1">
      <c r="A159" s="15" t="inlineStr">
        <is>
          <t>PERSON-158</t>
        </is>
      </c>
      <c r="B159" s="5" t="inlineStr">
        <is>
          <t>David Benullo</t>
        </is>
      </c>
      <c r="C159" s="5" t="inlineStr">
        <is>
          <t>Writer</t>
        </is>
      </c>
      <c r="D159" s="20" t="n"/>
      <c r="E159" s="20" t="n"/>
      <c r="F159" s="5" t="n"/>
      <c r="G159" s="5" t="inlineStr">
        <is>
          <t>Hindi cinema</t>
        </is>
      </c>
      <c r="H159" s="5" t="inlineStr">
        <is>
          <t>A writer credited on one film in this filmography, with no Wikipedia article of their own.</t>
        </is>
      </c>
      <c r="I159" s="5" t="n"/>
      <c r="J159" s="5" t="inlineStr">
        <is>
          <t>With Khan: Ra.One (2011).</t>
        </is>
      </c>
      <c r="K159" s="19" t="n"/>
      <c r="L159" s="19" t="n"/>
      <c r="M159" s="5" t="n"/>
      <c r="N159" s="19" t="n"/>
      <c r="O159" s="19" t="inlineStr">
        <is>
          <t>One film with Khan, credited as writer: Ra.One (2011), directed by Anubhav Sinha, with Khan in the lead as Shekhar Subramaniam.</t>
        </is>
      </c>
      <c r="P159" s="17" t="n">
        <v>1</v>
      </c>
      <c r="Q159" s="5" t="inlineStr">
        <is>
          <t>FILM-075</t>
        </is>
      </c>
      <c r="R159" s="5" t="inlineStr">
        <is>
          <t>Ra.One (2011)</t>
        </is>
      </c>
      <c r="S159" s="5" t="inlineStr">
        <is>
          <t>David Benullo is credited as writer on Ra.One (2011). No Wikipedia article or other independent biography was located; this row is built from the film credit alone.</t>
        </is>
      </c>
      <c r="T159" s="5" t="inlineStr">
        <is>
          <t>SOURCE-078</t>
        </is>
      </c>
      <c r="U159" s="5" t="inlineStr">
        <is>
          <t>Low</t>
        </is>
      </c>
    </row>
    <row r="160" ht="94" customHeight="1">
      <c r="A160" s="15" t="inlineStr">
        <is>
          <t>PERSON-159</t>
        </is>
      </c>
      <c r="B160" s="5" t="inlineStr">
        <is>
          <t>Deepa Sahi</t>
        </is>
      </c>
      <c r="C160" s="5" t="inlineStr">
        <is>
          <t>Writer; actress</t>
        </is>
      </c>
      <c r="D160" s="17" t="n">
        <v>1962</v>
      </c>
      <c r="E160" s="20" t="n"/>
      <c r="F160" s="5" t="inlineStr">
        <is>
          <t>1984–present</t>
        </is>
      </c>
      <c r="G160" s="5" t="inlineStr">
        <is>
          <t>Hindi cinema</t>
        </is>
      </c>
      <c r="H160" s="5" t="inlineStr">
        <is>
          <t>A Dehradun-born actress and producer who studied at Indraprastha College and the Delhi School of Economics, trained at the National School of Drama, and is married to the director Ketan Mehta.</t>
        </is>
      </c>
      <c r="I160" s="5" t="inlineStr">
        <is>
          <t>Acting from 1984; best known as Maya in Maya Memsaab (1993); directorial debut Tere Mere Phere (2011).</t>
        </is>
      </c>
      <c r="J160" s="5" t="inlineStr">
        <is>
          <t>With Khan: Oh Darling! Yeh Hai India! (1995), as writer. As actress opposite Khan: Maya Memsaab (1993).</t>
        </is>
      </c>
      <c r="K160" s="19" t="inlineStr">
        <is>
          <t>Collaborations with Ketan Mehta on satirical and literary films.</t>
        </is>
      </c>
      <c r="L160" s="19" t="n"/>
      <c r="M160" s="5" t="n"/>
      <c r="N160" s="19" t="n"/>
      <c r="O160" s="19" t="inlineStr">
        <is>
          <t>Co-wrote Ketan Mehta's satire Oh Darling! Yeh Hai India!, in which Khan plays the lead. She had acted opposite Khan in Mehta's Maya Memsaab, which drew controversy for a sex scene between them.</t>
        </is>
      </c>
      <c r="P160" s="17" t="n">
        <v>1</v>
      </c>
      <c r="Q160" s="5" t="inlineStr">
        <is>
          <t>FILM-015</t>
        </is>
      </c>
      <c r="R160" s="5" t="inlineStr">
        <is>
          <t>Oh Darling! Yeh Hai India! (1995)</t>
        </is>
      </c>
      <c r="S160" s="5" t="inlineStr">
        <is>
          <t>Deepa Sahi grew up in Meerut in an army family, took a gold medal in sociology at the Delhi School of Economics and went to the National School of Drama intending to direct, but acting offers came first. Her best-known role is Maya in Maya Memsaab (1993), Ketan Mehta's adaptation of Madame Bovary, in which an explicit scene with the young Shah Rukh Khan caused controversy. She is married to Mehta and co-wrote his next film, Oh Darling! Yeh Hai India! (1995), a surreal political satire set over one night in Bombay, with Khan in the lead. She directed Tere Mere Phere in 2011.</t>
        </is>
      </c>
      <c r="T160" s="5" t="inlineStr">
        <is>
          <t>SOURCE-239; SOURCE-018</t>
        </is>
      </c>
      <c r="U160" s="5" t="inlineStr">
        <is>
          <t>Medium</t>
        </is>
      </c>
    </row>
    <row r="161" ht="79" customHeight="1">
      <c r="A161" s="15" t="inlineStr">
        <is>
          <t>PERSON-160</t>
        </is>
      </c>
      <c r="B161" s="5" t="inlineStr">
        <is>
          <t>Devika Bhagat</t>
        </is>
      </c>
      <c r="C161" s="5" t="inlineStr">
        <is>
          <t>Writer</t>
        </is>
      </c>
      <c r="D161" s="17" t="n">
        <v>1979</v>
      </c>
      <c r="E161" s="20" t="n"/>
      <c r="F161" s="5" t="n"/>
      <c r="G161" s="5" t="inlineStr">
        <is>
          <t>Hindi cinema</t>
        </is>
      </c>
      <c r="H161" s="5" t="inlineStr">
        <is>
          <t>A Delhi-raised Hindi-film screenwriter educated at the United World College of the Atlantic and NYU's Tisch School of the Arts (BFA 2002), who began as a post-production intern on Monsoon Wedding.</t>
        </is>
      </c>
      <c r="I161" s="5" t="n"/>
      <c r="J161" s="5" t="inlineStr">
        <is>
          <t>With Khan: Jab Tak Hai Jaan (2012). Wider work: Manorama Six Feet Under, Bachna Ae Haseeno, Ladies vs Ricky Bahl.</t>
        </is>
      </c>
      <c r="K161" s="19" t="inlineStr">
        <is>
          <t>Romantic comedy and urban drama for Yash Raj Films.</t>
        </is>
      </c>
      <c r="L161" s="19" t="n"/>
      <c r="M161" s="5" t="n"/>
      <c r="N161" s="19" t="n"/>
      <c r="O161" s="19" t="inlineStr">
        <is>
          <t>One film: Yash Chopra's last film, Jab Tak Hai Jaan, which she co-wrote; Khan plays a bomb-disposal officer torn between two women. It was a hit.</t>
        </is>
      </c>
      <c r="P161" s="17" t="n">
        <v>1</v>
      </c>
      <c r="Q161" s="5" t="inlineStr">
        <is>
          <t>FILM-077</t>
        </is>
      </c>
      <c r="R161" s="5" t="inlineStr">
        <is>
          <t>Jab Tak Hai Jaan (2012)</t>
        </is>
      </c>
      <c r="S161" s="5" t="inlineStr">
        <is>
          <t>Devika Bhagat studied film at NYU and started as an intern on Monsoon Wedding before writing Manorama Six Feet Under (2007), Bachna Ae Haseeno (2008) and Ladies vs Ricky Bahl (2011). She co-wrote Jab Tak Hai Jaan (2012), the last film directed by Yash Chopra, in which Shah Rukh Khan plays Samar, an army bomb-disposal expert who makes a vow to God for the life of the woman he loves (Katrina Kaif) and later meets a young filmmaker (Anushka Sharma). The film was a hit.</t>
        </is>
      </c>
      <c r="T161" s="5" t="inlineStr">
        <is>
          <t>SOURCE-240; SOURCE-080</t>
        </is>
      </c>
      <c r="U161" s="5" t="inlineStr">
        <is>
          <t>Medium</t>
        </is>
      </c>
    </row>
    <row r="162" ht="79" customHeight="1">
      <c r="A162" s="15" t="inlineStr">
        <is>
          <t>PERSON-161</t>
        </is>
      </c>
      <c r="B162" s="5" t="inlineStr">
        <is>
          <t>Dibakar Banerjee</t>
        </is>
      </c>
      <c r="C162" s="5" t="inlineStr">
        <is>
          <t>Director; Writer (anthology segment)</t>
        </is>
      </c>
      <c r="D162" s="17" t="n">
        <v>1969</v>
      </c>
      <c r="E162" s="20" t="n"/>
      <c r="F162" s="5" t="inlineStr">
        <is>
          <t>2006–present</t>
        </is>
      </c>
      <c r="G162" s="5" t="inlineStr">
        <is>
          <t>Hindi cinema</t>
        </is>
      </c>
      <c r="H162" s="5" t="inlineStr">
        <is>
          <t>A Delhi-born director, screenwriter, producer and advertising filmmaker who studied visual communication at the National Institute of Design and runs Dibakar Banerjee Productions.</t>
        </is>
      </c>
      <c r="I162" s="5" t="inlineStr">
        <is>
          <t>Khosla Ka Ghosla (2006).</t>
        </is>
      </c>
      <c r="J162" s="5" t="inlineStr">
        <is>
          <t>With Khan: Bombay Talkies (2013), his segment. Wider work: Khosla Ka Ghosla, Oye Lucky! Lucky Oye!, Love Sex Aur Dhokha, Shanghai, Detective Byomkesh Bakshy!.</t>
        </is>
      </c>
      <c r="K162" s="19" t="inlineStr">
        <is>
          <t>Satirical, formally inventive films about Delhi's middle class, crime and politics.</t>
        </is>
      </c>
      <c r="L162" s="19" t="n"/>
      <c r="M162" s="5" t="inlineStr">
        <is>
          <t>National Film Awards for Khosla Ka Ghosla and Oye Lucky! Lucky Oye!.</t>
        </is>
      </c>
      <c r="N162" s="19" t="n"/>
      <c r="O162" s="19" t="inlineStr">
        <is>
          <t>One film: the anthology Bombay Talkies, for which he wrote and directed a segment. Khan appears as himself.</t>
        </is>
      </c>
      <c r="P162" s="17" t="n">
        <v>1</v>
      </c>
      <c r="Q162" s="5" t="inlineStr">
        <is>
          <t>FILM-078</t>
        </is>
      </c>
      <c r="R162" s="5" t="inlineStr">
        <is>
          <t>Bombay Talkies (2013)</t>
        </is>
      </c>
      <c r="S162" s="5" t="inlineStr">
        <is>
          <t>Dibakar Banerjee came from advertising and made his debut with Khosla Ka Ghosla (2006), a comedy about a Delhi family swindled out of land, following it with Oye Lucky! Lucky Oye!; both won National Film Awards. He then made Love Sex Aur Dhokha, Shanghai and Detective Byomkesh Bakshy!. For Bombay Talkies (2013), the centenary anthology produced with Karan Johar, Zoya Akhtar and Anurag Kashyap, he directed a segment adapted from a Satyajit Ray story; Shah Rukh Khan appears in the film as himself.</t>
        </is>
      </c>
      <c r="T162" s="5" t="inlineStr">
        <is>
          <t>SOURCE-241; SOURCE-081</t>
        </is>
      </c>
      <c r="U162" s="5" t="inlineStr">
        <is>
          <t>Medium</t>
        </is>
      </c>
    </row>
    <row r="163" ht="64" customHeight="1">
      <c r="A163" s="15" t="inlineStr">
        <is>
          <t>PERSON-162</t>
        </is>
      </c>
      <c r="B163" s="5" t="inlineStr">
        <is>
          <t>Dilip Sen–Sameer Sen</t>
        </is>
      </c>
      <c r="C163" s="5" t="inlineStr">
        <is>
          <t>Song composer</t>
        </is>
      </c>
      <c r="D163" s="20" t="n"/>
      <c r="E163" s="20" t="n"/>
      <c r="F163" s="5" t="n"/>
      <c r="G163" s="5" t="inlineStr">
        <is>
          <t>Hindi cinema</t>
        </is>
      </c>
      <c r="H163" s="5" t="inlineStr">
        <is>
          <t>A song composer credited on one film in this filmography, with no Wikipedia article of their own.</t>
        </is>
      </c>
      <c r="I163" s="5" t="n"/>
      <c r="J163" s="5" t="inlineStr">
        <is>
          <t>With Khan: Achanak (1998).</t>
        </is>
      </c>
      <c r="K163" s="19" t="n"/>
      <c r="L163" s="19" t="n"/>
      <c r="M163" s="5" t="n"/>
      <c r="N163" s="19" t="n"/>
      <c r="O163" s="19" t="inlineStr">
        <is>
          <t>One film with Khan, credited as song composer: Achanak (1998), directed by Naresh Malhotra, with Khan in a self appearance; verdict: Box-office failure.</t>
        </is>
      </c>
      <c r="P163" s="17" t="n">
        <v>1</v>
      </c>
      <c r="Q163" s="5" t="inlineStr">
        <is>
          <t>FILM-029</t>
        </is>
      </c>
      <c r="R163" s="5" t="inlineStr">
        <is>
          <t>Achanak (1998)</t>
        </is>
      </c>
      <c r="S163" s="5" t="inlineStr">
        <is>
          <t>Dilip Sen–Sameer Sen is credited as song composer on Achanak (1998). No Wikipedia article or other independent biography was located; this row is built from the film credit alone.</t>
        </is>
      </c>
      <c r="T163" s="5" t="inlineStr">
        <is>
          <t>SOURCE-032</t>
        </is>
      </c>
      <c r="U163" s="5" t="inlineStr">
        <is>
          <t>Low</t>
        </is>
      </c>
    </row>
    <row r="164" ht="64" customHeight="1">
      <c r="A164" s="15" t="inlineStr">
        <is>
          <t>PERSON-163</t>
        </is>
      </c>
      <c r="B164" s="5" t="inlineStr">
        <is>
          <t>Diplo</t>
        </is>
      </c>
      <c r="C164" s="5" t="inlineStr">
        <is>
          <t>Song composer (one song)</t>
        </is>
      </c>
      <c r="D164" s="17" t="n">
        <v>1978</v>
      </c>
      <c r="E164" s="20" t="n"/>
      <c r="F164" s="5" t="inlineStr">
        <is>
          <t>1997–present</t>
        </is>
      </c>
      <c r="G164" s="5" t="inlineStr">
        <is>
          <t>American electronic music</t>
        </is>
      </c>
      <c r="H164" s="5" t="inlineStr">
        <is>
          <t>An American DJ and record producer, founder of the label Mad Decent and co-creator of Major Lazer, and a member of Jack Ü, LSD and Silk City.</t>
        </is>
      </c>
      <c r="I164" s="5" t="n"/>
      <c r="J164" s="5" t="inlineStr">
        <is>
          <t>With Khan: Jab Harry Met Sejal (2017), the song 'Phurrr'. Wider work: M.I.A.'s 'Paper Planes'; Major Lazer albums.</t>
        </is>
      </c>
      <c r="K164" s="19" t="inlineStr">
        <is>
          <t>Electronic dance and dancehall production.</t>
        </is>
      </c>
      <c r="L164" s="19" t="n"/>
      <c r="M164" s="5" t="n"/>
      <c r="N164" s="19" t="n"/>
      <c r="O164" s="19" t="inlineStr">
        <is>
          <t>One song, 'Phurrr', in Imtiaz Ali's Jab Harry Met Sejal, which starred Khan as a tour guide in Europe. The film did well overseas but was weak in India.</t>
        </is>
      </c>
      <c r="P164" s="17" t="n">
        <v>1</v>
      </c>
      <c r="Q164" s="5" t="inlineStr">
        <is>
          <t>FILM-088</t>
        </is>
      </c>
      <c r="R164" s="5" t="inlineStr">
        <is>
          <t>Jab Harry Met Sejal (2017)</t>
        </is>
      </c>
      <c r="S164" s="5" t="inlineStr">
        <is>
          <t>Diplo, born Thomas Wesley Pentz, became known in 2008 with 'Blow Your Head' and through producing M.I.A.'s 'Paper Planes', then formed Major Lazer with Switch and later joined Skrillex in Jack Ü. His one Hindi film credit is 'Phurrr', a song in Jab Harry Met Sejal (2017), Imtiaz Ali's romance with Shah Rukh Khan as a Punjabi tour guide and Anushka Sharma as a Gujarati tourist searching Europe for a lost ring.</t>
        </is>
      </c>
      <c r="T164" s="5" t="inlineStr">
        <is>
          <t>SOURCE-242; SOURCE-091</t>
        </is>
      </c>
      <c r="U164" s="5" t="inlineStr">
        <is>
          <t>Medium</t>
        </is>
      </c>
    </row>
    <row r="165" ht="64" customHeight="1">
      <c r="A165" s="15" t="inlineStr">
        <is>
          <t>PERSON-164</t>
        </is>
      </c>
      <c r="B165" s="5" t="inlineStr">
        <is>
          <t>Eagle Films</t>
        </is>
      </c>
      <c r="C165" s="5" t="inlineStr">
        <is>
          <t>Production banner</t>
        </is>
      </c>
      <c r="D165" s="20" t="n"/>
      <c r="E165" s="20" t="n"/>
      <c r="F165" s="5" t="n"/>
      <c r="G165" s="5" t="inlineStr">
        <is>
          <t>Hindi cinema</t>
        </is>
      </c>
      <c r="H165" s="5" t="inlineStr">
        <is>
          <t>A production banner credited on one film in this filmography, with no Wikipedia article of its own.</t>
        </is>
      </c>
      <c r="I165" s="5" t="n"/>
      <c r="J165" s="5" t="inlineStr">
        <is>
          <t>With Khan: Chamatkar (1992).</t>
        </is>
      </c>
      <c r="K165" s="19" t="n"/>
      <c r="L165" s="19" t="n"/>
      <c r="M165" s="5" t="n"/>
      <c r="N165" s="19" t="n"/>
      <c r="O165" s="19" t="inlineStr">
        <is>
          <t>One film with Khan, credited as production banner: Chamatkar (1992), directed by Rajiv Mehra, with Khan in the lead as Sundar Shrivastav.</t>
        </is>
      </c>
      <c r="P165" s="17" t="n">
        <v>1</v>
      </c>
      <c r="Q165" s="5" t="inlineStr">
        <is>
          <t>FILM-002</t>
        </is>
      </c>
      <c r="R165" s="5" t="inlineStr">
        <is>
          <t>Chamatkar (1992)</t>
        </is>
      </c>
      <c r="S165" s="5" t="inlineStr">
        <is>
          <t>Eagle Films is credited as production banner on Chamatkar (1992). No Wikipedia article or other independent biography was located for the company; this row is built from the film credit alone.</t>
        </is>
      </c>
      <c r="T165" s="5" t="inlineStr">
        <is>
          <t>SOURCE-005</t>
        </is>
      </c>
      <c r="U165" s="5" t="inlineStr">
        <is>
          <t>Low</t>
        </is>
      </c>
    </row>
    <row r="166" ht="64" customHeight="1">
      <c r="A166" s="15" t="inlineStr">
        <is>
          <t>PERSON-165</t>
        </is>
      </c>
      <c r="B166" s="5" t="inlineStr">
        <is>
          <t>Film Folks</t>
        </is>
      </c>
      <c r="C166" s="5" t="inlineStr">
        <is>
          <t>Production banner</t>
        </is>
      </c>
      <c r="D166" s="20" t="n"/>
      <c r="E166" s="20" t="n"/>
      <c r="F166" s="5" t="n"/>
      <c r="G166" s="5" t="inlineStr">
        <is>
          <t>Hindi cinema</t>
        </is>
      </c>
      <c r="H166" s="5" t="inlineStr">
        <is>
          <t>A production banner credited on one film in this filmography, with no Wikipedia article of its own.</t>
        </is>
      </c>
      <c r="I166" s="5" t="n"/>
      <c r="J166" s="5" t="inlineStr">
        <is>
          <t>With Khan: Achanak (1998).</t>
        </is>
      </c>
      <c r="K166" s="19" t="n"/>
      <c r="L166" s="19" t="n"/>
      <c r="M166" s="5" t="n"/>
      <c r="N166" s="19" t="n"/>
      <c r="O166" s="19" t="inlineStr">
        <is>
          <t>One film with Khan, credited as production banner: Achanak (1998), directed by Naresh Malhotra, with Khan in a self appearance; verdict: Box-office failure.</t>
        </is>
      </c>
      <c r="P166" s="17" t="n">
        <v>1</v>
      </c>
      <c r="Q166" s="5" t="inlineStr">
        <is>
          <t>FILM-029</t>
        </is>
      </c>
      <c r="R166" s="5" t="inlineStr">
        <is>
          <t>Achanak (1998)</t>
        </is>
      </c>
      <c r="S166" s="5" t="inlineStr">
        <is>
          <t>Film Folks is credited as production banner on Achanak (1998). No Wikipedia article or other independent biography was located for the company; this row is built from the film credit alone.</t>
        </is>
      </c>
      <c r="T166" s="5" t="inlineStr">
        <is>
          <t>SOURCE-032</t>
        </is>
      </c>
      <c r="U166" s="5" t="inlineStr">
        <is>
          <t>Low</t>
        </is>
      </c>
    </row>
    <row r="167" ht="79" customHeight="1">
      <c r="A167" s="15" t="inlineStr">
        <is>
          <t>PERSON-166</t>
        </is>
      </c>
      <c r="B167" s="5" t="inlineStr">
        <is>
          <t>Flying Unicorn Entertainment</t>
        </is>
      </c>
      <c r="C167" s="5" t="inlineStr">
        <is>
          <t>Production banner</t>
        </is>
      </c>
      <c r="D167" s="20" t="n"/>
      <c r="E167" s="20" t="n"/>
      <c r="F167" s="5" t="n"/>
      <c r="G167" s="5" t="inlineStr">
        <is>
          <t>Hindi cinema</t>
        </is>
      </c>
      <c r="H167" s="5" t="inlineStr">
        <is>
          <t>A production banner credited on one film in this filmography, with no Wikipedia article of its own.</t>
        </is>
      </c>
      <c r="I167" s="5" t="n"/>
      <c r="J167" s="5" t="inlineStr">
        <is>
          <t>With Khan: Bombay Talkies (2013).</t>
        </is>
      </c>
      <c r="K167" s="19" t="n"/>
      <c r="L167" s="19" t="n"/>
      <c r="M167" s="5" t="n"/>
      <c r="N167" s="19" t="n"/>
      <c r="O167" s="19" t="inlineStr">
        <is>
          <t>One film with Khan, credited as production banner: Bombay Talkies (2013), directed by Karan Johar, Dibakar Banerjee, Zoya Akhtar and Anurag Kashyap, with Khan in a self appearance.</t>
        </is>
      </c>
      <c r="P167" s="17" t="n">
        <v>1</v>
      </c>
      <c r="Q167" s="5" t="inlineStr">
        <is>
          <t>FILM-078</t>
        </is>
      </c>
      <c r="R167" s="5" t="inlineStr">
        <is>
          <t>Bombay Talkies (2013)</t>
        </is>
      </c>
      <c r="S167" s="5" t="inlineStr">
        <is>
          <t>Flying Unicorn Entertainment is credited as production banner on Bombay Talkies (2013). No Wikipedia article or other independent biography was located for the company; this row is built from the film credit alone.</t>
        </is>
      </c>
      <c r="T167" s="5" t="inlineStr">
        <is>
          <t>SOURCE-081</t>
        </is>
      </c>
      <c r="U167" s="5" t="inlineStr">
        <is>
          <t>Low</t>
        </is>
      </c>
    </row>
    <row r="168" ht="79" customHeight="1">
      <c r="A168" s="15" t="inlineStr">
        <is>
          <t>PERSON-167</t>
        </is>
      </c>
      <c r="B168" s="5" t="inlineStr">
        <is>
          <t>Fox Searchlight Pictures</t>
        </is>
      </c>
      <c r="C168" s="5" t="inlineStr">
        <is>
          <t>Production banner (distributor)</t>
        </is>
      </c>
      <c r="D168" s="20" t="n"/>
      <c r="E168" s="20" t="n"/>
      <c r="F168" s="5" t="n"/>
      <c r="G168" s="5" t="inlineStr">
        <is>
          <t>American cinema</t>
        </is>
      </c>
      <c r="H168" s="5" t="inlineStr">
        <is>
          <t>An American specialty-film producer and distributor founded in 1994 as a division of 20th Century Fox, renamed Searchlight Pictures after Disney's 2019 acquisition of Fox.</t>
        </is>
      </c>
      <c r="I168" s="5" t="n"/>
      <c r="J168" s="5" t="inlineStr">
        <is>
          <t>With Khan: My Name Is Khan (2010). Wider work: Slumdog Millionaire, 12 Years a Slave, Birdman, The Shape of Water, Nomadland.</t>
        </is>
      </c>
      <c r="K168" s="19" t="inlineStr">
        <is>
          <t>Independent and specialty films.</t>
        </is>
      </c>
      <c r="L168" s="19" t="n"/>
      <c r="M168" s="5" t="inlineStr">
        <is>
          <t>Five Best Picture winners; 51 Academy Awards in total.</t>
        </is>
      </c>
      <c r="N168" s="19" t="n"/>
      <c r="O168" s="19" t="inlineStr">
        <is>
          <t>One film: Karan Johar's My Name Is Khan which Fox Searchlight distributed internationally. The film was a financial success.</t>
        </is>
      </c>
      <c r="P168" s="17" t="n">
        <v>1</v>
      </c>
      <c r="Q168" s="5" t="inlineStr">
        <is>
          <t>FILM-071</t>
        </is>
      </c>
      <c r="R168" s="5" t="inlineStr">
        <is>
          <t>My Name Is Khan (2010)</t>
        </is>
      </c>
      <c r="S168" s="5" t="inlineStr">
        <is>
          <t>Fox Searchlight Pictures was 20th Century Fox's specialty division, known for releasing Slumdog Millionaire, its highest-grossing film, and later Best Picture winners such as 12 Years a Slave and Nomadland. It is credited as a production banner on My Name Is Khan (2010), Karan Johar's drama with Shah Rukh Khan as an autistic Muslim man in post-9/11 America; Fox handled the film's international release. The company became Searchlight Pictures after Disney bought Fox in 2019.</t>
        </is>
      </c>
      <c r="T168" s="5" t="inlineStr">
        <is>
          <t>SOURCE-243; SOURCE-074</t>
        </is>
      </c>
      <c r="U168" s="5" t="inlineStr">
        <is>
          <t>Medium</t>
        </is>
      </c>
    </row>
    <row r="169" ht="64" customHeight="1">
      <c r="A169" s="15" t="inlineStr">
        <is>
          <t>PERSON-168</t>
        </is>
      </c>
      <c r="B169" s="5" t="inlineStr">
        <is>
          <t>G. M. Ayaz</t>
        </is>
      </c>
      <c r="C169" s="5" t="inlineStr">
        <is>
          <t>Writer</t>
        </is>
      </c>
      <c r="D169" s="20" t="n"/>
      <c r="E169" s="20" t="n"/>
      <c r="F169" s="5" t="n"/>
      <c r="G169" s="5" t="inlineStr">
        <is>
          <t>Hindi cinema</t>
        </is>
      </c>
      <c r="H169" s="5" t="inlineStr">
        <is>
          <t>A writer credited on one film in this filmography, with no Wikipedia article of their own.</t>
        </is>
      </c>
      <c r="I169" s="5" t="n"/>
      <c r="J169" s="5" t="inlineStr">
        <is>
          <t>With Khan: English Babu Desi Mem (1996).</t>
        </is>
      </c>
      <c r="K169" s="19" t="n"/>
      <c r="L169" s="19" t="n"/>
      <c r="M169" s="5" t="n"/>
      <c r="N169" s="19" t="n"/>
      <c r="O169" s="19" t="inlineStr">
        <is>
          <t>One film with Khan, credited as writer: English Babu Desi Mem (1996), directed by Praveen Nischol, with Khan in the lead as Vikram Mayur; verdict: Flop.</t>
        </is>
      </c>
      <c r="P169" s="17" t="n">
        <v>1</v>
      </c>
      <c r="Q169" s="5" t="inlineStr">
        <is>
          <t>FILM-019</t>
        </is>
      </c>
      <c r="R169" s="5" t="inlineStr">
        <is>
          <t>English Babu Desi Mem (1996)</t>
        </is>
      </c>
      <c r="S169" s="5" t="inlineStr">
        <is>
          <t>G. M. Ayaz is credited as writer on English Babu Desi Mem (1996). No Wikipedia article or other independent biography was located; this row is built from the film credit alone.</t>
        </is>
      </c>
      <c r="T169" s="5" t="inlineStr">
        <is>
          <t>SOURCE-022</t>
        </is>
      </c>
      <c r="U169" s="5" t="inlineStr">
        <is>
          <t>Low</t>
        </is>
      </c>
    </row>
    <row r="170" ht="169" customHeight="1">
      <c r="A170" s="15" t="inlineStr">
        <is>
          <t>PERSON-169</t>
        </is>
      </c>
      <c r="B170" s="5" t="inlineStr">
        <is>
          <t>Gauri Shinde</t>
        </is>
      </c>
      <c r="C170" s="5" t="inlineStr">
        <is>
          <t>Director; screenwriter; producer (Hope Productions)</t>
        </is>
      </c>
      <c r="D170" s="17" t="n">
        <v>1974</v>
      </c>
      <c r="E170" s="20" t="n"/>
      <c r="F170" s="5" t="n"/>
      <c r="G170" s="5" t="inlineStr">
        <is>
          <t>Hindi</t>
        </is>
      </c>
      <c r="H170" s="5" t="inlineStr">
        <is>
          <t>Grew up in Pune and studied at the Symbiosis Institute of Mass Communication; made over 100 advertising and short films, working at agencies including Lowe Lintas under R. Balki, whom she married in 2007.</t>
        </is>
      </c>
      <c r="I170" s="5" t="inlineStr">
        <is>
          <t>English Vinglish (2012).</t>
        </is>
      </c>
      <c r="J170" s="5" t="inlineStr">
        <is>
          <t>Oh Man! (2001, short); English Vinglish (2012); Dear Zindagi (2016)</t>
        </is>
      </c>
      <c r="K170" s="19" t="inlineStr">
        <is>
          <t>Women's self-worth and emotional growth.</t>
        </is>
      </c>
      <c r="L170" s="19" t="inlineStr">
        <is>
          <t>Gentle, conversational character drama.</t>
        </is>
      </c>
      <c r="M170" s="5" t="inlineStr">
        <is>
          <t>Filmfare Award for Best Debut Director (English Vinglish); Laadli National Media Award for Gender Sensitivity</t>
        </is>
      </c>
      <c r="N170" s="19" t="inlineStr">
        <is>
          <t>Named in the Financial Times' 2012 list of '25 Indians To Watch'.</t>
        </is>
      </c>
      <c r="O170" s="19" t="inlineStr">
        <is>
          <t>Wrote, directed and co-produced Dear Zindagi, casting Khan as the psychologist Jug opposite Alia Bhatt, with Red Chillies Entertainment as co-producer.</t>
        </is>
      </c>
      <c r="P170" s="17" t="n">
        <v>1</v>
      </c>
      <c r="Q170" s="5" t="inlineStr">
        <is>
          <t>FILM-085</t>
        </is>
      </c>
      <c r="R170" s="5" t="inlineStr">
        <is>
          <t>Dear Zindagi (2016)</t>
        </is>
      </c>
      <c r="S170" s="5" t="inlineStr">
        <is>
          <t>Gauri Shinde, born on 6 July 1974, grew up in Pune and graduated from the Symbiosis Institute of Mass Communication. She interned with the documentary director Siddharth Kak and worked in advertising at agencies including Lowe Lintas, where R. Balki, whom she married in 2007, was creative director. She made over 100 advertising films and short films; her short Oh Man! (2001) was selected for the Berlin Film Festival. Her feature debut, English Vinglish (2012), inspired by her mother and marking Sridevi's comeback, premiered at Toronto and was a critical and commercial success, winning her the Filmfare Award for Best Debut Director. She wrote and directed Dear Zindagi (2016), co-produced by her Hope Productions with Red Chillies Entertainment and Dharma Productions. Alia Bhatt plays Kaira, a young cinematographer, and Shah Rukh Khan plays Dr. Jehangir 'Jug' Khan, the free-spirited psychologist who helps her confront her fear of abandonment and gently declines her romantic feelings. The film was a commercial success, and reviewers praised the chemistry between its two leads.</t>
        </is>
      </c>
      <c r="T170" s="5" t="inlineStr">
        <is>
          <t>SOURCE-181; SOURCE-088</t>
        </is>
      </c>
      <c r="U170" s="5" t="inlineStr">
        <is>
          <t>Medium</t>
        </is>
      </c>
    </row>
    <row r="171" ht="79" customHeight="1">
      <c r="A171" s="15" t="inlineStr">
        <is>
          <t>PERSON-170</t>
        </is>
      </c>
      <c r="B171" s="5" t="inlineStr">
        <is>
          <t>Gautam Rajadhyaksha</t>
        </is>
      </c>
      <c r="C171" s="5" t="inlineStr">
        <is>
          <t>Writer; photographer</t>
        </is>
      </c>
      <c r="D171" s="17" t="n">
        <v>1950</v>
      </c>
      <c r="E171" s="17" t="n">
        <v>2011</v>
      </c>
      <c r="F171" s="5" t="inlineStr">
        <is>
          <t>1974–2011</t>
        </is>
      </c>
      <c r="G171" s="5" t="inlineStr">
        <is>
          <t>Hindi cinema</t>
        </is>
      </c>
      <c r="H171" s="5" t="inlineStr">
        <is>
          <t>One of India's leading fashion and celebrity photographers, a cousin of the novelist Shobhaa De, who worked for fifteen years in the photo department of Lintas before turning freelance.</t>
        </is>
      </c>
      <c r="I171" s="5" t="inlineStr">
        <is>
          <t>Screenwriting: Bekhudi (1992), which launched Kajol.</t>
        </is>
      </c>
      <c r="J171" s="5" t="inlineStr">
        <is>
          <t>With Khan: Anjaam (1994). Screenplays: Bekhudi, Anjaam. Photography: portraits of nearly every major Hindi film star.</t>
        </is>
      </c>
      <c r="K171" s="19" t="inlineStr">
        <is>
          <t>Celebrity portraiture.</t>
        </is>
      </c>
      <c r="L171" s="19" t="n"/>
      <c r="M171" s="5" t="n"/>
      <c r="N171" s="19" t="n"/>
      <c r="O171" s="19" t="inlineStr">
        <is>
          <t>One screenplay: Rahul Rawail's Anjaam, with Khan as an obsessive stalker opposite Madhuri Dixit. His article says the script gave Dixit a challenging role.</t>
        </is>
      </c>
      <c r="P171" s="17" t="n">
        <v>1</v>
      </c>
      <c r="Q171" s="5" t="inlineStr">
        <is>
          <t>FILM-011</t>
        </is>
      </c>
      <c r="R171" s="5" t="inlineStr">
        <is>
          <t>Anjaam (1994)</t>
        </is>
      </c>
      <c r="S171" s="5" t="inlineStr">
        <is>
          <t>Gautam Rajadhyaksha studied chemistry at St. Xavier's College, Mumbai, joined Lintas in 1974 and became one of the country's most sought-after portrait photographers after a 1980 shoot with Shabana Azmi, Tina Munim and Jackie Shroff. He also wrote two screenplays for Rahul Rawail: Bekhudi (1992), which introduced Kajol, and Anjaam (1994), a thriller in which Shah Rukh Khan plays a rich man whose fixation on a married flight attendant (Madhuri Dixit) leads to murder and revenge. He died on 13 September 2011.</t>
        </is>
      </c>
      <c r="T171" s="5" t="inlineStr">
        <is>
          <t>SOURCE-244; SOURCE-014</t>
        </is>
      </c>
      <c r="U171" s="5" t="inlineStr">
        <is>
          <t>Medium</t>
        </is>
      </c>
    </row>
    <row r="172" ht="64" customHeight="1">
      <c r="A172" s="15" t="inlineStr">
        <is>
          <t>PERSON-171</t>
        </is>
      </c>
      <c r="B172" s="5" t="inlineStr">
        <is>
          <t>Girish Jain</t>
        </is>
      </c>
      <c r="C172" s="5" t="inlineStr">
        <is>
          <t>Producer</t>
        </is>
      </c>
      <c r="D172" s="20" t="n"/>
      <c r="E172" s="20" t="n"/>
      <c r="F172" s="5" t="n"/>
      <c r="G172" s="5" t="inlineStr">
        <is>
          <t>Hindi cinema</t>
        </is>
      </c>
      <c r="H172" s="5" t="inlineStr">
        <is>
          <t>A producer credited on one film in this filmography, with no Wikipedia article of their own.</t>
        </is>
      </c>
      <c r="I172" s="5" t="n"/>
      <c r="J172" s="5" t="inlineStr">
        <is>
          <t>With Khan: Baadshah (1999).</t>
        </is>
      </c>
      <c r="K172" s="19" t="n"/>
      <c r="L172" s="19" t="n"/>
      <c r="M172" s="5" t="n"/>
      <c r="N172" s="19" t="n"/>
      <c r="O172" s="19" t="inlineStr">
        <is>
          <t>One film with Khan, credited as producer: Baadshah (1999), directed by Abbas–Mustan, with Khan in the lead as Raj (Baadshah); verdict: Average.</t>
        </is>
      </c>
      <c r="P172" s="17" t="n">
        <v>1</v>
      </c>
      <c r="Q172" s="5" t="inlineStr">
        <is>
          <t>FILM-032</t>
        </is>
      </c>
      <c r="R172" s="5" t="inlineStr">
        <is>
          <t>Baadshah (1999)</t>
        </is>
      </c>
      <c r="S172" s="5" t="inlineStr">
        <is>
          <t>Girish Jain is credited as producer on Baadshah (1999). No Wikipedia article or other independent biography was located; this row is built from the film credit alone.</t>
        </is>
      </c>
      <c r="T172" s="5" t="inlineStr">
        <is>
          <t>SOURCE-035</t>
        </is>
      </c>
      <c r="U172" s="5" t="inlineStr">
        <is>
          <t>Low</t>
        </is>
      </c>
    </row>
    <row r="173" ht="64" customHeight="1">
      <c r="A173" s="15" t="inlineStr">
        <is>
          <t>PERSON-172</t>
        </is>
      </c>
      <c r="B173" s="5" t="inlineStr">
        <is>
          <t>Glamour Films</t>
        </is>
      </c>
      <c r="C173" s="5" t="inlineStr">
        <is>
          <t>Production banner</t>
        </is>
      </c>
      <c r="D173" s="20" t="n"/>
      <c r="E173" s="20" t="n"/>
      <c r="F173" s="5" t="n"/>
      <c r="G173" s="5" t="inlineStr">
        <is>
          <t>Hindi cinema</t>
        </is>
      </c>
      <c r="H173" s="5" t="inlineStr">
        <is>
          <t>A production banner credited on one film in this filmography, with no Wikipedia article of its own.</t>
        </is>
      </c>
      <c r="I173" s="5" t="n"/>
      <c r="J173" s="5" t="inlineStr">
        <is>
          <t>With Khan: One 2 Ka 4 (2001).</t>
        </is>
      </c>
      <c r="K173" s="19" t="n"/>
      <c r="L173" s="19" t="n"/>
      <c r="M173" s="5" t="n"/>
      <c r="N173" s="19" t="n"/>
      <c r="O173" s="19" t="inlineStr">
        <is>
          <t>One film with Khan, credited as production banner: One 2 Ka 4 (2001), directed by Shashilal K. Nair, with Khan in the lead as ACP Arun Verma; verdict: Disaster.</t>
        </is>
      </c>
      <c r="P173" s="17" t="n">
        <v>1</v>
      </c>
      <c r="Q173" s="5" t="inlineStr">
        <is>
          <t>FILM-039</t>
        </is>
      </c>
      <c r="R173" s="5" t="inlineStr">
        <is>
          <t>One 2 Ka 4 (2001)</t>
        </is>
      </c>
      <c r="S173" s="5" t="inlineStr">
        <is>
          <t>Glamour Films is credited as production banner on One 2 Ka 4 (2001). No Wikipedia article or other independent biography was located for the company; this row is built from the film credit alone.</t>
        </is>
      </c>
      <c r="T173" s="5" t="inlineStr">
        <is>
          <t>SOURCE-042</t>
        </is>
      </c>
      <c r="U173" s="5" t="inlineStr">
        <is>
          <t>Low</t>
        </is>
      </c>
    </row>
    <row r="174" ht="79" customHeight="1">
      <c r="A174" s="15" t="inlineStr">
        <is>
          <t>PERSON-173</t>
        </is>
      </c>
      <c r="B174" s="5" t="inlineStr">
        <is>
          <t>Guddu Dhanoa</t>
        </is>
      </c>
      <c r="C174" s="5" t="inlineStr">
        <is>
          <t>Producer</t>
        </is>
      </c>
      <c r="D174" s="20" t="n"/>
      <c r="E174" s="20" t="n"/>
      <c r="F174" s="5" t="inlineStr">
        <is>
          <t>1992–present</t>
        </is>
      </c>
      <c r="G174" s="5" t="inlineStr">
        <is>
          <t>Hindi cinema</t>
        </is>
      </c>
      <c r="H174" s="5" t="inlineStr">
        <is>
          <t>A Hindi and Punjabi film writer, producer and director, brother of the actor Narendra and the actor-producer Vijay Dhanoa, best known for action films with the Deols.</t>
        </is>
      </c>
      <c r="I174" s="5" t="inlineStr">
        <is>
          <t>As producer, Deewana (1992).</t>
        </is>
      </c>
      <c r="J174" s="5" t="inlineStr">
        <is>
          <t>With Khan: Deewana (1992). As director: Elaan, Ziddi, Bichhoo, 23rd March 1931: Shaheed, Jaal: The Trap; The Lion of Punjab (Punjabi).</t>
        </is>
      </c>
      <c r="K174" s="19" t="inlineStr">
        <is>
          <t>Action and revenge drama.</t>
        </is>
      </c>
      <c r="L174" s="19" t="n"/>
      <c r="M174" s="5" t="n"/>
      <c r="N174" s="19" t="inlineStr">
        <is>
          <t>Producer of Khan's first released film.</t>
        </is>
      </c>
      <c r="O174" s="19" t="inlineStr">
        <is>
          <t>Produced Deewana, Khan's first film release, in which he plays the young man who marries the widowed heroine (Divya Bharti) in the second half. Dhanoa's article notes that he started as a producer with this film.</t>
        </is>
      </c>
      <c r="P174" s="17" t="n">
        <v>1</v>
      </c>
      <c r="Q174" s="5" t="inlineStr">
        <is>
          <t>FILM-001</t>
        </is>
      </c>
      <c r="R174" s="5" t="inlineStr">
        <is>
          <t>Deewana (1992)</t>
        </is>
      </c>
      <c r="S174" s="5" t="inlineStr">
        <is>
          <t>Guddu Dhanoa's career began with Deewana (1992), which he produced and in which Shah Rukh Khan made his first film appearance, playing Raja, a rich young man who falls for a widow (Divya Bharti) after her husband (Rishi Kapoor) is presumed dead. It was a hit and won Khan the Filmfare Award for Best Male Debut. Dhanoa then directed action films, among them Ziddi with Sunny Deol and Bichhoo with Bobby Deol, an unofficial remake of Léon, as well as 23rd March 1931: Shaheed, and later made Punjabi films.</t>
        </is>
      </c>
      <c r="T174" s="5" t="inlineStr">
        <is>
          <t>SOURCE-245; SOURCE-004</t>
        </is>
      </c>
      <c r="U174" s="5" t="inlineStr">
        <is>
          <t>Medium</t>
        </is>
      </c>
    </row>
    <row r="175" ht="64" customHeight="1">
      <c r="A175" s="15" t="inlineStr">
        <is>
          <t>PERSON-174</t>
        </is>
      </c>
      <c r="B175" s="5" t="inlineStr">
        <is>
          <t>Gulan Kriplani</t>
        </is>
      </c>
      <c r="C175" s="5" t="inlineStr">
        <is>
          <t>Writer</t>
        </is>
      </c>
      <c r="D175" s="20" t="n"/>
      <c r="E175" s="20" t="n"/>
      <c r="F175" s="5" t="n"/>
      <c r="G175" s="5" t="inlineStr">
        <is>
          <t>Hindi cinema</t>
        </is>
      </c>
      <c r="H175" s="5" t="inlineStr">
        <is>
          <t>A writer credited on one film in this filmography, with no Wikipedia article of their own.</t>
        </is>
      </c>
      <c r="I175" s="5" t="n"/>
      <c r="J175" s="5" t="inlineStr">
        <is>
          <t>With Khan: Maya Memsaab (1993).</t>
        </is>
      </c>
      <c r="K175" s="19" t="n"/>
      <c r="L175" s="19" t="n"/>
      <c r="M175" s="5" t="n"/>
      <c r="N175" s="19" t="n"/>
      <c r="O175" s="19" t="inlineStr">
        <is>
          <t>One film with Khan, credited as writer: Maya Memsaab (1993), directed by Ketan Mehta, with Khan in a supporting role as Lalit Kumar.</t>
        </is>
      </c>
      <c r="P175" s="17" t="n">
        <v>1</v>
      </c>
      <c r="Q175" s="5" t="inlineStr">
        <is>
          <t>FILM-006</t>
        </is>
      </c>
      <c r="R175" s="5" t="inlineStr">
        <is>
          <t>Maya Memsaab (1993)</t>
        </is>
      </c>
      <c r="S175" s="5" t="inlineStr">
        <is>
          <t>Gulan Kriplani is credited as writer on Maya Memsaab (1993). No Wikipedia article or other independent biography was located; this row is built from the film credit alone.</t>
        </is>
      </c>
      <c r="T175" s="5" t="inlineStr">
        <is>
          <t>SOURCE-009</t>
        </is>
      </c>
      <c r="U175" s="5" t="inlineStr">
        <is>
          <t>Low</t>
        </is>
      </c>
    </row>
    <row r="176" ht="64" customHeight="1">
      <c r="A176" s="15" t="inlineStr">
        <is>
          <t>PERSON-175</t>
        </is>
      </c>
      <c r="B176" s="5" t="inlineStr">
        <is>
          <t>H. M. Creations</t>
        </is>
      </c>
      <c r="C176" s="5" t="inlineStr">
        <is>
          <t>Production banner</t>
        </is>
      </c>
      <c r="D176" s="20" t="n"/>
      <c r="E176" s="20" t="n"/>
      <c r="F176" s="5" t="n"/>
      <c r="G176" s="5" t="inlineStr">
        <is>
          <t>Hindi cinema</t>
        </is>
      </c>
      <c r="H176" s="5" t="inlineStr">
        <is>
          <t>A production banner credited on one film in this filmography, with no Wikipedia article of its own.</t>
        </is>
      </c>
      <c r="I176" s="5" t="n"/>
      <c r="J176" s="5" t="inlineStr">
        <is>
          <t>With Khan: Dil Aashna Hai (1992).</t>
        </is>
      </c>
      <c r="K176" s="19" t="n"/>
      <c r="L176" s="19" t="n"/>
      <c r="M176" s="5" t="n"/>
      <c r="N176" s="19" t="n"/>
      <c r="O176" s="19" t="inlineStr">
        <is>
          <t>One film with Khan, credited as production banner: Dil Aashna Hai (1992), directed by Hema Malini, with Khan in a co-lead as Karan Singh.</t>
        </is>
      </c>
      <c r="P176" s="17" t="n">
        <v>1</v>
      </c>
      <c r="Q176" s="5" t="inlineStr">
        <is>
          <t>FILM-004</t>
        </is>
      </c>
      <c r="R176" s="5" t="inlineStr">
        <is>
          <t>Dil Aashna Hai (1992)</t>
        </is>
      </c>
      <c r="S176" s="5" t="inlineStr">
        <is>
          <t>H. M. Creations is credited as production banner on Dil Aashna Hai (1992). No Wikipedia article or other independent biography was located for the company; this row is built from the film credit alone.</t>
        </is>
      </c>
      <c r="T176" s="5" t="inlineStr">
        <is>
          <t>SOURCE-007</t>
        </is>
      </c>
      <c r="U176" s="5" t="inlineStr">
        <is>
          <t>Low</t>
        </is>
      </c>
    </row>
    <row r="177" ht="79" customHeight="1">
      <c r="A177" s="15" t="inlineStr">
        <is>
          <t>PERSON-176</t>
        </is>
      </c>
      <c r="B177" s="5" t="inlineStr">
        <is>
          <t>Habib Faisal</t>
        </is>
      </c>
      <c r="C177" s="5" t="inlineStr">
        <is>
          <t>Writer</t>
        </is>
      </c>
      <c r="D177" s="20" t="n"/>
      <c r="E177" s="20" t="n"/>
      <c r="F177" s="5" t="inlineStr">
        <is>
          <t>1992–present</t>
        </is>
      </c>
      <c r="G177" s="5" t="inlineStr">
        <is>
          <t>Hindi cinema</t>
        </is>
      </c>
      <c r="H177" s="5" t="inlineStr">
        <is>
          <t>A Hindi-film writer, director and lyricist who wrote extensively for Yash Raj Films.</t>
        </is>
      </c>
      <c r="I177" s="5" t="inlineStr">
        <is>
          <t>Directorial debut Do Dooni Chaar (2010).</t>
        </is>
      </c>
      <c r="J177" s="5" t="inlineStr">
        <is>
          <t>With Khan: Fan (2016). Wider work: Salaam Namaste, Ta Ra Rum Pum, Jhoom Barabar Jhoom, Band Baaja Baaraat, Ladies vs Ricky Bahl, Bewakoofiyaan (writer); Do Dooni Chaar, Ishaqzaade (director).</t>
        </is>
      </c>
      <c r="K177" s="19" t="inlineStr">
        <is>
          <t>Contemporary urban comedy and romance.</t>
        </is>
      </c>
      <c r="L177" s="19" t="n"/>
      <c r="M177" s="5" t="inlineStr">
        <is>
          <t>Filmfare Award for Best Dialogue for Do Dooni Chaar.</t>
        </is>
      </c>
      <c r="N177" s="19" t="n"/>
      <c r="O177" s="19" t="inlineStr">
        <is>
          <t>One film: Maneesh Sharma's Fan, which he co-wrote, with Khan as both a star and his obsessive look-alike fan.</t>
        </is>
      </c>
      <c r="P177" s="17" t="n">
        <v>1</v>
      </c>
      <c r="Q177" s="5" t="inlineStr">
        <is>
          <t>FILM-083</t>
        </is>
      </c>
      <c r="R177" s="5" t="inlineStr">
        <is>
          <t>Fan (2016)</t>
        </is>
      </c>
      <c r="S177" s="5" t="inlineStr">
        <is>
          <t>Habib Faisal wrote a run of Yash Raj Films comedies and romances, including Salaam Namaste, Ta Ra Rum Pum, Band Baaja Baaraat and Ladies vs Ricky Bahl, and directed Do Dooni Chaar (2010), which won him the Filmfare Award for Best Dialogue, and Ishaqzaade (2012). He co-wrote Fan (2016), Maneesh Sharma's thriller about Gaurav Chandna, a Delhi youth obsessed with the film star Aryan Khanna; Shah Rukh Khan played both roles, with heavy prosthetics for the fan.</t>
        </is>
      </c>
      <c r="T177" s="5" t="inlineStr">
        <is>
          <t>SOURCE-246; SOURCE-086</t>
        </is>
      </c>
      <c r="U177" s="5" t="inlineStr">
        <is>
          <t>Medium</t>
        </is>
      </c>
    </row>
    <row r="178" ht="64" customHeight="1">
      <c r="A178" s="15" t="inlineStr">
        <is>
          <t>PERSON-177</t>
        </is>
      </c>
      <c r="B178" s="5" t="inlineStr">
        <is>
          <t>Harit Mehta</t>
        </is>
      </c>
      <c r="C178" s="5" t="inlineStr">
        <is>
          <t>Writer</t>
        </is>
      </c>
      <c r="D178" s="20" t="n"/>
      <c r="E178" s="20" t="n"/>
      <c r="F178" s="5" t="n"/>
      <c r="G178" s="5" t="inlineStr">
        <is>
          <t>Hindi cinema</t>
        </is>
      </c>
      <c r="H178" s="5" t="inlineStr">
        <is>
          <t>A writer credited on one film in this filmography, with no Wikipedia article of their own.</t>
        </is>
      </c>
      <c r="I178" s="5" t="n"/>
      <c r="J178" s="5" t="inlineStr">
        <is>
          <t>With Khan: Raees (2017).</t>
        </is>
      </c>
      <c r="K178" s="19" t="n"/>
      <c r="L178" s="19" t="n"/>
      <c r="M178" s="5" t="n"/>
      <c r="N178" s="19" t="n"/>
      <c r="O178" s="19" t="inlineStr">
        <is>
          <t>One film with Khan, credited as writer: Raees (2017), directed by Rahul Dholakia, with Khan in the lead as Raees Alam; verdict: Moderate success.</t>
        </is>
      </c>
      <c r="P178" s="17" t="n">
        <v>1</v>
      </c>
      <c r="Q178" s="5" t="inlineStr">
        <is>
          <t>FILM-086</t>
        </is>
      </c>
      <c r="R178" s="5" t="inlineStr">
        <is>
          <t>Raees (2017)</t>
        </is>
      </c>
      <c r="S178" s="5" t="inlineStr">
        <is>
          <t>Harit Mehta is credited as writer on Raees (2017). No Wikipedia article or other independent biography was located; this row is built from the film credit alone.</t>
        </is>
      </c>
      <c r="T178" s="5" t="inlineStr">
        <is>
          <t>SOURCE-089</t>
        </is>
      </c>
      <c r="U178" s="5" t="inlineStr">
        <is>
          <t>Low</t>
        </is>
      </c>
    </row>
    <row r="179" ht="79" customHeight="1">
      <c r="A179" s="15" t="inlineStr">
        <is>
          <t>PERSON-178</t>
        </is>
      </c>
      <c r="B179" s="5" t="inlineStr">
        <is>
          <t>Hema Malini</t>
        </is>
      </c>
      <c r="C179" s="5" t="inlineStr">
        <is>
          <t>Director; Producer; Writer; actress</t>
        </is>
      </c>
      <c r="D179" s="17" t="n">
        <v>1948</v>
      </c>
      <c r="E179" s="20" t="n"/>
      <c r="F179" s="5" t="inlineStr">
        <is>
          <t>1963–present</t>
        </is>
      </c>
      <c r="G179" s="5" t="inlineStr">
        <is>
          <t>Hindi cinema</t>
        </is>
      </c>
      <c r="H179" s="5" t="inlineStr">
        <is>
          <t>One of the most popular and successful actresses of mainstream Hindi cinema, promoted as the 'Dream Girl', and a BJP member of the Lok Sabha for Mathura since 2014.</t>
        </is>
      </c>
      <c r="I179" s="5" t="inlineStr">
        <is>
          <t>As actress, the Tamil film Idhu Sathiyam (1963); first Hindi lead in Sapno Ka Saudagar (1968). As director, Dil Aashna Hai (1992).</t>
        </is>
      </c>
      <c r="J179" s="5" t="inlineStr">
        <is>
          <t>With Khan: Dil Aashna Hai (1992). As actress: Seeta Aur Geeta, Sholay, Dream Girl, Satte Pe Satta, Baghban.</t>
        </is>
      </c>
      <c r="K179" s="19" t="n"/>
      <c r="L179" s="19" t="n"/>
      <c r="M179" s="5" t="inlineStr">
        <is>
          <t>Filmfare Award for Best Actress for Seeta Aur Geeta, with ten further nominations.</t>
        </is>
      </c>
      <c r="N179" s="19" t="inlineStr">
        <is>
          <t>A leading Hindi-film heroine of the 1970s.</t>
        </is>
      </c>
      <c r="O179" s="19" t="inlineStr">
        <is>
          <t>Directed, produced and co-wrote Dil Aashna Hai, one of Khan's first films, with Khan in a co-lead role opposite Divya Bharti.</t>
        </is>
      </c>
      <c r="P179" s="17" t="n">
        <v>1</v>
      </c>
      <c r="Q179" s="5" t="inlineStr">
        <is>
          <t>FILM-004</t>
        </is>
      </c>
      <c r="R179" s="5" t="inlineStr">
        <is>
          <t>Dil Aashna Hai (1992)</t>
        </is>
      </c>
      <c r="S179" s="5" t="inlineStr">
        <is>
          <t>Hema Malini was one of the biggest female stars of 1970s Hindi cinema, winning the Filmfare Award for Best Actress for her double role in Seeta Aur Geeta (1972) and starring in Sholay and Dream Girl, often opposite Dharmendra, whom she married in 1980. She made her directing debut with Dil Aashna Hai (1992), which she also produced and co-wrote; Shah Rukh Khan, then at the start of his film career, plays Karan opposite Divya Bharti as a dancer searching for her birth mother. She has represented Mathura in the Lok Sabha since 2014.</t>
        </is>
      </c>
      <c r="T179" s="5" t="inlineStr">
        <is>
          <t>SOURCE-247; SOURCE-007</t>
        </is>
      </c>
      <c r="U179" s="5" t="inlineStr">
        <is>
          <t>Medium</t>
        </is>
      </c>
    </row>
    <row r="180" ht="79" customHeight="1">
      <c r="A180" s="15" t="inlineStr">
        <is>
          <t>PERSON-179</t>
        </is>
      </c>
      <c r="B180" s="5" t="inlineStr">
        <is>
          <t>Himanshu Sharma</t>
        </is>
      </c>
      <c r="C180" s="5" t="inlineStr">
        <is>
          <t>Writer</t>
        </is>
      </c>
      <c r="D180" s="17" t="n">
        <v>1981</v>
      </c>
      <c r="E180" s="20" t="n"/>
      <c r="F180" s="5" t="inlineStr">
        <is>
          <t>2007–present</t>
        </is>
      </c>
      <c r="G180" s="5" t="inlineStr">
        <is>
          <t>Hindi cinema</t>
        </is>
      </c>
      <c r="H180" s="5" t="inlineStr">
        <is>
          <t>A Lucknow-born Hindi-film writer and producer who did theatre at Kirori Mal College, wrote for NDTV and television serials such as Kkusum and Bhootwala, and is married to the writer Kanika Dhillon.</t>
        </is>
      </c>
      <c r="I180" s="5" t="inlineStr">
        <is>
          <t>Strangers (2007).</t>
        </is>
      </c>
      <c r="J180" s="5" t="inlineStr">
        <is>
          <t>With Khan: Zero (2018). Wider work: Tanu Weds Manu and Tanu Weds Manu Returns, Raanjhanaa, Atrangi Re.</t>
        </is>
      </c>
      <c r="K180" s="19" t="inlineStr">
        <is>
          <t>Small-town romance, mostly for Aanand L. Rai.</t>
        </is>
      </c>
      <c r="L180" s="19" t="n"/>
      <c r="M180" s="5" t="inlineStr">
        <is>
          <t>Two National Film Awards for the Tanu Weds Manu films.</t>
        </is>
      </c>
      <c r="N180" s="19" t="n"/>
      <c r="O180" s="19" t="inlineStr">
        <is>
          <t>One film: Zero, which he wrote for Rai; Khan plays Bauua Singh, a man of short stature. It was highly unsuccessful.</t>
        </is>
      </c>
      <c r="P180" s="17" t="n">
        <v>1</v>
      </c>
      <c r="Q180" s="5" t="inlineStr">
        <is>
          <t>FILM-089</t>
        </is>
      </c>
      <c r="R180" s="5" t="inlineStr">
        <is>
          <t>Zero (2018)</t>
        </is>
      </c>
      <c r="S180" s="5" t="inlineStr">
        <is>
          <t>Himanshu Sharma moved from television writing in Delhi and Mumbai into film with Strangers (2007) and became Aanand L. Rai's regular writer, scripting Tanu Weds Manu (2011), Raanjhanaa (2013) and Tanu Weds Manu Returns (2015), the last of which won him National Awards. He wrote Zero (2018), Rai's big-budget romance with Shah Rukh Khan as a short, brash man from Meerut who falls for a scientist with cerebral palsy (Anushka Sharma) and an alcoholic film star (Katrina Kaif). It was one of the most notable failures of Khan's career.</t>
        </is>
      </c>
      <c r="T180" s="5" t="inlineStr">
        <is>
          <t>SOURCE-248; SOURCE-092</t>
        </is>
      </c>
      <c r="U180" s="5" t="inlineStr">
        <is>
          <t>Medium</t>
        </is>
      </c>
    </row>
    <row r="181" ht="79" customHeight="1">
      <c r="A181" s="15" t="inlineStr">
        <is>
          <t>PERSON-180</t>
        </is>
      </c>
      <c r="B181" s="5" t="inlineStr">
        <is>
          <t>Hitesh Sonik</t>
        </is>
      </c>
      <c r="C181" s="5" t="inlineStr">
        <is>
          <t>Background-score composer</t>
        </is>
      </c>
      <c r="D181" s="20" t="n"/>
      <c r="E181" s="20" t="n"/>
      <c r="F181" s="5" t="n"/>
      <c r="G181" s="5" t="inlineStr">
        <is>
          <t>Hindi cinema</t>
        </is>
      </c>
      <c r="H181" s="5" t="inlineStr">
        <is>
          <t>A background-score composer credited on one film in this filmography, with no Wikipedia article of their own.</t>
        </is>
      </c>
      <c r="I181" s="5" t="n"/>
      <c r="J181" s="5" t="inlineStr">
        <is>
          <t>With Khan: Jab Harry Met Sejal (2017).</t>
        </is>
      </c>
      <c r="K181" s="19" t="n"/>
      <c r="L181" s="19" t="n"/>
      <c r="M181" s="5" t="n"/>
      <c r="N181" s="19" t="n"/>
      <c r="O181" s="19" t="inlineStr">
        <is>
          <t>One film with Khan, credited as background-score composer: Jab Harry Met Sejal (2017), directed by Imtiaz Ali, with Khan in the lead as Harinder "Harry" Singh Nehra; verdict: Success overseas; weak in India.</t>
        </is>
      </c>
      <c r="P181" s="17" t="n">
        <v>1</v>
      </c>
      <c r="Q181" s="5" t="inlineStr">
        <is>
          <t>FILM-088</t>
        </is>
      </c>
      <c r="R181" s="5" t="inlineStr">
        <is>
          <t>Jab Harry Met Sejal (2017)</t>
        </is>
      </c>
      <c r="S181" s="5" t="inlineStr">
        <is>
          <t>Hitesh Sonik is credited as background-score composer on Jab Harry Met Sejal (2017). No Wikipedia article or other independent biography was located; this row is built from the film credit alone.</t>
        </is>
      </c>
      <c r="T181" s="5" t="inlineStr">
        <is>
          <t>SOURCE-091</t>
        </is>
      </c>
      <c r="U181" s="5" t="inlineStr">
        <is>
          <t>Low</t>
        </is>
      </c>
    </row>
    <row r="182" ht="94" customHeight="1">
      <c r="A182" s="15" t="inlineStr">
        <is>
          <t>PERSON-181</t>
        </is>
      </c>
      <c r="B182" s="5" t="inlineStr">
        <is>
          <t>Honey Irani</t>
        </is>
      </c>
      <c r="C182" s="5" t="inlineStr">
        <is>
          <t>Writer</t>
        </is>
      </c>
      <c r="D182" s="20" t="n"/>
      <c r="E182" s="20" t="n"/>
      <c r="F182" s="5" t="n"/>
      <c r="G182" s="5" t="inlineStr">
        <is>
          <t>Hindi cinema</t>
        </is>
      </c>
      <c r="H182" s="5" t="inlineStr">
        <is>
          <t>A child actress turned screenwriter, sister of Daisy Irani and former wife of Javed Akhtar, and mother of the filmmakers Farhan and Zoya Akhtar.</t>
        </is>
      </c>
      <c r="I182" s="5" t="inlineStr">
        <is>
          <t>Child roles in films such as Chirag Kahan Roshni Kahan and Bombay Ka Chor; screenwriting from Lamhe (1991).</t>
        </is>
      </c>
      <c r="J182" s="5" t="inlineStr">
        <is>
          <t>With Khan: Darr (1993). Screenwriting: Lamhe, Darr, Kaho Naa... Pyaar Hai, Koi... Mil Gaya, Krrish; directed Armaan (2003).</t>
        </is>
      </c>
      <c r="K182" s="19" t="inlineStr">
        <is>
          <t>Romantic melodrama for Yash Chopra and Rakesh Roshan.</t>
        </is>
      </c>
      <c r="L182" s="19" t="n"/>
      <c r="M182" s="5" t="n"/>
      <c r="N182" s="19" t="n"/>
      <c r="O182" s="19" t="inlineStr">
        <is>
          <t>One film: Yash Chopra's Darr, which she co-wrote, with Khan in the antagonist role as an obsessive stalker. It was a blockbuster and turned Khan's villainy into stardom.</t>
        </is>
      </c>
      <c r="P182" s="17" t="n">
        <v>1</v>
      </c>
      <c r="Q182" s="5" t="inlineStr">
        <is>
          <t>FILM-009</t>
        </is>
      </c>
      <c r="R182" s="5" t="inlineStr">
        <is>
          <t>Darr (1993)</t>
        </is>
      </c>
      <c r="S182" s="5" t="inlineStr">
        <is>
          <t>Honey Irani acted as a child in the 1950s and 1960s and met Javed Akhtar on the set of Seeta Aur Geeta; they married in 1972 and their children are Zoya and Farhan Akhtar. After the marriage ended she turned to writing and co-wrote Yash Chopra's Lamhe and Darr (1993). In Darr, Shah Rukh Khan plays Rahul, a student whose obsession with Kiran (Juhi Chawla) drives him to stalk and threaten her and her fiancé; the role, with Chawla's name stammered as 'K-k-k-Kiran', became one of his most famous. She later wrote Kaho Naa... Pyaar Hai and the Krrish films for Rakesh Roshan.</t>
        </is>
      </c>
      <c r="T182" s="5" t="inlineStr">
        <is>
          <t>SOURCE-249; SOURCE-012</t>
        </is>
      </c>
      <c r="U182" s="5" t="inlineStr">
        <is>
          <t>Medium</t>
        </is>
      </c>
    </row>
    <row r="183" ht="79" customHeight="1">
      <c r="A183" s="15" t="inlineStr">
        <is>
          <t>PERSON-182</t>
        </is>
      </c>
      <c r="B183" s="5" t="inlineStr">
        <is>
          <t>Hope Productions</t>
        </is>
      </c>
      <c r="C183" s="5" t="inlineStr">
        <is>
          <t>Production banner</t>
        </is>
      </c>
      <c r="D183" s="20" t="n"/>
      <c r="E183" s="20" t="n"/>
      <c r="F183" s="5" t="n"/>
      <c r="G183" s="5" t="inlineStr">
        <is>
          <t>Hindi cinema</t>
        </is>
      </c>
      <c r="H183" s="5" t="inlineStr">
        <is>
          <t>A production banner credited on one film in this filmography, with no Wikipedia article of its own.</t>
        </is>
      </c>
      <c r="I183" s="5" t="n"/>
      <c r="J183" s="5" t="inlineStr">
        <is>
          <t>With Khan: Dear Zindagi (2016).</t>
        </is>
      </c>
      <c r="K183" s="19" t="n"/>
      <c r="L183" s="19" t="n"/>
      <c r="M183" s="5" t="n"/>
      <c r="N183" s="19" t="n"/>
      <c r="O183" s="19" t="inlineStr">
        <is>
          <t>One film with Khan, credited as production banner: Dear Zindagi (2016), directed by Gauri Shinde, with Khan in a co-lead as Dr. Jehangir "Jug" Khan; verdict: Commercial success.</t>
        </is>
      </c>
      <c r="P183" s="17" t="n">
        <v>1</v>
      </c>
      <c r="Q183" s="5" t="inlineStr">
        <is>
          <t>FILM-085</t>
        </is>
      </c>
      <c r="R183" s="5" t="inlineStr">
        <is>
          <t>Dear Zindagi (2016)</t>
        </is>
      </c>
      <c r="S183" s="5" t="inlineStr">
        <is>
          <t>Hope Productions is credited as production banner on Dear Zindagi (2016). No Wikipedia article or other independent biography was located for the company; this row is built from the film credit alone.</t>
        </is>
      </c>
      <c r="T183" s="5" t="inlineStr">
        <is>
          <t>SOURCE-088</t>
        </is>
      </c>
      <c r="U183" s="5" t="inlineStr">
        <is>
          <t>Low</t>
        </is>
      </c>
    </row>
    <row r="184" ht="79" customHeight="1">
      <c r="A184" s="15" t="inlineStr">
        <is>
          <t>PERSON-183</t>
        </is>
      </c>
      <c r="B184" s="5" t="inlineStr">
        <is>
          <t>Hriday Lani</t>
        </is>
      </c>
      <c r="C184" s="5" t="inlineStr">
        <is>
          <t>Writer</t>
        </is>
      </c>
      <c r="D184" s="20" t="n"/>
      <c r="E184" s="20" t="n"/>
      <c r="F184" s="5" t="n"/>
      <c r="G184" s="5" t="inlineStr">
        <is>
          <t>Hindi cinema</t>
        </is>
      </c>
      <c r="H184" s="5" t="inlineStr">
        <is>
          <t>An Indian script and dialogue writer who worked in both commercial and parallel cinema and taught at the Institute of Moving Images, Pune.</t>
        </is>
      </c>
      <c r="I184" s="5" t="n"/>
      <c r="J184" s="5" t="inlineStr">
        <is>
          <t>With Khan: Maya Memsaab (1993). Wider work: Gaman, Shalimar, Mirch Masala, Salaam Bombay!, Salim Langde Pe Mat Ro, Agni Sakshi, Yeshwant, Sarfarosh.</t>
        </is>
      </c>
      <c r="K184" s="19" t="inlineStr">
        <is>
          <t>Dialogue for socially engaged and mainstream films.</t>
        </is>
      </c>
      <c r="L184" s="19" t="n"/>
      <c r="M184" s="5" t="inlineStr">
        <is>
          <t>Filmfare Award for Best Dialogue for Sarfarosh, shared with Pathik Vats.</t>
        </is>
      </c>
      <c r="N184" s="19" t="n"/>
      <c r="O184" s="19" t="inlineStr">
        <is>
          <t>One film: Ketan Mehta's Maya Memsaab, which he co-wrote; Khan has a supporting role as a young lover of the protagonist.</t>
        </is>
      </c>
      <c r="P184" s="17" t="n">
        <v>1</v>
      </c>
      <c r="Q184" s="5" t="inlineStr">
        <is>
          <t>FILM-006</t>
        </is>
      </c>
      <c r="R184" s="5" t="inlineStr">
        <is>
          <t>Maya Memsaab (1993)</t>
        </is>
      </c>
      <c r="S184" s="5" t="inlineStr">
        <is>
          <t>Hriday Lani worked across the parallel and commercial cinema of the 1970s to 1990s, writing for Gaman, Mirch Masala and Salaam Bombay! as well as for Shalimar, Agni Sakshi and Yeshwant, and shared the Filmfare Award for Best Dialogue for Sarfarosh (1999). He co-wrote Maya Memsaab (1993), Ketan Mehta's Hindi reworking of Madame Bovary with Deepa Sahi as a restless doctor's wife, in which Shah Rukh Khan plays Lalit, one of her lovers.</t>
        </is>
      </c>
      <c r="T184" s="5" t="inlineStr">
        <is>
          <t>SOURCE-250; SOURCE-009</t>
        </is>
      </c>
      <c r="U184" s="5" t="inlineStr">
        <is>
          <t>Medium</t>
        </is>
      </c>
    </row>
    <row r="185" ht="79" customHeight="1">
      <c r="A185" s="15" t="inlineStr">
        <is>
          <t>PERSON-184</t>
        </is>
      </c>
      <c r="B185" s="5" t="inlineStr">
        <is>
          <t>Hridaynath Mangeshkar</t>
        </is>
      </c>
      <c r="C185" s="5" t="inlineStr">
        <is>
          <t>Song composer</t>
        </is>
      </c>
      <c r="D185" s="17" t="n">
        <v>1937</v>
      </c>
      <c r="E185" s="20" t="n"/>
      <c r="F185" s="5" t="inlineStr">
        <is>
          <t>1952–present</t>
        </is>
      </c>
      <c r="G185" s="5" t="inlineStr">
        <is>
          <t>Marathi cinema; Hindi cinema</t>
        </is>
      </c>
      <c r="H185" s="5" t="inlineStr">
        <is>
          <t>A composer and occasional singer, the only son of Deenanath Mangeshkar and the younger brother of Lata Mangeshkar and Asha Bhosle, known in the industry as Balasaheb.</t>
        </is>
      </c>
      <c r="I185" s="5" t="inlineStr">
        <is>
          <t>The Marathi film Akash Ganga (1955).</t>
        </is>
      </c>
      <c r="J185" s="5" t="inlineStr">
        <is>
          <t>With Khan: Maya Memsaab (1993). Wider work: Jait Re Jait, Umbartha, Nivdung (Marathi); Subah, Lekin..., Maya Memsaab (Hindi).</t>
        </is>
      </c>
      <c r="K185" s="19" t="inlineStr">
        <is>
          <t>Complex, poetry-based compositions that demand singers of great range.</t>
        </is>
      </c>
      <c r="L185" s="19" t="n"/>
      <c r="M185" s="5" t="inlineStr">
        <is>
          <t>Filmfare Marathi Lifetime Achievement Award; V. Shantaram Lifetime Achievement Award.</t>
        </is>
      </c>
      <c r="N185" s="19" t="n"/>
      <c r="O185" s="19" t="inlineStr">
        <is>
          <t>One film: Ketan Mehta's Maya Memsaab, for which he composed the songs; Khan has a supporting role.</t>
        </is>
      </c>
      <c r="P185" s="17" t="n">
        <v>1</v>
      </c>
      <c r="Q185" s="5" t="inlineStr">
        <is>
          <t>FILM-006</t>
        </is>
      </c>
      <c r="R185" s="5" t="inlineStr">
        <is>
          <t>Maya Memsaab (1993)</t>
        </is>
      </c>
      <c r="S185" s="5" t="inlineStr">
        <is>
          <t>Hridaynath Mangeshkar began composing with the Marathi film Akash Ganga in 1955 and has worked selectively since, mainly in Marathi cinema, with a small number of Hindi scores, of which Lekin... and Maya Memsaab are the best known. His songs, often settings of poetry, are known for difficult metres written for singers such as his sisters Lata and Asha. Maya Memsaab (1993), Ketan Mehta's adaptation of Madame Bovary, was one of Shah Rukh Khan's earliest films; Khan plays a young man who becomes involved with the heroine.</t>
        </is>
      </c>
      <c r="T185" s="5" t="inlineStr">
        <is>
          <t>SOURCE-251; SOURCE-009</t>
        </is>
      </c>
      <c r="U185" s="5" t="inlineStr">
        <is>
          <t>Medium</t>
        </is>
      </c>
    </row>
    <row r="186" ht="64" customHeight="1">
      <c r="A186" s="15" t="inlineStr">
        <is>
          <t>PERSON-185</t>
        </is>
      </c>
      <c r="B186" s="5" t="inlineStr">
        <is>
          <t>Hussain Dalal</t>
        </is>
      </c>
      <c r="C186" s="5" t="inlineStr">
        <is>
          <t>Writer (dialogue); actor</t>
        </is>
      </c>
      <c r="D186" s="20" t="n"/>
      <c r="E186" s="20" t="n"/>
      <c r="F186" s="5" t="inlineStr">
        <is>
          <t>2012–present</t>
        </is>
      </c>
      <c r="G186" s="5" t="inlineStr">
        <is>
          <t>Hindi cinema</t>
        </is>
      </c>
      <c r="H186" s="5" t="inlineStr">
        <is>
          <t>An Indian actor and dialogue writer, and a mentor on the fifth season of The Great Indian Laughter Challenge (2017).</t>
        </is>
      </c>
      <c r="I186" s="5" t="n"/>
      <c r="J186" s="5" t="inlineStr">
        <is>
          <t>With Khan: Brahmāstra: Part One – Shiva (2022). Dialogue: Yeh Jawaani Hai Deewani, Margarita with a Straw, 2 States, Karwaan, Brahmāstra.</t>
        </is>
      </c>
      <c r="K186" s="19" t="inlineStr">
        <is>
          <t>Contemporary youth dialogue.</t>
        </is>
      </c>
      <c r="L186" s="19" t="n"/>
      <c r="M186" s="5" t="n"/>
      <c r="N186" s="19" t="n"/>
      <c r="O186" s="19" t="inlineStr">
        <is>
          <t>One film: Brahmāstra, for which he wrote dialogue; Khan has an extended special appearance.</t>
        </is>
      </c>
      <c r="P186" s="17" t="n">
        <v>1</v>
      </c>
      <c r="Q186" s="5" t="inlineStr">
        <is>
          <t>FILM-093</t>
        </is>
      </c>
      <c r="R186" s="5" t="inlineStr">
        <is>
          <t>Brahmāstra: Part One – Shiva (2022)</t>
        </is>
      </c>
      <c r="S186" s="5" t="inlineStr">
        <is>
          <t>Hussain Dalal writes dialogue for Hindi films and also acts. His credits include Ayan Mukerji's Yeh Jawaani Hai Deewani (2013), 2 States (2014), Margarita with a Straw and Karwaan, and he returned to Mukerji for Brahmāstra: Part One – Shiva (2022), in which Shah Rukh Khan appears in the opening section as the scientist Mohan Bhargav. In 2017 he was one of the mentors on The Great Indian Laughter Challenge.</t>
        </is>
      </c>
      <c r="T186" s="5" t="inlineStr">
        <is>
          <t>SOURCE-252; SOURCE-096</t>
        </is>
      </c>
      <c r="U186" s="5" t="inlineStr">
        <is>
          <t>Medium</t>
        </is>
      </c>
    </row>
    <row r="187" ht="94" customHeight="1">
      <c r="A187" s="15" t="inlineStr">
        <is>
          <t>PERSON-186</t>
        </is>
      </c>
      <c r="B187" s="5" t="inlineStr">
        <is>
          <t>Ilaiyaraaja</t>
        </is>
      </c>
      <c r="C187" s="5" t="inlineStr">
        <is>
          <t>Song composer; Background-score composer</t>
        </is>
      </c>
      <c r="D187" s="17" t="n">
        <v>1943</v>
      </c>
      <c r="E187" s="20" t="n"/>
      <c r="F187" s="5" t="inlineStr">
        <is>
          <t>1976–present</t>
        </is>
      </c>
      <c r="G187" s="5" t="inlineStr">
        <is>
          <t>Tamil cinema; multilingual</t>
        </is>
      </c>
      <c r="H187" s="5" t="inlineStr">
        <is>
          <t>A composer, arranger, conductor, multi-instrumentalist and singer, known as 'Isaignani' and 'Maestro', who has composed over 6,500 songs and scored nearly 1,500 films in nine languages, mainly Tamil.</t>
        </is>
      </c>
      <c r="I187" s="5" t="inlineStr">
        <is>
          <t>Annakili (1976).</t>
        </is>
      </c>
      <c r="J187" s="5" t="inlineStr">
        <is>
          <t>With Khan: Hey Ram (2000). Wider work: Mouna Ragam, Nayakan, Thalapathi; in Hindi, Sadma, Cheeni Kum, Paa.</t>
        </is>
      </c>
      <c r="K187" s="19" t="inlineStr">
        <is>
          <t>Fusion of Indian folk and classical music with Western classical harmony and string writing.</t>
        </is>
      </c>
      <c r="L187" s="19" t="n"/>
      <c r="M187" s="5" t="n"/>
      <c r="N187" s="19" t="inlineStr">
        <is>
          <t>Voted the country's greatest film composer in a 2013 CNN-IBN poll; one of the first Indian film composers to use Western classical harmony.</t>
        </is>
      </c>
      <c r="O187" s="19" t="inlineStr">
        <is>
          <t>One film: Kamal Haasan's Hey Ram, for which he wrote songs and score; Khan has a supporting role.</t>
        </is>
      </c>
      <c r="P187" s="17" t="n">
        <v>1</v>
      </c>
      <c r="Q187" s="5" t="inlineStr">
        <is>
          <t>FILM-034</t>
        </is>
      </c>
      <c r="R187" s="5" t="inlineStr">
        <is>
          <t>Hey Ram (2000)</t>
        </is>
      </c>
      <c r="S187" s="5" t="inlineStr">
        <is>
          <t>Ilaiyaraaja, born Gnanathesigan, transformed Tamil film music from the late 1970s by fusing folk and Carnatic idioms with Western classical harmony and orchestration, and by 2025 had composed for nearly 1,500 films. He was given the title 'Maestro' by the Royal Philharmonic Orchestra in London and in 1986 recorded the first computer-assisted Indian film soundtrack, for Vikram. He composed the songs and score of Hey Ram (2000), Kamal Haasan's bilingual drama about Partition and the assassination of Gandhi, in which Shah Rukh Khan plays the archaeologist Amjad Khan, the hero's friend.</t>
        </is>
      </c>
      <c r="T187" s="5" t="inlineStr">
        <is>
          <t>SOURCE-253; SOURCE-037</t>
        </is>
      </c>
      <c r="U187" s="5" t="inlineStr">
        <is>
          <t>Medium</t>
        </is>
      </c>
    </row>
    <row r="188" ht="154" customHeight="1">
      <c r="A188" s="15" t="inlineStr">
        <is>
          <t>PERSON-187</t>
        </is>
      </c>
      <c r="B188" s="5" t="inlineStr">
        <is>
          <t>Imtiaz Ali</t>
        </is>
      </c>
      <c r="C188" s="5" t="inlineStr">
        <is>
          <t>Director; screenwriter; producer</t>
        </is>
      </c>
      <c r="D188" s="17" t="n">
        <v>1971</v>
      </c>
      <c r="E188" s="20" t="n"/>
      <c r="F188" s="5" t="inlineStr">
        <is>
          <t>1994–present</t>
        </is>
      </c>
      <c r="G188" s="5" t="inlineStr">
        <is>
          <t>Hindi</t>
        </is>
      </c>
      <c r="H188" s="5" t="n"/>
      <c r="I188" s="5" t="inlineStr">
        <is>
          <t>Socha Na Tha (2005).</t>
        </is>
      </c>
      <c r="J188" s="5" t="inlineStr">
        <is>
          <t>Socha Na Tha (2005); Jab We Met (2007); Love Aaj Kal (2009); Rockstar (2011); Highway (2014); Tamasha (2015); Jab Harry Met Sejal (2017); Amar Singh Chamkila (2024); Main Vaapas Aaunga (2026)</t>
        </is>
      </c>
      <c r="K188" s="19" t="inlineStr">
        <is>
          <t>Romance, restlessness, travel and self-discovery.</t>
        </is>
      </c>
      <c r="L188" s="19" t="inlineStr">
        <is>
          <t>Road-movie romances centred on characters seeking themselves.</t>
        </is>
      </c>
      <c r="M188" s="5" t="inlineStr">
        <is>
          <t>Filmfare Award for Best Dialogue; several Filmfare Best Director nominations</t>
        </is>
      </c>
      <c r="N188" s="19" t="inlineStr">
        <is>
          <t>One of the defining romance filmmakers of 2000s–2010s Hindi cinema.</t>
        </is>
      </c>
      <c r="O188" s="19" t="inlineStr">
        <is>
          <t>Wrote and directed Jab Harry Met Sejal, casting Khan as a lonely Punjabi tour guide in Europe opposite Anushka Sharma; Ali later called it a missed opportunity.</t>
        </is>
      </c>
      <c r="P188" s="17" t="n">
        <v>1</v>
      </c>
      <c r="Q188" s="5" t="inlineStr">
        <is>
          <t>FILM-088</t>
        </is>
      </c>
      <c r="R188" s="5" t="inlineStr">
        <is>
          <t>Jab Harry Met Sejal (2017)</t>
        </is>
      </c>
      <c r="S188" s="5" t="inlineStr">
        <is>
          <t>Imtiaz Ali, born on 16 June 1971, is a filmmaker best known for writing and directing the romantic comedies Socha Na Tha (2005), Jab We Met (2007) and Love Aaj Kal (2009), and the dramas Rockstar (2011), Highway (2014) and Tamasha (2015); his later work includes Amar Singh Chamkila (2024) and Main Vaapas Aaunga (2026). His films have earned him the Filmfare Award for Best Dialogue and several Best Director nominations. His article marks Jab Harry Met Sejal (2017) as the start of a commercial decline. In that film Shah Rukh Khan plays Harry, a womanising, homesick tour guide in Europe who reluctantly helps a Gujarati tourist (Anushka Sharma) search for her lost engagement ring and falls in love with her. The film was shot across Prague, Amsterdam, Vienna, Lisbon and Budapest and did well overseas, but received mixed-to-negative reviews. Anupama Chopra argued that Ali could not fit Khan's chaste romantic persona to his own 'more bruised brand of romance'. Ali later rated the film 3 out of 10 and called it a missed opportunity.</t>
        </is>
      </c>
      <c r="T188" s="5" t="inlineStr">
        <is>
          <t>SOURCE-182; SOURCE-091</t>
        </is>
      </c>
      <c r="U188" s="5" t="inlineStr">
        <is>
          <t>Medium</t>
        </is>
      </c>
    </row>
    <row r="189" ht="49" customHeight="1">
      <c r="A189" s="15" t="inlineStr">
        <is>
          <t>PERSON-188</t>
        </is>
      </c>
      <c r="B189" s="5" t="inlineStr">
        <is>
          <t>Imtiaz Hussain</t>
        </is>
      </c>
      <c r="C189" s="5" t="inlineStr">
        <is>
          <t>Writer</t>
        </is>
      </c>
      <c r="D189" s="20" t="n"/>
      <c r="E189" s="20" t="n"/>
      <c r="F189" s="5" t="n"/>
      <c r="G189" s="5" t="inlineStr">
        <is>
          <t>Hindi cinema</t>
        </is>
      </c>
      <c r="H189" s="5" t="inlineStr">
        <is>
          <t>A writer credited on one film in this filmography, with no Wikipedia article of their own.</t>
        </is>
      </c>
      <c r="I189" s="5" t="n"/>
      <c r="J189" s="5" t="inlineStr">
        <is>
          <t>With Khan: Dil Aashna Hai (1992).</t>
        </is>
      </c>
      <c r="K189" s="19" t="n"/>
      <c r="L189" s="19" t="n"/>
      <c r="M189" s="5" t="n"/>
      <c r="N189" s="19" t="n"/>
      <c r="O189" s="19" t="inlineStr">
        <is>
          <t>One film with Khan, credited as writer: Dil Aashna Hai (1992), directed by Hema Malini, with Khan in a co-lead as Karan Singh.</t>
        </is>
      </c>
      <c r="P189" s="17" t="n">
        <v>1</v>
      </c>
      <c r="Q189" s="5" t="inlineStr">
        <is>
          <t>FILM-004</t>
        </is>
      </c>
      <c r="R189" s="5" t="inlineStr">
        <is>
          <t>Dil Aashna Hai (1992)</t>
        </is>
      </c>
      <c r="S189" s="5" t="inlineStr">
        <is>
          <t>Imtiaz Hussain is credited as writer on Dil Aashna Hai (1992). No Wikipedia article or other independent biography was located; this row is built from the film credit alone.</t>
        </is>
      </c>
      <c r="T189" s="5" t="inlineStr">
        <is>
          <t>SOURCE-007</t>
        </is>
      </c>
      <c r="U189" s="5" t="inlineStr">
        <is>
          <t>Low</t>
        </is>
      </c>
    </row>
    <row r="190" ht="64" customHeight="1">
      <c r="A190" s="15" t="inlineStr">
        <is>
          <t>PERSON-189</t>
        </is>
      </c>
      <c r="B190" s="5" t="inlineStr">
        <is>
          <t>Indrajit Sharma</t>
        </is>
      </c>
      <c r="C190" s="5" t="inlineStr">
        <is>
          <t>Background-score composer</t>
        </is>
      </c>
      <c r="D190" s="20" t="n"/>
      <c r="E190" s="20" t="n"/>
      <c r="F190" s="5" t="n"/>
      <c r="G190" s="5" t="inlineStr">
        <is>
          <t>Hindi cinema</t>
        </is>
      </c>
      <c r="H190" s="5" t="inlineStr">
        <is>
          <t>A background-score composer credited on one film in this filmography, with no Wikipedia article of their own.</t>
        </is>
      </c>
      <c r="I190" s="5" t="n"/>
      <c r="J190" s="5" t="inlineStr">
        <is>
          <t>With Khan: The Zoya Factor (2019).</t>
        </is>
      </c>
      <c r="K190" s="19" t="n"/>
      <c r="L190" s="19" t="n"/>
      <c r="M190" s="5" t="n"/>
      <c r="N190" s="19" t="n"/>
      <c r="O190" s="19" t="inlineStr">
        <is>
          <t>One film with Khan, credited as background-score composer: The Zoya Factor (2019), directed by Abhishek Sharma, with Khan in the narration; verdict: Box-office disaster.</t>
        </is>
      </c>
      <c r="P190" s="17" t="n">
        <v>1</v>
      </c>
      <c r="Q190" s="5" t="inlineStr">
        <is>
          <t>FILM-090</t>
        </is>
      </c>
      <c r="R190" s="5" t="inlineStr">
        <is>
          <t>The Zoya Factor (2019)</t>
        </is>
      </c>
      <c r="S190" s="5" t="inlineStr">
        <is>
          <t>Indrajit Sharma is credited as background-score composer on The Zoya Factor (2019). No Wikipedia article or other independent biography was located; this row is built from the film credit alone.</t>
        </is>
      </c>
      <c r="T190" s="5" t="inlineStr">
        <is>
          <t>SOURCE-093</t>
        </is>
      </c>
      <c r="U190" s="5" t="inlineStr">
        <is>
          <t>Low</t>
        </is>
      </c>
    </row>
    <row r="191" ht="64" customHeight="1">
      <c r="A191" s="15" t="inlineStr">
        <is>
          <t>PERSON-190</t>
        </is>
      </c>
      <c r="B191" s="5" t="inlineStr">
        <is>
          <t>Iqbal Durrani</t>
        </is>
      </c>
      <c r="C191" s="5" t="inlineStr">
        <is>
          <t>Writer</t>
        </is>
      </c>
      <c r="D191" s="20" t="n"/>
      <c r="E191" s="20" t="n"/>
      <c r="F191" s="5" t="n"/>
      <c r="G191" s="5" t="inlineStr">
        <is>
          <t>Hindi cinema</t>
        </is>
      </c>
      <c r="H191" s="5" t="inlineStr">
        <is>
          <t>A Hindi-film writer, director, actor and producer who has also written spiritual books and was the first to translate the Samaveda into Hindi and Urdu.</t>
        </is>
      </c>
      <c r="I191" s="5" t="n"/>
      <c r="J191" s="5" t="inlineStr">
        <is>
          <t>With Khan: Dil Aashna Hai (1992). Book: Gandhi Se Pehle Gandhi (2008), on Birsa Munda.</t>
        </is>
      </c>
      <c r="K191" s="19" t="inlineStr">
        <is>
          <t>Mainstream screenplays; spiritual and historical writing.</t>
        </is>
      </c>
      <c r="L191" s="19" t="n"/>
      <c r="M191" s="5" t="n"/>
      <c r="N191" s="19" t="n"/>
      <c r="O191" s="19" t="inlineStr">
        <is>
          <t>One film: Hema Malini's Dil Aashna Hai, which he co-wrote, with Khan as a co-lead.</t>
        </is>
      </c>
      <c r="P191" s="17" t="n">
        <v>1</v>
      </c>
      <c r="Q191" s="5" t="inlineStr">
        <is>
          <t>FILM-004</t>
        </is>
      </c>
      <c r="R191" s="5" t="inlineStr">
        <is>
          <t>Dil Aashna Hai (1992)</t>
        </is>
      </c>
      <c r="S191" s="5" t="inlineStr">
        <is>
          <t>Iqbal Durrani wrote screenplays for mainstream Hindi films and, later, books on religious and historical subjects, including Gandhi Se Pehle Gandhi (2008), about the tribal leader Birsa Munda, and translations of the Samaveda into Hindi and Urdu. He co-wrote Dil Aashna Hai (1992), Hema Malini's first film as director, in which Shah Rukh Khan plays the hero opposite Divya Bharti.</t>
        </is>
      </c>
      <c r="T191" s="5" t="inlineStr">
        <is>
          <t>SOURCE-254; SOURCE-007</t>
        </is>
      </c>
      <c r="U191" s="5" t="inlineStr">
        <is>
          <t>Low</t>
        </is>
      </c>
    </row>
    <row r="192" ht="64" customHeight="1">
      <c r="A192" s="15" t="inlineStr">
        <is>
          <t>PERSON-191</t>
        </is>
      </c>
      <c r="B192" s="5" t="inlineStr">
        <is>
          <t>Ishita Moitra</t>
        </is>
      </c>
      <c r="C192" s="5" t="inlineStr">
        <is>
          <t>Writer</t>
        </is>
      </c>
      <c r="D192" s="20" t="n"/>
      <c r="E192" s="20" t="n"/>
      <c r="F192" s="5" t="n"/>
      <c r="G192" s="5" t="inlineStr">
        <is>
          <t>Hindi cinema</t>
        </is>
      </c>
      <c r="H192" s="5" t="inlineStr">
        <is>
          <t>An Indian screenwriter of Hindi films, named in the 2026 Forbes India W-Power list of self-made women.</t>
        </is>
      </c>
      <c r="I192" s="5" t="n"/>
      <c r="J192" s="5" t="inlineStr">
        <is>
          <t>With Khan: Always Kabhi Kabhi (2011). Wider work: Half Girlfriend, Rocky Aur Rani Kii Prem Kahaani, Bad Newz, Sunny Sanskari Ki Tulsi Kumari.</t>
        </is>
      </c>
      <c r="K192" s="19" t="inlineStr">
        <is>
          <t>Romantic comedy and family drama.</t>
        </is>
      </c>
      <c r="L192" s="19" t="n"/>
      <c r="M192" s="5" t="n"/>
      <c r="N192" s="19" t="n"/>
      <c r="O192" s="19" t="inlineStr">
        <is>
          <t>One film: Roshan Abbas's Always Kabhi Kabhi, a Red Chillies teen film in which Khan appears as himself in a song. It flopped.</t>
        </is>
      </c>
      <c r="P192" s="17" t="n">
        <v>1</v>
      </c>
      <c r="Q192" s="5" t="inlineStr">
        <is>
          <t>FILM-073</t>
        </is>
      </c>
      <c r="R192" s="5" t="inlineStr">
        <is>
          <t>Always Kabhi Kabhi (2011)</t>
        </is>
      </c>
      <c r="S192" s="5" t="inlineStr">
        <is>
          <t>Ishita Moitra co-wrote Always Kabhi Kabhi (2011), Roshan Abbas's high-school comedy produced by Red Chillies Entertainment, in which Shah Rukh Khan appears in a song as himself; the film was a flop. She went on to write Half Girlfriend (2017), Karan Johar's Rocky Aur Rani Kii Prem Kahaani (2023), Bad Newz (2024) and Sunny Sanskari Ki Tulsi Kumari (2025).</t>
        </is>
      </c>
      <c r="T192" s="5" t="inlineStr">
        <is>
          <t>SOURCE-255; SOURCE-076</t>
        </is>
      </c>
      <c r="U192" s="5" t="inlineStr">
        <is>
          <t>Medium</t>
        </is>
      </c>
    </row>
    <row r="193" ht="109" customHeight="1">
      <c r="A193" s="15" t="inlineStr">
        <is>
          <t>PERSON-192</t>
        </is>
      </c>
      <c r="B193" s="5" t="inlineStr">
        <is>
          <t>Jaideep Sahni</t>
        </is>
      </c>
      <c r="C193" s="5" t="inlineStr">
        <is>
          <t>Writer; lyricist</t>
        </is>
      </c>
      <c r="D193" s="20" t="n"/>
      <c r="E193" s="20" t="n"/>
      <c r="F193" s="5" t="inlineStr">
        <is>
          <t>2000–present</t>
        </is>
      </c>
      <c r="G193" s="5" t="inlineStr">
        <is>
          <t>Hindi cinema</t>
        </is>
      </c>
      <c r="H193" s="5" t="inlineStr">
        <is>
          <t>A Delhi-born screenwriter and lyricist trained as a computer engineer who worked at NIIT before turning to writing at 27.</t>
        </is>
      </c>
      <c r="I193" s="5" t="inlineStr">
        <is>
          <t>Jungle (2000), as screenwriter and lyricist, for Ram Gopal Varma.</t>
        </is>
      </c>
      <c r="J193" s="5" t="inlineStr">
        <is>
          <t>With Khan: Chak De! India (2007). Wider work: Company, Khosla Ka Ghosla, Bunty Aur Babli, Aaja Nachle, Rocket Singh: Salesman of the Year, Shuddh Desi Romance.</t>
        </is>
      </c>
      <c r="K193" s="19" t="inlineStr">
        <is>
          <t>Realist comedy and drama of Indian work and family life.</t>
        </is>
      </c>
      <c r="L193" s="19" t="n"/>
      <c r="M193" s="5" t="inlineStr">
        <is>
          <t>Filmfare Awards for Best Story and Best Dialogue (Company), Best Screenplay (Khosla Ka Ghosla); IIFA Award for Best Story (Chak De! India).</t>
        </is>
      </c>
      <c r="N193" s="19" t="n"/>
      <c r="O193" s="19" t="inlineStr">
        <is>
          <t>Wrote Chak De! India, the sports drama in which Khan plays Kabir Khan, disgraced former hockey captain turned coach of the women's national team, loosely based on Maharaj Krishan Kaushik. It was a blockbuster and a career landmark for Khan.</t>
        </is>
      </c>
      <c r="P193" s="17" t="n">
        <v>1</v>
      </c>
      <c r="Q193" s="5" t="inlineStr">
        <is>
          <t>FILM-060</t>
        </is>
      </c>
      <c r="R193" s="5" t="inlineStr">
        <is>
          <t>Chak De! India (2007)</t>
        </is>
      </c>
      <c r="S193" s="5" t="inlineStr">
        <is>
          <t>Jaideep Sahni began writing lyrics in jam sessions with Palash Sen and screenplays after reading the published script of Gandhi. Ram Gopal Varma produced his first two films, Jungle and Company; the latter won seven Filmfare Awards, including his Best Story and Best Dialogue. He then wrote Khosla Ka Ghosla and a string of Yash Raj films, including Bunty Aur Babli, Rocket Singh and Shuddh Desi Romance. His most important film is Chak De! India (2007), directed by Shimit Amin, in which Shah Rukh Khan plays a hockey player branded a traitor after a lost match against Pakistan who returns to coach the women's team to a world title. The film was a blockbuster and is one of Khan's most admired performances.</t>
        </is>
      </c>
      <c r="T193" s="5" t="inlineStr">
        <is>
          <t>SOURCE-256; SOURCE-063</t>
        </is>
      </c>
      <c r="U193" s="5" t="inlineStr">
        <is>
          <t>Medium</t>
        </is>
      </c>
    </row>
    <row r="194" ht="49" customHeight="1">
      <c r="A194" s="15" t="inlineStr">
        <is>
          <t>PERSON-193</t>
        </is>
      </c>
      <c r="B194" s="5" t="inlineStr">
        <is>
          <t>Jaideep Sen</t>
        </is>
      </c>
      <c r="C194" s="5" t="inlineStr">
        <is>
          <t>Director</t>
        </is>
      </c>
      <c r="D194" s="20" t="n"/>
      <c r="E194" s="20" t="n"/>
      <c r="F194" s="5" t="n"/>
      <c r="G194" s="5" t="inlineStr">
        <is>
          <t>Hindi cinema</t>
        </is>
      </c>
      <c r="H194" s="5" t="inlineStr">
        <is>
          <t>A director credited on one film in this filmography, with no Wikipedia article of their own.</t>
        </is>
      </c>
      <c r="I194" s="5" t="n"/>
      <c r="J194" s="5" t="inlineStr">
        <is>
          <t>With Khan: Krazzy 4 (2008).</t>
        </is>
      </c>
      <c r="K194" s="19" t="n"/>
      <c r="L194" s="19" t="n"/>
      <c r="M194" s="5" t="n"/>
      <c r="N194" s="19" t="n"/>
      <c r="O194" s="19" t="inlineStr">
        <is>
          <t>One film with Khan, credited as director: Krazzy 4 (2008), with Khan in a self appearance; verdict: Moderate success.</t>
        </is>
      </c>
      <c r="P194" s="17" t="n">
        <v>1</v>
      </c>
      <c r="Q194" s="5" t="inlineStr">
        <is>
          <t>FILM-064</t>
        </is>
      </c>
      <c r="R194" s="5" t="inlineStr">
        <is>
          <t>Krazzy 4 (2008)</t>
        </is>
      </c>
      <c r="S194" s="5" t="inlineStr">
        <is>
          <t>Jaideep Sen is credited as director on Krazzy 4 (2008). No Wikipedia article or other independent biography was located; this row is built from the film credit alone.</t>
        </is>
      </c>
      <c r="T194" s="5" t="inlineStr">
        <is>
          <t>SOURCE-067</t>
        </is>
      </c>
      <c r="U194" s="5" t="inlineStr">
        <is>
          <t>Low</t>
        </is>
      </c>
    </row>
    <row r="195" ht="79" customHeight="1">
      <c r="A195" s="15" t="inlineStr">
        <is>
          <t>PERSON-194</t>
        </is>
      </c>
      <c r="B195" s="5" t="inlineStr">
        <is>
          <t>JAM8</t>
        </is>
      </c>
      <c r="C195" s="5" t="inlineStr">
        <is>
          <t>Song composer (music collective)</t>
        </is>
      </c>
      <c r="D195" s="20" t="n"/>
      <c r="E195" s="20" t="n"/>
      <c r="F195" s="5" t="inlineStr">
        <is>
          <t>2016–present</t>
        </is>
      </c>
      <c r="G195" s="5" t="inlineStr">
        <is>
          <t>Hindi cinema</t>
        </is>
      </c>
      <c r="H195" s="5" t="inlineStr">
        <is>
          <t>A music production and A&amp;R platform founded in 2016 by the composer Pritam to develop young composers, whose first artists were the duo Kaushik-Akash.</t>
        </is>
      </c>
      <c r="I195" s="5" t="inlineStr">
        <is>
          <t>1920 London (2016).</t>
        </is>
      </c>
      <c r="J195" s="5" t="inlineStr">
        <is>
          <t>With Khan: Raees (2017), including the song 'Zaalima'. Wider work: Raabta, Shaadi Mein Zaroor Aana, Race 3, Loveyatri.</t>
        </is>
      </c>
      <c r="K195" s="19" t="n"/>
      <c r="L195" s="19" t="n"/>
      <c r="M195" s="5" t="n"/>
      <c r="N195" s="19" t="n"/>
      <c r="O195" s="19" t="inlineStr">
        <is>
          <t>One film: Rahul Dholakia's Raees, for which JAM8 composed songs including the hit 'Zaalima'. The venture was launched at an event with Khan.</t>
        </is>
      </c>
      <c r="P195" s="17" t="n">
        <v>1</v>
      </c>
      <c r="Q195" s="5" t="inlineStr">
        <is>
          <t>FILM-086</t>
        </is>
      </c>
      <c r="R195" s="5" t="inlineStr">
        <is>
          <t>Raees (2017)</t>
        </is>
      </c>
      <c r="S195" s="5" t="inlineStr">
        <is>
          <t>JAM8 (Just About Music) is Pritam's platform for developing young composers, announced in April 2016 with Kaushik-Akash as its first act. After 1920 London, its first major soundtrack credit was Raees (2017), where its composition 'Zaalima', picturised on Shah Rukh Khan and Mahira Khan, was a big hit; Raees was a moderate success at the box office. JAM8 has since composed for Raabta, Race 3 and other Hindi, Telugu and Bengali films.</t>
        </is>
      </c>
      <c r="T195" s="5" t="inlineStr">
        <is>
          <t>SOURCE-257; SOURCE-089</t>
        </is>
      </c>
      <c r="U195" s="5" t="inlineStr">
        <is>
          <t>Medium</t>
        </is>
      </c>
    </row>
    <row r="196" ht="49" customHeight="1">
      <c r="A196" s="15" t="inlineStr">
        <is>
          <t>PERSON-195</t>
        </is>
      </c>
      <c r="B196" s="5" t="inlineStr">
        <is>
          <t>Jaydeep Sarkar</t>
        </is>
      </c>
      <c r="C196" s="5" t="inlineStr">
        <is>
          <t>Writer</t>
        </is>
      </c>
      <c r="D196" s="20" t="n"/>
      <c r="E196" s="20" t="n"/>
      <c r="F196" s="5" t="n"/>
      <c r="G196" s="5" t="inlineStr">
        <is>
          <t>Hindi cinema</t>
        </is>
      </c>
      <c r="H196" s="5" t="inlineStr">
        <is>
          <t>A writer credited on one film in this filmography, with no Wikipedia article of their own.</t>
        </is>
      </c>
      <c r="I196" s="5" t="n"/>
      <c r="J196" s="5" t="inlineStr">
        <is>
          <t>With Khan: Shaurya (2008).</t>
        </is>
      </c>
      <c r="K196" s="19" t="n"/>
      <c r="L196" s="19" t="n"/>
      <c r="M196" s="5" t="n"/>
      <c r="N196" s="19" t="n"/>
      <c r="O196" s="19" t="inlineStr">
        <is>
          <t>One film with Khan, credited as writer: Shaurya (2008), directed by Samar Khan, with Khan in the narration.</t>
        </is>
      </c>
      <c r="P196" s="17" t="n">
        <v>1</v>
      </c>
      <c r="Q196" s="5" t="inlineStr">
        <is>
          <t>FILM-063</t>
        </is>
      </c>
      <c r="R196" s="5" t="inlineStr">
        <is>
          <t>Shaurya (2008)</t>
        </is>
      </c>
      <c r="S196" s="5" t="inlineStr">
        <is>
          <t>Jaydeep Sarkar is credited as writer on Shaurya (2008). No Wikipedia article or other independent biography was located; this row is built from the film credit alone.</t>
        </is>
      </c>
      <c r="T196" s="5" t="inlineStr">
        <is>
          <t>SOURCE-066</t>
        </is>
      </c>
      <c r="U196" s="5" t="inlineStr">
        <is>
          <t>Low</t>
        </is>
      </c>
    </row>
    <row r="197" ht="64" customHeight="1">
      <c r="A197" s="15" t="inlineStr">
        <is>
          <t>PERSON-196</t>
        </is>
      </c>
      <c r="B197" s="5" t="inlineStr">
        <is>
          <t>Jio Studios</t>
        </is>
      </c>
      <c r="C197" s="5" t="inlineStr">
        <is>
          <t>Production banner</t>
        </is>
      </c>
      <c r="D197" s="20" t="n"/>
      <c r="E197" s="20" t="n"/>
      <c r="F197" s="5" t="n"/>
      <c r="G197" s="5" t="inlineStr">
        <is>
          <t>Hindi cinema</t>
        </is>
      </c>
      <c r="H197" s="5" t="inlineStr">
        <is>
          <t>A production banner credited on one film in this filmography, with no Wikipedia article of its own.</t>
        </is>
      </c>
      <c r="I197" s="5" t="n"/>
      <c r="J197" s="5" t="inlineStr">
        <is>
          <t>With Khan: Dunki (2023).</t>
        </is>
      </c>
      <c r="K197" s="19" t="n"/>
      <c r="L197" s="19" t="n"/>
      <c r="M197" s="5" t="n"/>
      <c r="N197" s="19" t="n"/>
      <c r="O197" s="19" t="inlineStr">
        <is>
          <t>One film with Khan, credited as production banner: Dunki (2023), directed by Rajkumar Hirani, with Khan in the lead as Hardayal "Hardy" Singh Dhillon.</t>
        </is>
      </c>
      <c r="P197" s="17" t="n">
        <v>1</v>
      </c>
      <c r="Q197" s="5" t="inlineStr">
        <is>
          <t>FILM-097</t>
        </is>
      </c>
      <c r="R197" s="5" t="inlineStr">
        <is>
          <t>Dunki (2023)</t>
        </is>
      </c>
      <c r="S197" s="5" t="inlineStr">
        <is>
          <t>Jio Studios is credited as production banner on Dunki (2023). No Wikipedia article or other independent biography was located for the company; this row is built from the film credit alone.</t>
        </is>
      </c>
      <c r="T197" s="5" t="inlineStr">
        <is>
          <t>SOURCE-100</t>
        </is>
      </c>
      <c r="U197" s="5" t="inlineStr">
        <is>
          <t>Low</t>
        </is>
      </c>
    </row>
    <row r="198" ht="64" customHeight="1">
      <c r="A198" s="15" t="inlineStr">
        <is>
          <t>PERSON-197</t>
        </is>
      </c>
      <c r="B198" s="5" t="inlineStr">
        <is>
          <t>Julius Packiam</t>
        </is>
      </c>
      <c r="C198" s="5" t="inlineStr">
        <is>
          <t>Background-score composer</t>
        </is>
      </c>
      <c r="D198" s="20" t="n"/>
      <c r="E198" s="20" t="n"/>
      <c r="F198" s="5" t="n"/>
      <c r="G198" s="5" t="inlineStr">
        <is>
          <t>Hindi cinema</t>
        </is>
      </c>
      <c r="H198" s="5" t="inlineStr">
        <is>
          <t>An Indian film-score composer associated with Yash Raj Films and Salman Khan's action films.</t>
        </is>
      </c>
      <c r="I198" s="5" t="n"/>
      <c r="J198" s="5" t="inlineStr">
        <is>
          <t>With Khan: Tubelight (2017). Wider work: Ek Tha Tiger, Tiger Zinda Hai, Dhoom 3, Bajrangi Bhaijaan, Sultan, Bharat, Baaghi.</t>
        </is>
      </c>
      <c r="K198" s="19" t="inlineStr">
        <is>
          <t>Background scores for large action dramas.</t>
        </is>
      </c>
      <c r="L198" s="19" t="n"/>
      <c r="M198" s="5" t="n"/>
      <c r="N198" s="19" t="n"/>
      <c r="O198" s="19" t="inlineStr">
        <is>
          <t>One film: Kabir Khan's Tubelight, for which he wrote the background score; Khan has a cameo.</t>
        </is>
      </c>
      <c r="P198" s="17" t="n">
        <v>1</v>
      </c>
      <c r="Q198" s="5" t="inlineStr">
        <is>
          <t>FILM-087</t>
        </is>
      </c>
      <c r="R198" s="5" t="inlineStr">
        <is>
          <t>Tubelight (2017)</t>
        </is>
      </c>
      <c r="S198" s="5" t="inlineStr">
        <is>
          <t>Julius Packiam writes background scores, mostly for big action films: Ek Tha Tiger, Tiger Zinda Hai, Dhoom 3, Bajrangi Bhaijaan, Sultan and Bharat, as well as the Baaghi films. His one Shah Rukh Khan credit is Tubelight (2017), Kabir Khan's fable with Salman Khan as a simple-minded man waiting for his brother to return from the 1962 war, in which Shah Rukh Khan makes a cameo as a magician. His Wikipedia entry is very short.</t>
        </is>
      </c>
      <c r="T198" s="5" t="inlineStr">
        <is>
          <t>SOURCE-258; SOURCE-090</t>
        </is>
      </c>
      <c r="U198" s="5" t="inlineStr">
        <is>
          <t>Low</t>
        </is>
      </c>
    </row>
    <row r="199" ht="79" customHeight="1">
      <c r="A199" s="15" t="inlineStr">
        <is>
          <t>PERSON-198</t>
        </is>
      </c>
      <c r="B199" s="5" t="inlineStr">
        <is>
          <t>Jyoti Deshpande</t>
        </is>
      </c>
      <c r="C199" s="5" t="inlineStr">
        <is>
          <t>Producer (Viacom18 Studios)</t>
        </is>
      </c>
      <c r="D199" s="20" t="n"/>
      <c r="E199" s="20" t="n"/>
      <c r="F199" s="5" t="n"/>
      <c r="G199" s="5" t="inlineStr">
        <is>
          <t>Hindi cinema</t>
        </is>
      </c>
      <c r="H199" s="5" t="inlineStr">
        <is>
          <t>A Mumbai-born media executive with an MBA from S. P. Jain Institute (1993) who has led Viacom18 and Eros International and is now President of Media and Content Business at Reliance Industries and CEO of Jio Studios.</t>
        </is>
      </c>
      <c r="I199" s="5" t="n"/>
      <c r="J199" s="5" t="inlineStr">
        <is>
          <t>With Khan: Laal Singh Chaddha (2022).</t>
        </is>
      </c>
      <c r="K199" s="19" t="n"/>
      <c r="L199" s="19" t="n"/>
      <c r="M199" s="5" t="n"/>
      <c r="N199" s="19" t="inlineStr">
        <is>
          <t>Listed among Business Today's 50 Most Powerful Women in Business.</t>
        </is>
      </c>
      <c r="O199" s="19" t="inlineStr">
        <is>
          <t>One film: Laal Singh Chaddha, which she produced as head of Viacom18; Khan appears as himself.</t>
        </is>
      </c>
      <c r="P199" s="17" t="n">
        <v>1</v>
      </c>
      <c r="Q199" s="5" t="inlineStr">
        <is>
          <t>FILM-092</t>
        </is>
      </c>
      <c r="R199" s="5" t="inlineStr">
        <is>
          <t>Laal Singh Chaddha (2022)</t>
        </is>
      </c>
      <c r="S199" s="5" t="inlineStr">
        <is>
          <t>Jyoti Deshpande worked in media planning at Mindshare, at the Zee network and at J. Walter Thompson before becoming managing director of Eros International and then chief executive of Viacom18, where she oversaw its film studio. She is credited as a producer on Laal Singh Chaddha (2022), the Aamir Khan film in which Shah Rukh Khan makes a brief appearance as himself. She later became CEO of Jio Studios, which is credited on Khan's Dunki (2023), and President of Media and Content Business at Reliance Industries.</t>
        </is>
      </c>
      <c r="T199" s="5" t="inlineStr">
        <is>
          <t>SOURCE-259; SOURCE-095</t>
        </is>
      </c>
      <c r="U199" s="5" t="inlineStr">
        <is>
          <t>Medium</t>
        </is>
      </c>
    </row>
    <row r="200" ht="94" customHeight="1">
      <c r="A200" s="15" t="inlineStr">
        <is>
          <t>PERSON-199</t>
        </is>
      </c>
      <c r="B200" s="5" t="inlineStr">
        <is>
          <t>K Sera Sera</t>
        </is>
      </c>
      <c r="C200" s="5" t="inlineStr">
        <is>
          <t>Producer (company)</t>
        </is>
      </c>
      <c r="D200" s="20" t="n"/>
      <c r="E200" s="20" t="n"/>
      <c r="F200" s="5" t="n"/>
      <c r="G200" s="5" t="inlineStr">
        <is>
          <t>Hindi cinema</t>
        </is>
      </c>
      <c r="H200" s="5" t="inlineStr">
        <is>
          <t>A Mumbai media company, now KSS Limited, founded in 1995 as Garnet Paper Mills and renamed K Sera Sera Production in 2002, listed on the BSE and NSE; it has produced 28 films and distributed over 100 and now works in digital cinema deployment.</t>
        </is>
      </c>
      <c r="I200" s="5" t="n"/>
      <c r="J200" s="5" t="inlineStr">
        <is>
          <t>With Khan: I See You (2006). Wider work: Darna Mana Hai and other early-2000s productions.</t>
        </is>
      </c>
      <c r="K200" s="19" t="n"/>
      <c r="L200" s="19" t="n"/>
      <c r="M200" s="5" t="n"/>
      <c r="N200" s="19" t="n"/>
      <c r="O200" s="19" t="inlineStr">
        <is>
          <t>One film: Vivek Agrawal's I See You, starring Arjun Rampal, in which Khan appears as himself.</t>
        </is>
      </c>
      <c r="P200" s="17" t="n">
        <v>1</v>
      </c>
      <c r="Q200" s="5" t="inlineStr">
        <is>
          <t>FILM-059</t>
        </is>
      </c>
      <c r="R200" s="5" t="inlineStr">
        <is>
          <t>I See You (2006)</t>
        </is>
      </c>
      <c r="S200" s="5" t="inlineStr">
        <is>
          <t>K Sera Sera was a listed Mumbai company that entered film production and distribution in the early 2000s, producing Darna Mana Hai among others; it later moved into digital cinema deployment and miniplex screens and is now called KSS Limited. It is credited as a producer on I See You (2006), a romantic comedy starring Arjun Rampal, in which Shah Rukh Khan makes a self appearance.</t>
        </is>
      </c>
      <c r="T200" s="5" t="inlineStr">
        <is>
          <t>SOURCE-260; SOURCE-062</t>
        </is>
      </c>
      <c r="U200" s="5" t="inlineStr">
        <is>
          <t>Low</t>
        </is>
      </c>
    </row>
    <row r="201" ht="79" customHeight="1">
      <c r="A201" s="15" t="inlineStr">
        <is>
          <t>PERSON-200</t>
        </is>
      </c>
      <c r="B201" s="5" t="inlineStr">
        <is>
          <t>K. C. Bokadia</t>
        </is>
      </c>
      <c r="C201" s="5" t="inlineStr">
        <is>
          <t>Producer</t>
        </is>
      </c>
      <c r="D201" s="20" t="n"/>
      <c r="E201" s="20" t="n"/>
      <c r="F201" s="5" t="inlineStr">
        <is>
          <t>1972–present</t>
        </is>
      </c>
      <c r="G201" s="5" t="inlineStr">
        <is>
          <t>Hindi cinema</t>
        </is>
      </c>
      <c r="H201" s="5" t="inlineStr">
        <is>
          <t>A Rajasthan-born Hindi-film producer and director from Merta City, described by the Deccan Chronicle as 'the fastest producer to make 50 films', with more than 60 films by 2021.</t>
        </is>
      </c>
      <c r="I201" s="5" t="inlineStr">
        <is>
          <t>As producer, Rivaaj (1972); as director, Aaj Ka Arjun (1990).</t>
        </is>
      </c>
      <c r="J201" s="5" t="inlineStr">
        <is>
          <t>With Khan: Hum Tumhare Hain Sanam (2002). Wider work: Pyar Jhukta Nahin, Teri Meherbaniyan, Naseeb Apna Apna, Main Tera Dushman; directed Phool Bane Angaaray, Police Aur Mujrim.</t>
        </is>
      </c>
      <c r="K201" s="19" t="inlineStr">
        <is>
          <t>Mass melodrama, including films built around animals.</t>
        </is>
      </c>
      <c r="L201" s="19" t="n"/>
      <c r="M201" s="5" t="n"/>
      <c r="N201" s="19" t="n"/>
      <c r="O201" s="19" t="inlineStr">
        <is>
          <t>One film: Hum Tumhare Hain Sanam, which he produced; Khan plays the lead, a jealous husband.</t>
        </is>
      </c>
      <c r="P201" s="17" t="n">
        <v>1</v>
      </c>
      <c r="Q201" s="5" t="inlineStr">
        <is>
          <t>FILM-042</t>
        </is>
      </c>
      <c r="R201" s="5" t="inlineStr">
        <is>
          <t>Hum Tumhare Hain Sanam (2002)</t>
        </is>
      </c>
      <c r="S201" s="5" t="inlineStr">
        <is>
          <t>K. C. Bokadia began producing with Rivaaj (1972) and made dozens of mainstream films over five decades, among them Pyar Jhukta Nahin, Naseeb Apna Apna and the dog-led Teri Meherbaniyan, and directed Aaj Ka Arjun with Amitabh Bachchan. He produced Hum Tumhare Hain Sanam (2002), K. S. Adhiyaman's long-delayed remake of the Tamil film Thaikulame Thaikulame, in which Shah Rukh Khan plays a husband whose jealousy over his wife's childhood friend (Salman Khan) breaks up their marriage.</t>
        </is>
      </c>
      <c r="T201" s="5" t="inlineStr">
        <is>
          <t>SOURCE-261; SOURCE-045</t>
        </is>
      </c>
      <c r="U201" s="5" t="inlineStr">
        <is>
          <t>Medium</t>
        </is>
      </c>
    </row>
    <row r="202" ht="94" customHeight="1">
      <c r="A202" s="15" t="inlineStr">
        <is>
          <t>PERSON-201</t>
        </is>
      </c>
      <c r="B202" s="5" t="inlineStr">
        <is>
          <t>K. S. Adhiyaman</t>
        </is>
      </c>
      <c r="C202" s="5" t="inlineStr">
        <is>
          <t>Director; Writer</t>
        </is>
      </c>
      <c r="D202" s="17" t="n">
        <v>1965</v>
      </c>
      <c r="E202" s="20" t="n"/>
      <c r="F202" s="5" t="inlineStr">
        <is>
          <t>1992–present</t>
        </is>
      </c>
      <c r="G202" s="5" t="inlineStr">
        <is>
          <t>Tamil cinema; Hindi and Telugu cinema</t>
        </is>
      </c>
      <c r="H202" s="5" t="inlineStr">
        <is>
          <t>A Tamil director, screenwriter and lyricist who apprenticed under K. Vijayan for eight films and wrote dialogue for Suresh Menon before directing.</t>
        </is>
      </c>
      <c r="I202" s="5" t="inlineStr">
        <is>
          <t>Thoorathu Sondham (1992); first success Thotta Chinungi (1995).</t>
        </is>
      </c>
      <c r="J202" s="5" t="inlineStr">
        <is>
          <t>With Khan: Hum Tumhare Hain Sanam (2002). Wider work: Thotta Chinungi, Swarnamukhi; acted in Thalaimurai.</t>
        </is>
      </c>
      <c r="K202" s="19" t="inlineStr">
        <is>
          <t>Family and marital drama.</t>
        </is>
      </c>
      <c r="L202" s="19" t="n"/>
      <c r="M202" s="5" t="n"/>
      <c r="N202" s="19" t="n"/>
      <c r="O202" s="19" t="inlineStr">
        <is>
          <t>Wrote and directed Hum Tumhare Hain Sanam, his Hindi remake of Thotta Chinungi, begun in 1998 as Aap Mere Hai Sanam and released in 2002 after long delays. Khan plays the lead, a husband consumed by jealousy.</t>
        </is>
      </c>
      <c r="P202" s="17" t="n">
        <v>1</v>
      </c>
      <c r="Q202" s="5" t="inlineStr">
        <is>
          <t>FILM-042</t>
        </is>
      </c>
      <c r="R202" s="5" t="inlineStr">
        <is>
          <t>Hum Tumhare Hain Sanam (2002)</t>
        </is>
      </c>
      <c r="S202" s="5" t="inlineStr">
        <is>
          <t>K. S. Adhiyaman made his name in Tamil cinema with Thotta Chinungi (1995), a relationship drama about a husband's suspicion of his wife, after an unnoticed debut and dialogue work for Suresh Menon. In early 1998 he began remaking it in Hindi as Aap Mere Hai Sanam with Shah Rukh Khan, Madhuri Dixit and Salman Khan; it was eventually released in 2002 as Hum Tumhare Hain Sanam. Khan plays Gopal, whose jealousy of his wife's closeness to her childhood friend breaks up the marriage. Adhiyaman later started Mujhse Shaadi Karogi in 2002, a project that went to another director.</t>
        </is>
      </c>
      <c r="T202" s="5" t="inlineStr">
        <is>
          <t>SOURCE-262; SOURCE-045</t>
        </is>
      </c>
      <c r="U202" s="5" t="inlineStr">
        <is>
          <t>Medium</t>
        </is>
      </c>
    </row>
    <row r="203" ht="94" customHeight="1">
      <c r="A203" s="15" t="inlineStr">
        <is>
          <t>PERSON-202</t>
        </is>
      </c>
      <c r="B203" s="5" t="inlineStr">
        <is>
          <t>Kabir Khan</t>
        </is>
      </c>
      <c r="C203" s="5" t="inlineStr">
        <is>
          <t>Director; Producer; Writer</t>
        </is>
      </c>
      <c r="D203" s="20" t="n"/>
      <c r="E203" s="20" t="n"/>
      <c r="F203" s="5" t="n"/>
      <c r="G203" s="5" t="inlineStr">
        <is>
          <t>Hindi cinema</t>
        </is>
      </c>
      <c r="H203" s="5" t="inlineStr">
        <is>
          <t>A Hindi-film director, screenwriter and cinematographer from a documentary background, son of the political scientist Rasheeduddin Khan, and a board member of the Mumbai Academy of the Moving Image.</t>
        </is>
      </c>
      <c r="I203" s="5" t="inlineStr">
        <is>
          <t>Kabul Express (2006).</t>
        </is>
      </c>
      <c r="J203" s="5" t="inlineStr">
        <is>
          <t>With Khan: Tubelight (2017). Wider work: Kabul Express, New York, Ek Tha Tiger, Bajrangi Bhaijaan, 83.</t>
        </is>
      </c>
      <c r="K203" s="19" t="inlineStr">
        <is>
          <t>Political and cross-border stories told through popular genre film, often with Salman Khan.</t>
        </is>
      </c>
      <c r="L203" s="19" t="n"/>
      <c r="M203" s="5" t="n"/>
      <c r="N203" s="19" t="n"/>
      <c r="O203" s="19" t="inlineStr">
        <is>
          <t>One film: Tubelight, which he wrote, directed and co-produced, with Salman Khan in the lead and Shah Rukh Khan in a cameo as a magician.</t>
        </is>
      </c>
      <c r="P203" s="17" t="n">
        <v>1</v>
      </c>
      <c r="Q203" s="5" t="inlineStr">
        <is>
          <t>FILM-087</t>
        </is>
      </c>
      <c r="R203" s="5" t="inlineStr">
        <is>
          <t>Tubelight (2017)</t>
        </is>
      </c>
      <c r="S203" s="5" t="inlineStr">
        <is>
          <t>Kabir Khan studied at Kirori Mal College and Jamia Millia Islamia and worked in documentary before his first feature, Kabul Express (2006). He became known for Ek Tha Tiger (2012) and Bajrangi Bhaijaan (2015), both starring Salman Khan, and reunited with the star for Tubelight (2017), a war-era fable adapted from Alejandro Monteverde's Little Boy, which he wrote, directed and co-produced. Shah Rukh Khan makes a cameo as a magician. Sources disagree on Kabir Khan's birth year (1971 in the infobox, 1968 in the description), so it is left blank.</t>
        </is>
      </c>
      <c r="T203" s="5" t="inlineStr">
        <is>
          <t>SOURCE-263; SOURCE-090</t>
        </is>
      </c>
      <c r="U203" s="5" t="inlineStr">
        <is>
          <t>Medium</t>
        </is>
      </c>
    </row>
    <row r="204" ht="49" customHeight="1">
      <c r="A204" s="15" t="inlineStr">
        <is>
          <t>PERSON-203</t>
        </is>
      </c>
      <c r="B204" s="5" t="inlineStr">
        <is>
          <t>Kabir Khan Films</t>
        </is>
      </c>
      <c r="C204" s="5" t="inlineStr">
        <is>
          <t>Production banner</t>
        </is>
      </c>
      <c r="D204" s="20" t="n"/>
      <c r="E204" s="20" t="n"/>
      <c r="F204" s="5" t="n"/>
      <c r="G204" s="5" t="inlineStr">
        <is>
          <t>Hindi cinema</t>
        </is>
      </c>
      <c r="H204" s="5" t="inlineStr">
        <is>
          <t>A production banner credited on one film in this filmography, with no Wikipedia article of its own.</t>
        </is>
      </c>
      <c r="I204" s="5" t="n"/>
      <c r="J204" s="5" t="inlineStr">
        <is>
          <t>With Khan: Tubelight (2017).</t>
        </is>
      </c>
      <c r="K204" s="19" t="n"/>
      <c r="L204" s="19" t="n"/>
      <c r="M204" s="5" t="n"/>
      <c r="N204" s="19" t="n"/>
      <c r="O204" s="19" t="inlineStr">
        <is>
          <t>One film with Khan, credited as production banner: Tubelight (2017), directed by Kabir Khan, with Khan in a cameo as Gogo Pasha.</t>
        </is>
      </c>
      <c r="P204" s="17" t="n">
        <v>1</v>
      </c>
      <c r="Q204" s="5" t="inlineStr">
        <is>
          <t>FILM-087</t>
        </is>
      </c>
      <c r="R204" s="5" t="inlineStr">
        <is>
          <t>Tubelight (2017)</t>
        </is>
      </c>
      <c r="S204" s="5" t="inlineStr">
        <is>
          <t>Kabir Khan Films is credited as production banner on Tubelight (2017). No Wikipedia article or other independent biography was located for the company; this row is built from the film credit alone.</t>
        </is>
      </c>
      <c r="T204" s="5" t="inlineStr">
        <is>
          <t>SOURCE-090</t>
        </is>
      </c>
      <c r="U204" s="5" t="inlineStr">
        <is>
          <t>Low</t>
        </is>
      </c>
    </row>
    <row r="205" ht="79" customHeight="1">
      <c r="A205" s="15" t="inlineStr">
        <is>
          <t>PERSON-204</t>
        </is>
      </c>
      <c r="B205" s="5" t="inlineStr">
        <is>
          <t>Kaleidoscope Entertainment</t>
        </is>
      </c>
      <c r="C205" s="5" t="inlineStr">
        <is>
          <t>Production banner</t>
        </is>
      </c>
      <c r="D205" s="20" t="n"/>
      <c r="E205" s="20" t="n"/>
      <c r="F205" s="5" t="n"/>
      <c r="G205" s="5" t="inlineStr">
        <is>
          <t>Hindi cinema</t>
        </is>
      </c>
      <c r="H205" s="5" t="inlineStr">
        <is>
          <t>A Delhi-based film and television production company founded by Bobby Bedi, known for content that crossed over to Western audiences.</t>
        </is>
      </c>
      <c r="I205" s="5" t="n"/>
      <c r="J205" s="5" t="inlineStr">
        <is>
          <t>With Khan: Saathiya (2002). Wider work: Bandit Queen, Fire, Electric Moon, Maqbool, American Daylight, Mangal Pandey: The Rising; the Mahabharata 360 project.</t>
        </is>
      </c>
      <c r="K205" s="19" t="inlineStr">
        <is>
          <t>Arthouse and crossover cinema.</t>
        </is>
      </c>
      <c r="L205" s="19" t="n"/>
      <c r="M205" s="5" t="n"/>
      <c r="N205" s="19" t="n"/>
      <c r="O205" s="19" t="inlineStr">
        <is>
          <t>One film: Shaad Ali's Saathiya, in which Khan has a cameo.</t>
        </is>
      </c>
      <c r="P205" s="17" t="n">
        <v>1</v>
      </c>
      <c r="Q205" s="5" t="inlineStr">
        <is>
          <t>FILM-045</t>
        </is>
      </c>
      <c r="R205" s="5" t="inlineStr">
        <is>
          <t>Saathiya (2002)</t>
        </is>
      </c>
      <c r="S205" s="5" t="inlineStr">
        <is>
          <t>Kaleidoscope Entertainment was founded by the independent producer Bobby Bedi, who remains its managing director. Its productions include Shekhar Kapur's Bandit Queen, Deepa Mehta's Fire, Vishal Bhardwaj's Maqbool and Ketan Mehta's Mangal Pandey: The Rising. It co-produced Saathiya (2002), Shaad Ali's Hindi remake of Mani Ratnam's Alaipayuthey with Vivek Oberoi and Rani Mukerji, in which Shah Rukh Khan has a cameo. The film was a commercial success.</t>
        </is>
      </c>
      <c r="T205" s="5" t="inlineStr">
        <is>
          <t>SOURCE-232; SOURCE-048</t>
        </is>
      </c>
      <c r="U205" s="5" t="inlineStr">
        <is>
          <t>Medium</t>
        </is>
      </c>
    </row>
    <row r="206" ht="169" customHeight="1">
      <c r="A206" s="15" t="inlineStr">
        <is>
          <t>PERSON-205</t>
        </is>
      </c>
      <c r="B206" s="5" t="inlineStr">
        <is>
          <t>Kamal Haasan</t>
        </is>
      </c>
      <c r="C206" s="5" t="inlineStr">
        <is>
          <t>Director; producer; screenwriter; actor (Raaj Kamal Films International)</t>
        </is>
      </c>
      <c r="D206" s="17" t="n">
        <v>1954</v>
      </c>
      <c r="E206" s="20" t="n"/>
      <c r="F206" s="5" t="n"/>
      <c r="G206" s="5" t="inlineStr">
        <is>
          <t>Tamil; multilingual</t>
        </is>
      </c>
      <c r="H206" s="5" t="inlineStr">
        <is>
          <t>Actor, filmmaker and politician who has made over 230 films in Tamil, Telugu, Malayalam, Hindi, Kannada and Bengali; founded the party Makkal Needhi Maiam in 2018 and joined the Rajya Sabha in 2025.</t>
        </is>
      </c>
      <c r="I206" s="5" t="n"/>
      <c r="J206" s="5" t="inlineStr">
        <is>
          <t>Hey Ram (2000)</t>
        </is>
      </c>
      <c r="K206" s="19" t="inlineStr">
        <is>
          <t>In Hey Ram, communal violence, Partition and the assassination of Gandhi.</t>
        </is>
      </c>
      <c r="L206" s="19" t="inlineStr">
        <is>
          <t>Ambitious, technically elaborate filmmaking; Hey Ram was shot simultaneously in Tamil and Hindi.</t>
        </is>
      </c>
      <c r="M206" s="5" t="inlineStr">
        <is>
          <t>Padma Shri (1990); Padma Bhushan (2014); Chevalier of the Order of Arts and Letters (2016); Filmfare Award South for Best Actor – Tamil (Hey Ram); invited to join the Academy of Motion Picture Arts and Sciences (2025)</t>
        </is>
      </c>
      <c r="N206" s="19" t="inlineStr">
        <is>
          <t>One of the most prolific figures in Indian cinema; Hey Ram was India's submission for the Academy Awards.</t>
        </is>
      </c>
      <c r="O206" s="19" t="inlineStr">
        <is>
          <t>Wrote, produced, directed and starred in Hey Ram, casting Khan as his secular Pathan friend Amjad in Khan's Tamil debut; Khan's Dreamz Unlimited distributed the Hindi version.</t>
        </is>
      </c>
      <c r="P206" s="17" t="n">
        <v>1</v>
      </c>
      <c r="Q206" s="5" t="inlineStr">
        <is>
          <t>FILM-034</t>
        </is>
      </c>
      <c r="R206" s="5" t="inlineStr">
        <is>
          <t>Hey Ram (2000)</t>
        </is>
      </c>
      <c r="S206" s="5" t="inlineStr">
        <is>
          <t>Kamal Haasan, born on 7 November 1954, is an actor, filmmaker and politician who works mainly in Tamil cinema and has made over 230 films in six languages as actor, director, producer, screenwriter, playback singer and lyricist. He received the Padma Shri in 1990, the Padma Bhushan in 2014 and France's Order of Arts and Letters in 2016, and was invited to join the Academy's actors' branch in 2025. He was the first Tamil actor to turn his fan clubs into welfare associations, launched the party Makkal Needhi Maiam in 2018 and became a member of the Rajya Sabha in July 2025. Haasan wrote, produced, directed and starred in Hey Ram (2000), an alternate-history drama about Partition and the assassination of Gandhi, made simultaneously in Tamil and Hindi. Shah Rukh Khan plays Amjad Ali Khan, a Pathan archaeologist and the hero's closest friend, who dies at the hands of a mob while trying to turn him from hatred. It was Khan's Tamil-language debut, and his Dreamz Unlimited distributed the Hindi version. The film won three National Film Awards and was India's Academy Award submission, but it failed commercially.</t>
        </is>
      </c>
      <c r="T206" s="5" t="inlineStr">
        <is>
          <t>SOURCE-149; SOURCE-037</t>
        </is>
      </c>
      <c r="U206" s="5" t="inlineStr">
        <is>
          <t>Medium</t>
        </is>
      </c>
    </row>
    <row r="207" ht="79" customHeight="1">
      <c r="A207" s="15" t="inlineStr">
        <is>
          <t>PERSON-206</t>
        </is>
      </c>
      <c r="B207" s="5" t="inlineStr">
        <is>
          <t>Kamna Chandra</t>
        </is>
      </c>
      <c r="C207" s="5" t="inlineStr">
        <is>
          <t>Writer</t>
        </is>
      </c>
      <c r="D207" s="20" t="n"/>
      <c r="E207" s="20" t="n"/>
      <c r="F207" s="5" t="n"/>
      <c r="G207" s="5" t="inlineStr">
        <is>
          <t>Hindi cinema</t>
        </is>
      </c>
      <c r="H207" s="5" t="inlineStr">
        <is>
          <t>A writer of radio plays for All India Radio and of film stories and dialogue, from Muzaffarnagar; mother of the novelist Vikram Chandra, the critic Anupama Chopra and the director Tanuja Chandra.</t>
        </is>
      </c>
      <c r="I207" s="5" t="n"/>
      <c r="J207" s="5" t="inlineStr">
        <is>
          <t>With Khan: Gaja Gamini (2000). Wider work: Prem Rog, Chandni, 1942: A Love Story; the television show Kashish.</t>
        </is>
      </c>
      <c r="K207" s="19" t="inlineStr">
        <is>
          <t>Romantic melodrama.</t>
        </is>
      </c>
      <c r="L207" s="19" t="n"/>
      <c r="M207" s="5" t="n"/>
      <c r="N207" s="19" t="n"/>
      <c r="O207" s="19" t="inlineStr">
        <is>
          <t>One film: M. F. Husain's Gaja Gamini, which she co-wrote, in which Khan appears as himself.</t>
        </is>
      </c>
      <c r="P207" s="17" t="n">
        <v>1</v>
      </c>
      <c r="Q207" s="5" t="inlineStr">
        <is>
          <t>FILM-038</t>
        </is>
      </c>
      <c r="R207" s="5" t="inlineStr">
        <is>
          <t>Gaja Gamini (2000)</t>
        </is>
      </c>
      <c r="S207" s="5" t="inlineStr">
        <is>
          <t>Kamna Chandra wrote plays for All India Radio before writing stories and dialogue for Hindi films, among them Prem Rog, Chandni and 1942: A Love Story, the last directed by her son-in-law Vidhu Vinod Chopra. Her children include Vikram Chandra, Anupama Chopra and Tanuja Chandra. She co-wrote Gaja Gamini (2000), M. F. Husain's film about an idealised woman across the ages, played by Madhuri Dixit, in which Shah Rukh Khan appears as himself. It failed at the box office.</t>
        </is>
      </c>
      <c r="T207" s="5" t="inlineStr">
        <is>
          <t>SOURCE-264; SOURCE-041</t>
        </is>
      </c>
      <c r="U207" s="5" t="inlineStr">
        <is>
          <t>Medium</t>
        </is>
      </c>
    </row>
    <row r="208" ht="79" customHeight="1">
      <c r="A208" s="15" t="inlineStr">
        <is>
          <t>PERSON-207</t>
        </is>
      </c>
      <c r="B208" s="5" t="inlineStr">
        <is>
          <t>Karan Razdan</t>
        </is>
      </c>
      <c r="C208" s="5" t="inlineStr">
        <is>
          <t>Writer</t>
        </is>
      </c>
      <c r="D208" s="17" t="n">
        <v>1961</v>
      </c>
      <c r="E208" s="20" t="n"/>
      <c r="F208" s="5" t="n"/>
      <c r="G208" s="5" t="inlineStr">
        <is>
          <t>Hindi cinema</t>
        </is>
      </c>
      <c r="H208" s="5" t="inlineStr">
        <is>
          <t>A Kashmiri Pandit actor, writer and director who began in television, writing and acting in Rajani and directing the detective serial Tehkikaat.</t>
        </is>
      </c>
      <c r="I208" s="5" t="inlineStr">
        <is>
          <t>Television: Rajani (1980s); Tehkikaat as producer-director.</t>
        </is>
      </c>
      <c r="J208" s="5" t="inlineStr">
        <is>
          <t>With Khan: Trimurti (1995). Wider work: Dilwale, Diljale, Deewane (writer); Girlfriend, Hawas, Souten: The Other Woman, Umar, Mittal v/s Mittal (writer-director).</t>
        </is>
      </c>
      <c r="K208" s="19" t="inlineStr">
        <is>
          <t>Action-romance screenplays in the 1990s; controversial themes as director.</t>
        </is>
      </c>
      <c r="L208" s="19" t="n"/>
      <c r="M208" s="5" t="n"/>
      <c r="N208" s="19" t="n"/>
      <c r="O208" s="19" t="inlineStr">
        <is>
          <t>One film: Mukul S. Anand's Trimurti, which he co-wrote; Khan is one of three brothers in the ensemble lead.</t>
        </is>
      </c>
      <c r="P208" s="17" t="n">
        <v>1</v>
      </c>
      <c r="Q208" s="5" t="inlineStr">
        <is>
          <t>FILM-018</t>
        </is>
      </c>
      <c r="R208" s="5" t="inlineStr">
        <is>
          <t>Trimurti (1995)</t>
        </is>
      </c>
      <c r="S208" s="5" t="inlineStr">
        <is>
          <t>Karan Razdan began on television, writing and acting in Rajani and creating the detective serial Tehkikaat with Vijay Anand. In 1990s cinema he wrote action romances such as Dilwale, Diljale and Deewane, and he later directed films including Girlfriend (2004), Hawas, Souten: The Other Woman and Umar. He co-wrote Trimurti (1995), Mukul S. Anand's multi-starrer with Jackie Shroff, Anil Kapoor and Shah Rukh Khan as brothers, which lost money despite its scale.</t>
        </is>
      </c>
      <c r="T208" s="5" t="inlineStr">
        <is>
          <t>SOURCE-265; SOURCE-021</t>
        </is>
      </c>
      <c r="U208" s="5" t="inlineStr">
        <is>
          <t>Medium</t>
        </is>
      </c>
    </row>
    <row r="209" ht="94" customHeight="1">
      <c r="A209" s="15" t="inlineStr">
        <is>
          <t>PERSON-208</t>
        </is>
      </c>
      <c r="B209" s="5" t="inlineStr">
        <is>
          <t>Karim Morani</t>
        </is>
      </c>
      <c r="C209" s="5" t="inlineStr">
        <is>
          <t>Producer (Cineyug)</t>
        </is>
      </c>
      <c r="D209" s="20" t="n"/>
      <c r="E209" s="20" t="n"/>
      <c r="F209" s="5" t="n"/>
      <c r="G209" s="5" t="inlineStr">
        <is>
          <t>Hindi cinema</t>
        </is>
      </c>
      <c r="H209" s="5" t="inlineStr">
        <is>
          <t>A Hindi-film producer who co-owns the production and event-management company Cineyug with his brother Ali Morani.</t>
        </is>
      </c>
      <c r="I209" s="5" t="inlineStr">
        <is>
          <t>Arjun (1985), directed by Rahul Rawail, a super hit.</t>
        </is>
      </c>
      <c r="J209" s="5" t="inlineStr">
        <is>
          <t>With Khan: Chennai Express (2013); also, per his article, co-producer of Ra.One. Wider work: Arjun, Vardi, Yodha, Damini, Raja Hindustani.</t>
        </is>
      </c>
      <c r="K209" s="19" t="inlineStr">
        <is>
          <t>Mainstream action and romance.</t>
        </is>
      </c>
      <c r="L209" s="19" t="n"/>
      <c r="M209" s="5" t="n"/>
      <c r="N209" s="19" t="n"/>
      <c r="O209" s="19" t="inlineStr">
        <is>
          <t>Co-produced Chennai Express with Khan's Red Chillies, and his article says he also co-produced Ra.One. Khan attended the funeral of Morani's mother in 2015, which shows a personal friendship as well.</t>
        </is>
      </c>
      <c r="P209" s="17" t="n">
        <v>1</v>
      </c>
      <c r="Q209" s="5" t="inlineStr">
        <is>
          <t>FILM-079</t>
        </is>
      </c>
      <c r="R209" s="5" t="inlineStr">
        <is>
          <t>Chennai Express (2013)</t>
        </is>
      </c>
      <c r="S209" s="5" t="inlineStr">
        <is>
          <t>Karim Morani entered film production with Rahul Rawail's Arjun (1985) and followed it with Vardi, Yodha, Damini and Dushmani, most of them starring Sunny Deol, before producing Aamir Khan's Raja Hindustani (1996). With his brother Ali he runs Cineyug, which also manages events. After a long break from production he teamed up with Shah Rukh Khan. He is credited on Chennai Express (2013), Rohit Shetty's action comedy, one of Khan's highest-grossing films, and his article also credits him on Ra.One, though the roster here does not list him on that film. The roster follows the film credits.</t>
        </is>
      </c>
      <c r="T209" s="5" t="inlineStr">
        <is>
          <t>SOURCE-266; SOURCE-082</t>
        </is>
      </c>
      <c r="U209" s="5" t="inlineStr">
        <is>
          <t>Medium</t>
        </is>
      </c>
    </row>
    <row r="210" ht="49" customHeight="1">
      <c r="A210" s="15" t="inlineStr">
        <is>
          <t>PERSON-209</t>
        </is>
      </c>
      <c r="B210" s="5" t="inlineStr">
        <is>
          <t>Ketan Maroo</t>
        </is>
      </c>
      <c r="C210" s="5" t="inlineStr">
        <is>
          <t>Producer</t>
        </is>
      </c>
      <c r="D210" s="20" t="n"/>
      <c r="E210" s="20" t="n"/>
      <c r="F210" s="5" t="n"/>
      <c r="G210" s="5" t="inlineStr">
        <is>
          <t>Hindi cinema</t>
        </is>
      </c>
      <c r="H210" s="5" t="inlineStr">
        <is>
          <t>A producer credited on one film in this filmography, with no Wikipedia article of their own.</t>
        </is>
      </c>
      <c r="I210" s="5" t="n"/>
      <c r="J210" s="5" t="inlineStr">
        <is>
          <t>With Khan: Kuchh Meetha Ho Jaye (2005).</t>
        </is>
      </c>
      <c r="K210" s="19" t="n"/>
      <c r="L210" s="19" t="n"/>
      <c r="M210" s="5" t="n"/>
      <c r="N210" s="19" t="n"/>
      <c r="O210" s="19" t="inlineStr">
        <is>
          <t>One film with Khan, credited as producer: Kuchh Meetha Ho Jaye (2005), directed by Samar Khan, with Khan in a self appearance.</t>
        </is>
      </c>
      <c r="P210" s="17" t="n">
        <v>1</v>
      </c>
      <c r="Q210" s="5" t="inlineStr">
        <is>
          <t>FILM-052</t>
        </is>
      </c>
      <c r="R210" s="5" t="inlineStr">
        <is>
          <t>Kuchh Meetha Ho Jaye (2005)</t>
        </is>
      </c>
      <c r="S210" s="5" t="inlineStr">
        <is>
          <t>Ketan Maroo is credited as producer on Kuchh Meetha Ho Jaye (2005). No Wikipedia article or other independent biography was located; this row is built from the film credit alone.</t>
        </is>
      </c>
      <c r="T210" s="5" t="inlineStr">
        <is>
          <t>SOURCE-055</t>
        </is>
      </c>
      <c r="U210" s="5" t="inlineStr">
        <is>
          <t>Low</t>
        </is>
      </c>
    </row>
    <row r="211" ht="79" customHeight="1">
      <c r="A211" s="15" t="inlineStr">
        <is>
          <t>PERSON-210</t>
        </is>
      </c>
      <c r="B211" s="5" t="inlineStr">
        <is>
          <t>Khalid Mohamed</t>
        </is>
      </c>
      <c r="C211" s="5" t="inlineStr">
        <is>
          <t>Director; Writer; film critic</t>
        </is>
      </c>
      <c r="D211" s="20" t="n"/>
      <c r="E211" s="20" t="n"/>
      <c r="F211" s="5" t="n"/>
      <c r="G211" s="5" t="inlineStr">
        <is>
          <t>Hindi cinema</t>
        </is>
      </c>
      <c r="H211" s="5" t="inlineStr">
        <is>
          <t>A journalist and film critic who worked at The Times of India for 27 years, edited Filmfare and served as national cultural editor of the Hindustan Times; son of Zubeida Begum.</t>
        </is>
      </c>
      <c r="I211" s="5" t="inlineStr">
        <is>
          <t>Screenplay of Mammo (1994) for Shyam Benegal; directorial debut Fiza (2000).</t>
        </is>
      </c>
      <c r="J211" s="5" t="inlineStr">
        <is>
          <t>With Khan: Silsiilay (2005). Wider work: Mammo, Sardari Begum, Zubeidaa (screenplays for Benegal); Fiza, Tehzeeb, Silsiilay (director).</t>
        </is>
      </c>
      <c r="K211" s="19" t="inlineStr">
        <is>
          <t>Women-centred drama; Muslim family histories.</t>
        </is>
      </c>
      <c r="L211" s="19" t="n"/>
      <c r="M211" s="5" t="n"/>
      <c r="N211" s="19" t="n"/>
      <c r="O211" s="19" t="inlineStr">
        <is>
          <t>One film: Silsiilay, an anthology about three women that he wrote and directed; Khan is its narrator.</t>
        </is>
      </c>
      <c r="P211" s="17" t="n">
        <v>1</v>
      </c>
      <c r="Q211" s="5" t="inlineStr">
        <is>
          <t>FILM-054</t>
        </is>
      </c>
      <c r="R211" s="5" t="inlineStr">
        <is>
          <t>Silsiilay (2005)</t>
        </is>
      </c>
      <c r="S211" s="5" t="inlineStr">
        <is>
          <t>Khalid Mohamed spent nearly three decades as a critic and editor, at The Times of India, Filmfare, DNA and the Hindustan Times, and wrote three screenplays for Shyam Benegal, including Zubeidaa (2001), based on the life of his mother, Zubeida Begum. As director he made three films: Fiza, Tehzeeb and Silsiilay (2005), a three-part film about women in relationships with Bipasha Basu, Tabu and Celina Jaitly, which Shah Rukh Khan narrates. He has also made documentaries and staged the play Kennedy Bridge.</t>
        </is>
      </c>
      <c r="T211" s="5" t="inlineStr">
        <is>
          <t>SOURCE-267; SOURCE-057</t>
        </is>
      </c>
      <c r="U211" s="5" t="inlineStr">
        <is>
          <t>Medium</t>
        </is>
      </c>
    </row>
    <row r="212" ht="79" customHeight="1">
      <c r="A212" s="15" t="inlineStr">
        <is>
          <t>PERSON-211</t>
        </is>
      </c>
      <c r="B212" s="5" t="inlineStr">
        <is>
          <t>Kiran Rao</t>
        </is>
      </c>
      <c r="C212" s="5" t="inlineStr">
        <is>
          <t>Producer</t>
        </is>
      </c>
      <c r="D212" s="17" t="n">
        <v>1973</v>
      </c>
      <c r="E212" s="20" t="n"/>
      <c r="F212" s="5" t="inlineStr">
        <is>
          <t>2004–present</t>
        </is>
      </c>
      <c r="G212" s="5" t="inlineStr">
        <is>
          <t>Hindi cinema</t>
        </is>
      </c>
      <c r="H212" s="5" t="inlineStr">
        <is>
          <t>A Bengaluru-born Hindi-film director, screenwriter and producer who grew up in Calcutta, studied economics at Sophia College and mass communication at Jamia Millia Islamia, and co-founded the Paani Foundation in 2016.</t>
        </is>
      </c>
      <c r="I212" s="5" t="inlineStr">
        <is>
          <t>Assistant director on Lagaan (2001); directorial debut Dhobi Ghat (2011).</t>
        </is>
      </c>
      <c r="J212" s="5" t="inlineStr">
        <is>
          <t>With Khan: Laal Singh Chaddha (2022). Wider work: Dhobi Ghat, Laapataa Ladies (director); producer on Aamir Khan Productions films.</t>
        </is>
      </c>
      <c r="K212" s="19" t="inlineStr">
        <is>
          <t>Quiet, observational drama.</t>
        </is>
      </c>
      <c r="L212" s="19" t="n"/>
      <c r="M212" s="5" t="n"/>
      <c r="N212" s="19" t="n"/>
      <c r="O212" s="19" t="inlineStr">
        <is>
          <t>One film: Laal Singh Chaddha, which she co-produced with Aamir Khan, her former husband; Shah Rukh Khan appears as himself.</t>
        </is>
      </c>
      <c r="P212" s="17" t="n">
        <v>1</v>
      </c>
      <c r="Q212" s="5" t="inlineStr">
        <is>
          <t>FILM-092</t>
        </is>
      </c>
      <c r="R212" s="5" t="inlineStr">
        <is>
          <t>Laal Singh Chaddha (2022)</t>
        </is>
      </c>
      <c r="S212" s="5" t="inlineStr">
        <is>
          <t>Kiran Rao started as an assistant director on Lagaan and worked in Aamir Khan's production company, whose films she later co-produced; she was married to Khan until 2021. She directed Dhobi Ghat (2011) and Laapataa Ladies (2024), which India later submitted to the Academy Awards. She is credited as a producer on Laal Singh Chaddha (2022), the Forrest Gump remake in which Shah Rukh Khan makes a brief appearance as himself. The film was a commercial disaster.</t>
        </is>
      </c>
      <c r="T212" s="5" t="inlineStr">
        <is>
          <t>SOURCE-268; SOURCE-095</t>
        </is>
      </c>
      <c r="U212" s="5" t="inlineStr">
        <is>
          <t>Medium</t>
        </is>
      </c>
    </row>
    <row r="213" ht="64" customHeight="1">
      <c r="A213" s="15" t="inlineStr">
        <is>
          <t>PERSON-212</t>
        </is>
      </c>
      <c r="B213" s="5" t="inlineStr">
        <is>
          <t>Koti</t>
        </is>
      </c>
      <c r="C213" s="5" t="inlineStr">
        <is>
          <t>Background-score composer</t>
        </is>
      </c>
      <c r="D213" s="17" t="n">
        <v>1958</v>
      </c>
      <c r="E213" s="20" t="n"/>
      <c r="F213" s="5" t="inlineStr">
        <is>
          <t>1983–present</t>
        </is>
      </c>
      <c r="G213" s="5" t="inlineStr">
        <is>
          <t>Telugu cinema; Hindi cinema</t>
        </is>
      </c>
      <c r="H213" s="5" t="inlineStr">
        <is>
          <t>A Telugu composer, record producer and television mentor, son of the composer S. Rajeswara Rao, associated with more than 550 films over five decades.</t>
        </is>
      </c>
      <c r="I213" s="5" t="inlineStr">
        <is>
          <t>As half of Raj–Koti with Somaraju, from 1983; solo after 1994.</t>
        </is>
      </c>
      <c r="J213" s="5" t="inlineStr">
        <is>
          <t>With Khan: Trimurti (1995). Wider work: about 180 films as Raj–Koti and more than 350 solo.</t>
        </is>
      </c>
      <c r="K213" s="19" t="inlineStr">
        <is>
          <t>Mainstream Telugu film music and scoring.</t>
        </is>
      </c>
      <c r="L213" s="19" t="n"/>
      <c r="M213" s="5" t="n"/>
      <c r="N213" s="19" t="n"/>
      <c r="O213" s="19" t="inlineStr">
        <is>
          <t>One film: Trimurti, for which he wrote the background score; Khan is part of the ensemble lead.</t>
        </is>
      </c>
      <c r="P213" s="17" t="n">
        <v>1</v>
      </c>
      <c r="Q213" s="5" t="inlineStr">
        <is>
          <t>FILM-018</t>
        </is>
      </c>
      <c r="R213" s="5" t="inlineStr">
        <is>
          <t>Trimurti (1995)</t>
        </is>
      </c>
      <c r="S213" s="5" t="inlineStr">
        <is>
          <t>Salur Koteswara Rao, known as Koti, grew up in the household of the composer S. Rajeswara Rao and formed the duo Raj–Koti with T. V. Raju's son Somaraju in the early 1980s; they scored about 180 films before splitting in 1994. Koti then worked solo on over 350 films. In Hindi he wrote the background score for Trimurti (1995), Mukul S. Anand's Subhash Ghai-produced epic with Jackie Shroff, Anil Kapoor and Shah Rukh Khan.</t>
        </is>
      </c>
      <c r="T213" s="5" t="inlineStr">
        <is>
          <t>SOURCE-269; SOURCE-021</t>
        </is>
      </c>
      <c r="U213" s="5" t="inlineStr">
        <is>
          <t>Medium</t>
        </is>
      </c>
    </row>
    <row r="214" ht="79" customHeight="1">
      <c r="A214" s="15" t="inlineStr">
        <is>
          <t>PERSON-213</t>
        </is>
      </c>
      <c r="B214" s="5" t="inlineStr">
        <is>
          <t>Krishan Kumar</t>
        </is>
      </c>
      <c r="C214" s="5" t="inlineStr">
        <is>
          <t>Producer (T-Series)</t>
        </is>
      </c>
      <c r="D214" s="20" t="n"/>
      <c r="E214" s="20" t="n"/>
      <c r="F214" s="5" t="inlineStr">
        <is>
          <t>1982–present</t>
        </is>
      </c>
      <c r="G214" s="5" t="inlineStr">
        <is>
          <t>Hindi cinema</t>
        </is>
      </c>
      <c r="H214" s="5" t="inlineStr">
        <is>
          <t>An actor and producer, younger brother of the T-Series founder Gulshan Kumar, who co-runs the company with his nephew Bhushan Kumar.</t>
        </is>
      </c>
      <c r="I214" s="5" t="inlineStr">
        <is>
          <t>Acting career from 1982; best known for Bewafa Sanam (1995).</t>
        </is>
      </c>
      <c r="J214" s="5" t="inlineStr">
        <is>
          <t>With Khan: Bhoothnath Returns (2014). As actor: Bewafa Sanam.</t>
        </is>
      </c>
      <c r="K214" s="19" t="n"/>
      <c r="L214" s="19" t="n"/>
      <c r="M214" s="5" t="n"/>
      <c r="N214" s="19" t="n"/>
      <c r="O214" s="19" t="inlineStr">
        <is>
          <t>One film: Bhoothnath Returns, a T-Series co-production in which Khan has a cameo.</t>
        </is>
      </c>
      <c r="P214" s="17" t="n">
        <v>1</v>
      </c>
      <c r="Q214" s="5" t="inlineStr">
        <is>
          <t>FILM-080</t>
        </is>
      </c>
      <c r="R214" s="5" t="inlineStr">
        <is>
          <t>Bhoothnath Returns (2014)</t>
        </is>
      </c>
      <c r="S214" s="5" t="inlineStr">
        <is>
          <t>Krishan Kumar Dua is the younger brother of Gulshan Kumar, who founded Super Cassettes Industries (T-Series), and with his nephew Bhushan Kumar he has run the company since Gulshan Kumar's murder in 1997. As an actor he is best known for Bewafa Sanam (1995). He is credited as a producer on Bhoothnath Returns (2014), Nitesh Tiwari's political comedy with Amitabh Bachchan, in which Shah Rukh Khan makes a cameo. The film was profitable.</t>
        </is>
      </c>
      <c r="T214" s="5" t="inlineStr">
        <is>
          <t>SOURCE-270; SOURCE-083</t>
        </is>
      </c>
      <c r="U214" s="5" t="inlineStr">
        <is>
          <t>Medium</t>
        </is>
      </c>
    </row>
    <row r="215" ht="79" customHeight="1">
      <c r="A215" s="15" t="inlineStr">
        <is>
          <t>PERSON-214</t>
        </is>
      </c>
      <c r="B215" s="5" t="inlineStr">
        <is>
          <t>Krishna Vamsi</t>
        </is>
      </c>
      <c r="C215" s="5" t="inlineStr">
        <is>
          <t>Director; Writer</t>
        </is>
      </c>
      <c r="D215" s="17" t="n">
        <v>1962</v>
      </c>
      <c r="E215" s="20" t="n"/>
      <c r="F215" s="5" t="inlineStr">
        <is>
          <t>1995–2023</t>
        </is>
      </c>
      <c r="G215" s="5" t="inlineStr">
        <is>
          <t>Telugu cinema; Hindi cinema</t>
        </is>
      </c>
      <c r="H215" s="5" t="inlineStr">
        <is>
          <t>A Telugu director, screenwriter and producer, born Pasupuleti Venkata Bangarraju, who began as an assistant to Ram Gopal Varma.</t>
        </is>
      </c>
      <c r="I215" s="5" t="inlineStr">
        <is>
          <t>Gulabi (1995).</t>
        </is>
      </c>
      <c r="J215" s="5" t="inlineStr">
        <is>
          <t>With Khan: Shakti: The Power (2002). Wider work: Ninne Pelladata, Sindhooram, Antahpuram, Murari, Khadgam, Chandamama, Rangamarthanda.</t>
        </is>
      </c>
      <c r="K215" s="19" t="inlineStr">
        <is>
          <t>Family melodrama, romance and political action in Telugu.</t>
        </is>
      </c>
      <c r="L215" s="19" t="n"/>
      <c r="M215" s="5" t="inlineStr">
        <is>
          <t>Three National Film Awards, nine Nandi Awards, three Filmfare Awards South.</t>
        </is>
      </c>
      <c r="N215" s="19" t="n"/>
      <c r="O215" s="19" t="inlineStr">
        <is>
          <t>One film: Shakti: The Power, his Hindi remake of his own Antahpuram, which he directed and wrote; Khan has a supporting role. It flopped.</t>
        </is>
      </c>
      <c r="P215" s="17" t="n">
        <v>1</v>
      </c>
      <c r="Q215" s="5" t="inlineStr">
        <is>
          <t>FILM-044</t>
        </is>
      </c>
      <c r="R215" s="5" t="inlineStr">
        <is>
          <t>Shakti: The Power (2002)</t>
        </is>
      </c>
      <c r="S215" s="5" t="inlineStr">
        <is>
          <t>Krishna Vamsi trained under Ram Gopal Varma and debuted with Gulabi (1995). Ninne Pelladata and Sindhooram, both National Award winners in Telugu, followed, and then Antahpuram (1998), a drama about a woman trying to escape a feudal family with her son. His only Hindi film, Shakti: The Power (2002), remade Antahpuram with Karisma Kapoor, Nana Patekar and Shah Rukh Khan in a supporting role as a rough-mannered man who helps the heroine. It was a flop.</t>
        </is>
      </c>
      <c r="T215" s="5" t="inlineStr">
        <is>
          <t>SOURCE-271; SOURCE-047</t>
        </is>
      </c>
      <c r="U215" s="5" t="inlineStr">
        <is>
          <t>Medium</t>
        </is>
      </c>
    </row>
    <row r="216" ht="49" customHeight="1">
      <c r="A216" s="15" t="inlineStr">
        <is>
          <t>PERSON-215</t>
        </is>
      </c>
      <c r="B216" s="5" t="inlineStr">
        <is>
          <t>Kumar S. Taurani</t>
        </is>
      </c>
      <c r="C216" s="5" t="inlineStr">
        <is>
          <t>Producer</t>
        </is>
      </c>
      <c r="D216" s="20" t="n"/>
      <c r="E216" s="20" t="n"/>
      <c r="F216" s="5" t="n"/>
      <c r="G216" s="5" t="inlineStr">
        <is>
          <t>Hindi cinema</t>
        </is>
      </c>
      <c r="H216" s="5" t="inlineStr">
        <is>
          <t>A producer credited on one film in this filmography, with no Wikipedia article of their own.</t>
        </is>
      </c>
      <c r="I216" s="5" t="n"/>
      <c r="J216" s="5" t="inlineStr">
        <is>
          <t>With Khan: Kismat Konnection (2008).</t>
        </is>
      </c>
      <c r="K216" s="19" t="n"/>
      <c r="L216" s="19" t="n"/>
      <c r="M216" s="5" t="n"/>
      <c r="N216" s="19" t="n"/>
      <c r="O216" s="19" t="inlineStr">
        <is>
          <t>One film with Khan, credited as producer: Kismat Konnection (2008), directed by Aziz Mirza, with Khan in the narration.</t>
        </is>
      </c>
      <c r="P216" s="17" t="n">
        <v>1</v>
      </c>
      <c r="Q216" s="5" t="inlineStr">
        <is>
          <t>FILM-066</t>
        </is>
      </c>
      <c r="R216" s="5" t="inlineStr">
        <is>
          <t>Kismat Konnection (2008)</t>
        </is>
      </c>
      <c r="S216" s="5" t="inlineStr">
        <is>
          <t>Kumar S. Taurani is credited as producer on Kismat Konnection (2008). No Wikipedia article or other independent biography was located; this row is built from the film credit alone.</t>
        </is>
      </c>
      <c r="T216" s="5" t="inlineStr">
        <is>
          <t>SOURCE-069</t>
        </is>
      </c>
      <c r="U216" s="5" t="inlineStr">
        <is>
          <t>Low</t>
        </is>
      </c>
    </row>
    <row r="217" ht="139" customHeight="1">
      <c r="A217" s="15" t="inlineStr">
        <is>
          <t>PERSON-216</t>
        </is>
      </c>
      <c r="B217" s="5" t="inlineStr">
        <is>
          <t>Kundan Shah</t>
        </is>
      </c>
      <c r="C217" s="5" t="inlineStr">
        <is>
          <t>Director; screenwriter</t>
        </is>
      </c>
      <c r="D217" s="17" t="n">
        <v>1947</v>
      </c>
      <c r="E217" s="17" t="n">
        <v>2017</v>
      </c>
      <c r="F217" s="5" t="inlineStr">
        <is>
          <t>1983–2014</t>
        </is>
      </c>
      <c r="G217" s="5" t="inlineStr">
        <is>
          <t>Hindi</t>
        </is>
      </c>
      <c r="H217" s="5" t="inlineStr">
        <is>
          <t>Co-founded the production company Iskra with Saeed and Aziz Mirza in 1985 and made the television series Nukkad (1986–1987) with Saeed Akhtar Mirza.</t>
        </is>
      </c>
      <c r="I217" s="5" t="inlineStr">
        <is>
          <t>Jaane Bhi Do Yaaro (1983)</t>
        </is>
      </c>
      <c r="J217" s="5" t="inlineStr">
        <is>
          <t>Jaane Bhi Do Yaaro (1983); Nukkad (TV, 1986–1987); Kabhi Haan Kabhi Naa (1994)</t>
        </is>
      </c>
      <c r="K217" s="19" t="inlineStr">
        <is>
          <t>Satire and subtle, circumstantial humour about ordinary people.</t>
        </is>
      </c>
      <c r="L217" s="19" t="inlineStr">
        <is>
          <t>Gentle comedy that subverts formula, as in making the losing lover the hero of Kabhi Haan Kabhi Naa.</t>
        </is>
      </c>
      <c r="M217" s="5" t="inlineStr">
        <is>
          <t>National Film Award – Indira Gandhi Award for Best Debut Film of a Director (Jaane Bhi Do Yaaro); Filmfare Award for Best Film (Critics) (Kabhi Haan Kabhi Naa)</t>
        </is>
      </c>
      <c r="N217" s="19" t="inlineStr">
        <is>
          <t>Jaane Bhi Do Yaaro is regarded as a comedy classic.</t>
        </is>
      </c>
      <c r="O217" s="19" t="inlineStr">
        <is>
          <t>Directed Kabhi Haan Kabhi Naa, which Khan has called his favourite film and which won him the Filmfare Best Actor (Critics) award.</t>
        </is>
      </c>
      <c r="P217" s="17" t="n">
        <v>1</v>
      </c>
      <c r="Q217" s="5" t="inlineStr">
        <is>
          <t>FILM-010</t>
        </is>
      </c>
      <c r="R217" s="5" t="inlineStr">
        <is>
          <t>Kabhi Haan Kabhi Naa (1994)</t>
        </is>
      </c>
      <c r="S217" s="5" t="inlineStr">
        <is>
          <t>Kundan Shah (19 October 1947 – 7 October 2017) was a director and writer best known for the comedy classic Jaane Bhi Do Yaaro (1983), which won the National Film Award for Best Debut Film of a Director, and for the television series Nukkad (1986–1987), made with Saeed Akhtar Mirza. With Saeed and Aziz Mirza he co-founded the production company Iskra in 1985. Shah directed Shah Rukh Khan in Kabhi Haan Kabhi Naa (1994), a coming-of-age comedy in which Khan plays Sunil, a happy-go-lucky musician who schemes to win his bandmate Anna and finally helps her marry the man she loves. The film won Shah the Filmfare Award for Best Film (Critics) and Khan the award for Best Actor (Critics). It is widely considered one of Khan's best performances, and Khan has said it is his favourite film. A retrospective in The Indian Express noted that a conventional version would have made Sunil the villain of Chris and Anna's love story, whereas Shah made him the hero.</t>
        </is>
      </c>
      <c r="T217" s="5" t="inlineStr">
        <is>
          <t>SOURCE-130; SOURCE-013</t>
        </is>
      </c>
      <c r="U217" s="5" t="inlineStr">
        <is>
          <t>Medium</t>
        </is>
      </c>
    </row>
    <row r="218" ht="49" customHeight="1">
      <c r="A218" s="15" t="inlineStr">
        <is>
          <t>PERSON-217</t>
        </is>
      </c>
      <c r="B218" s="5" t="inlineStr">
        <is>
          <t>Lalit Kapoor</t>
        </is>
      </c>
      <c r="C218" s="5" t="inlineStr">
        <is>
          <t>Producer</t>
        </is>
      </c>
      <c r="D218" s="20" t="n"/>
      <c r="E218" s="20" t="n"/>
      <c r="F218" s="5" t="n"/>
      <c r="G218" s="5" t="inlineStr">
        <is>
          <t>Hindi cinema</t>
        </is>
      </c>
      <c r="H218" s="5" t="inlineStr">
        <is>
          <t>A producer credited on one film in this filmography, with no Wikipedia article of their own.</t>
        </is>
      </c>
      <c r="I218" s="5" t="n"/>
      <c r="J218" s="5" t="inlineStr">
        <is>
          <t>With Khan: Deewana (1992).</t>
        </is>
      </c>
      <c r="K218" s="19" t="n"/>
      <c r="L218" s="19" t="n"/>
      <c r="M218" s="5" t="n"/>
      <c r="N218" s="19" t="n"/>
      <c r="O218" s="19" t="inlineStr">
        <is>
          <t>One film with Khan, credited as producer: Deewana (1992), directed by Raj Kanwar, with Khan in a co-lead as Raja Sahai.</t>
        </is>
      </c>
      <c r="P218" s="17" t="n">
        <v>1</v>
      </c>
      <c r="Q218" s="5" t="inlineStr">
        <is>
          <t>FILM-001</t>
        </is>
      </c>
      <c r="R218" s="5" t="inlineStr">
        <is>
          <t>Deewana (1992)</t>
        </is>
      </c>
      <c r="S218" s="5" t="inlineStr">
        <is>
          <t>Lalit Kapoor is credited as producer on Deewana (1992). No Wikipedia article or other independent biography was located; this row is built from the film credit alone.</t>
        </is>
      </c>
      <c r="T218" s="5" t="inlineStr">
        <is>
          <t>SOURCE-004</t>
        </is>
      </c>
      <c r="U218" s="5" t="inlineStr">
        <is>
          <t>Low</t>
        </is>
      </c>
    </row>
    <row r="219" ht="94" customHeight="1">
      <c r="A219" s="15" t="inlineStr">
        <is>
          <t>PERSON-218</t>
        </is>
      </c>
      <c r="B219" s="5" t="inlineStr">
        <is>
          <t>Lalit Pandit</t>
        </is>
      </c>
      <c r="C219" s="5" t="inlineStr">
        <is>
          <t>Song composer; Background-score composer</t>
        </is>
      </c>
      <c r="D219" s="20" t="n"/>
      <c r="E219" s="20" t="n"/>
      <c r="F219" s="5" t="n"/>
      <c r="G219" s="5" t="inlineStr">
        <is>
          <t>Hindi cinema</t>
        </is>
      </c>
      <c r="H219" s="5" t="inlineStr">
        <is>
          <t>One half of the brothers' duo Jatin–Lalit, nephews of Pandit Jasraj, who were taught by their father Pratap Narayan and by Pyarelal; since 2006 he has worked independently. He has no article of his own; this profile uses the Jatin–Lalit article.</t>
        </is>
      </c>
      <c r="I219" s="5" t="n"/>
      <c r="J219" s="5" t="inlineStr">
        <is>
          <t>With Khan: Dulha Mil Gaya (2010), solo. As Jatin–Lalit with Khan: Kabhi Haan Kabhi Naa, Dilwale Dulhania Le Jayenge, Yes Boss, Kuch Kuch Hota Hai, Mohabbatein, Kabhi Khushi Kabhie Gham.</t>
        </is>
      </c>
      <c r="K219" s="19" t="inlineStr">
        <is>
          <t>Melodic romantic soundtracks.</t>
        </is>
      </c>
      <c r="L219" s="19" t="n"/>
      <c r="M219" s="5" t="n"/>
      <c r="N219" s="19" t="inlineStr">
        <is>
          <t>As Jatin–Lalit, one of the defining composer teams of 1990s Hindi romance.</t>
        </is>
      </c>
      <c r="O219" s="19" t="inlineStr">
        <is>
          <t>One solo credit: Dulha Mil Gaya, for which he wrote songs and score; Khan has an extended special appearance. Jatin–Lalit appear separately in this roster for their joint work with Khan.</t>
        </is>
      </c>
      <c r="P219" s="17" t="n">
        <v>1</v>
      </c>
      <c r="Q219" s="5" t="inlineStr">
        <is>
          <t>FILM-070</t>
        </is>
      </c>
      <c r="R219" s="5" t="inlineStr">
        <is>
          <t>Dulha Mil Gaya (2010)</t>
        </is>
      </c>
      <c r="S219" s="5" t="inlineStr">
        <is>
          <t>Lalit Pandit and his brother Jatin, as Jatin–Lalit, wrote some of the best-known Hindi film music of the 1990s and early 2000s, including the soundtracks of Kabhi Haan Kabhi Naa, Dilwale Dulhania Le Jayenge, Kuch Kuch Hota Hai and Kabhi Khushi Kabhie Gham, all starring Shah Rukh Khan. They come from a musical family from Haryana; Pandit Jasraj was their uncle and the actresses Sulakshana and Vijayta Pandit are their sisters. After the duo stopped working together in 2006, Lalit composed alone, including songs and score for Dulha Mil Gaya (2010), a flop in which Khan has an extended special appearance.</t>
        </is>
      </c>
      <c r="T219" s="5" t="inlineStr">
        <is>
          <t>SOURCE-118; SOURCE-073</t>
        </is>
      </c>
      <c r="U219" s="5" t="inlineStr">
        <is>
          <t>Medium</t>
        </is>
      </c>
    </row>
    <row r="220" ht="79" customHeight="1">
      <c r="A220" s="15" t="inlineStr">
        <is>
          <t>PERSON-219</t>
        </is>
      </c>
      <c r="B220" s="5" t="inlineStr">
        <is>
          <t>Laxmikant–Pyarelal</t>
        </is>
      </c>
      <c r="C220" s="5" t="inlineStr">
        <is>
          <t>Song composer (composing duo)</t>
        </is>
      </c>
      <c r="D220" s="20" t="n"/>
      <c r="E220" s="20" t="n"/>
      <c r="F220" s="5" t="inlineStr">
        <is>
          <t>1963–1998</t>
        </is>
      </c>
      <c r="G220" s="5" t="inlineStr">
        <is>
          <t>Hindi cinema</t>
        </is>
      </c>
      <c r="H220" s="5" t="inlineStr">
        <is>
          <t>An Indian composing duo of Laxmikant Shantaram Kudalkar (1937–1998) and Pyarelal Ramprasad Sharma (born 1940), known as L-P, who composed for about 750 films between 1963 and 1998.</t>
        </is>
      </c>
      <c r="I220" s="5" t="inlineStr">
        <is>
          <t>Parasmani (1963).</t>
        </is>
      </c>
      <c r="J220" s="5" t="inlineStr">
        <is>
          <t>With Khan: Trimurti (1995). Wider work: Dosti, Bobby, Amar Akbar Anthony, Karz, Hero, Ram Lakhan, Khalnayak.</t>
        </is>
      </c>
      <c r="K220" s="19" t="inlineStr">
        <is>
          <t>Mainstream melody across every commercial genre.</t>
        </is>
      </c>
      <c r="L220" s="19" t="n"/>
      <c r="M220" s="5" t="n"/>
      <c r="N220" s="19" t="inlineStr">
        <is>
          <t>The most prolific composing unit in Hindi film history.</t>
        </is>
      </c>
      <c r="O220" s="19" t="inlineStr">
        <is>
          <t>One late credit: the songs of Trimurti, one of the last films they scored before Laxmikant's death in 1998.</t>
        </is>
      </c>
      <c r="P220" s="17" t="n">
        <v>1</v>
      </c>
      <c r="Q220" s="5" t="inlineStr">
        <is>
          <t>FILM-018</t>
        </is>
      </c>
      <c r="R220" s="5" t="inlineStr">
        <is>
          <t>Trimurti (1995)</t>
        </is>
      </c>
      <c r="S220" s="5" t="inlineStr">
        <is>
          <t>Laxmikant–Pyarelal were the dominant composers of mainstream Hindi cinema from the mid-1960s to the late 1980s, scoring around 750 films for nearly every major banner. Laxmikant, who grew up poor and learned the mandolin as a boy, and Pyarelal, a violinist, began together on Parasmani (1963). Their association with Shah Rukh Khan is limited to Trimurti (1995), produced by Subhash Ghai, for whom they scored Hero, Ram Lakhan and Khalnayak. Laxmikant died in 1998.</t>
        </is>
      </c>
      <c r="T220" s="5" t="inlineStr">
        <is>
          <t>SOURCE-272; SOURCE-021</t>
        </is>
      </c>
      <c r="U220" s="5" t="inlineStr">
        <is>
          <t>Medium</t>
        </is>
      </c>
    </row>
    <row r="221" ht="79" customHeight="1">
      <c r="A221" s="15" t="inlineStr">
        <is>
          <t>PERSON-220</t>
        </is>
      </c>
      <c r="B221" s="5" t="inlineStr">
        <is>
          <t>Louis Banks</t>
        </is>
      </c>
      <c r="C221" s="5" t="inlineStr">
        <is>
          <t>Background-score composer</t>
        </is>
      </c>
      <c r="D221" s="17" t="n">
        <v>1941</v>
      </c>
      <c r="E221" s="20" t="n"/>
      <c r="F221" s="5" t="inlineStr">
        <is>
          <t>1982–present</t>
        </is>
      </c>
      <c r="G221" s="5" t="inlineStr">
        <is>
          <t>Indian jazz; Hindi cinema</t>
        </is>
      </c>
      <c r="H221" s="5" t="inlineStr">
        <is>
          <t>A composer, keyboardist, record producer and singer born in Calcutta to Nepali parents and raised in Darjeeling, often called the 'Godfather of Indian jazz'; his great-grandfather composed the former Nepalese national anthem.</t>
        </is>
      </c>
      <c r="I221" s="5" t="n"/>
      <c r="J221" s="5" t="inlineStr">
        <is>
          <t>With Khan: Duplicate (1998). Wider work: jazz fusion recordings; advertising jingles; film scores.</t>
        </is>
      </c>
      <c r="K221" s="19" t="inlineStr">
        <is>
          <t>Jazz and fusion.</t>
        </is>
      </c>
      <c r="L221" s="19" t="n"/>
      <c r="M221" s="5" t="n"/>
      <c r="N221" s="19" t="n"/>
      <c r="O221" s="19" t="inlineStr">
        <is>
          <t>One film: Mahesh Bhatt's Duplicate, for which he wrote the background score; Khan plays a double role. The film failed.</t>
        </is>
      </c>
      <c r="P221" s="17" t="n">
        <v>1</v>
      </c>
      <c r="Q221" s="5" t="inlineStr">
        <is>
          <t>FILM-028</t>
        </is>
      </c>
      <c r="R221" s="5" t="inlineStr">
        <is>
          <t>Duplicate (1998)</t>
        </is>
      </c>
      <c r="S221" s="5" t="inlineStr">
        <is>
          <t>Louis Banks was born Dambar Bahadur Budaprithi; his father, a trumpeter who played in a European band in Calcutta as George Banks, renamed him after Louis Armstrong when he took up guitar and trumpet at thirteen. He became the leading figure of Indian jazz and a prolific composer for advertising and film. For Shah Rukh Khan he wrote the background score of Duplicate (1998), Mahesh Bhatt's comedy in which Khan plays both a timid chef and a lookalike gangster. The film was a commercial failure.</t>
        </is>
      </c>
      <c r="T221" s="5" t="inlineStr">
        <is>
          <t>SOURCE-273; SOURCE-031</t>
        </is>
      </c>
      <c r="U221" s="5" t="inlineStr">
        <is>
          <t>Medium</t>
        </is>
      </c>
    </row>
    <row r="222" ht="94" customHeight="1">
      <c r="A222" s="15" t="inlineStr">
        <is>
          <t>PERSON-221</t>
        </is>
      </c>
      <c r="B222" s="5" t="inlineStr">
        <is>
          <t>M. F. Husain</t>
        </is>
      </c>
      <c r="C222" s="5" t="inlineStr">
        <is>
          <t>Director; Writer; painter</t>
        </is>
      </c>
      <c r="D222" s="17" t="n">
        <v>1915</v>
      </c>
      <c r="E222" s="17" t="n">
        <v>2011</v>
      </c>
      <c r="F222" s="5" t="n"/>
      <c r="G222" s="5" t="inlineStr">
        <is>
          <t>Hindi cinema</t>
        </is>
      </c>
      <c r="H222" s="5" t="inlineStr">
        <is>
          <t>A painter of narrative works in a modified Cubist style, a founding member of the Bombay Progressive Artists' Group, whose later nude depictions of Hindu deities and Bharat Mata led to lawsuits and self-exile.</t>
        </is>
      </c>
      <c r="I222" s="5" t="inlineStr">
        <is>
          <t>As filmmaker, the documentary Through the Eyes of a Painter (1967).</t>
        </is>
      </c>
      <c r="J222" s="5" t="inlineStr">
        <is>
          <t>With Khan: Gaja Gamini (2000). Wider work: the paintings Voices and series on Gandhi, Mother Teresa, the Ramayana and the Mahabharata; the film Meenaxi: A Tale of Three Cities.</t>
        </is>
      </c>
      <c r="K222" s="19" t="inlineStr">
        <is>
          <t>Indian myth, modern history and the female muse.</t>
        </is>
      </c>
      <c r="L222" s="19" t="n"/>
      <c r="M222" s="5" t="n"/>
      <c r="N222" s="19" t="inlineStr">
        <is>
          <t>One of the central figures of Indian modernist painting.</t>
        </is>
      </c>
      <c r="O222" s="19" t="inlineStr">
        <is>
          <t>One film: Gaja Gamini, his first Hindi feature, which he wrote and directed as a tribute to Madhuri Dixit; Khan appears as himself. It failed commercially.</t>
        </is>
      </c>
      <c r="P222" s="17" t="n">
        <v>1</v>
      </c>
      <c r="Q222" s="5" t="inlineStr">
        <is>
          <t>FILM-038</t>
        </is>
      </c>
      <c r="R222" s="5" t="inlineStr">
        <is>
          <t>Gaja Gamini (2000)</t>
        </is>
      </c>
      <c r="S222" s="5" t="inlineStr">
        <is>
          <t>M. F. Husain was the best-known Indian painter of the twentieth century, a founder of the Bombay Progressive Artists' Group whose Cubist-influenced narrative canvases took on Gandhi, the epics and modern Indian life. His painting Voices sold for $2.5 million in 2020. He wrote and directed Gaja Gamini (2000), a film structured as a meditation on a single woman across centuries, played by Madhuri Dixit, his muse; Shah Rukh Khan makes a self appearance. The film failed commercially. Husain left India after legal cases over his later work and died in London on 9 June 2011.</t>
        </is>
      </c>
      <c r="T222" s="5" t="inlineStr">
        <is>
          <t>SOURCE-274; SOURCE-041</t>
        </is>
      </c>
      <c r="U222" s="5" t="inlineStr">
        <is>
          <t>Medium</t>
        </is>
      </c>
    </row>
    <row r="223" ht="64" customHeight="1">
      <c r="A223" s="15" t="inlineStr">
        <is>
          <t>PERSON-222</t>
        </is>
      </c>
      <c r="B223" s="5" t="inlineStr">
        <is>
          <t>M. G. Sathya</t>
        </is>
      </c>
      <c r="C223" s="5" t="inlineStr">
        <is>
          <t>Writer</t>
        </is>
      </c>
      <c r="D223" s="20" t="n"/>
      <c r="E223" s="20" t="n"/>
      <c r="F223" s="5" t="n"/>
      <c r="G223" s="5" t="inlineStr">
        <is>
          <t>Hindi cinema</t>
        </is>
      </c>
      <c r="H223" s="5" t="inlineStr">
        <is>
          <t>A writer credited on one film in this filmography, with no Wikipedia article of their own.</t>
        </is>
      </c>
      <c r="I223" s="5" t="n"/>
      <c r="J223" s="5" t="inlineStr">
        <is>
          <t>With Khan: Swades (2004).</t>
        </is>
      </c>
      <c r="K223" s="19" t="n"/>
      <c r="L223" s="19" t="n"/>
      <c r="M223" s="5" t="n"/>
      <c r="N223" s="19" t="n"/>
      <c r="O223" s="19" t="inlineStr">
        <is>
          <t>One film with Khan, credited as writer: Swades (2004), directed by Ashutosh Gowariker, with Khan in the lead as Mohan Bhargav; verdict: Commercial failure.</t>
        </is>
      </c>
      <c r="P223" s="17" t="n">
        <v>1</v>
      </c>
      <c r="Q223" s="5" t="inlineStr">
        <is>
          <t>FILM-051</t>
        </is>
      </c>
      <c r="R223" s="5" t="inlineStr">
        <is>
          <t>Swades (2004)</t>
        </is>
      </c>
      <c r="S223" s="5" t="inlineStr">
        <is>
          <t>M. G. Sathya is credited as writer on Swades (2004). No Wikipedia article or other independent biography was located; this row is built from the film credit alone.</t>
        </is>
      </c>
      <c r="T223" s="5" t="inlineStr">
        <is>
          <t>SOURCE-054</t>
        </is>
      </c>
      <c r="U223" s="5" t="inlineStr">
        <is>
          <t>Low</t>
        </is>
      </c>
    </row>
    <row r="224" ht="94" customHeight="1">
      <c r="A224" s="15" t="inlineStr">
        <is>
          <t>PERSON-223</t>
        </is>
      </c>
      <c r="B224" s="5" t="inlineStr">
        <is>
          <t>M. M. Kreem</t>
        </is>
      </c>
      <c r="C224" s="5" t="inlineStr">
        <is>
          <t>Song composer</t>
        </is>
      </c>
      <c r="D224" s="17" t="n">
        <v>1961</v>
      </c>
      <c r="E224" s="20" t="n"/>
      <c r="F224" s="5" t="inlineStr">
        <is>
          <t>1990–present</t>
        </is>
      </c>
      <c r="G224" s="5" t="inlineStr">
        <is>
          <t>Telugu cinema; Hindi cinema</t>
        </is>
      </c>
      <c r="H224" s="5" t="inlineStr">
        <is>
          <t>A composer, singer and lyricist known as M. M. Keeravani in Telugu cinema and credited as M. M. Kreem in Hindi films.</t>
        </is>
      </c>
      <c r="I224" s="5" t="inlineStr">
        <is>
          <t>Telugu films from 1990; breakthrough with Kshana Kshanam (1991).</t>
        </is>
      </c>
      <c r="J224" s="5" t="inlineStr">
        <is>
          <t>With Khan: Paheli (2005). Wider work: Annamayya, Zakhm, Jism, Magadheera, Eega, Baahubali, RRR.</t>
        </is>
      </c>
      <c r="K224" s="19" t="inlineStr">
        <is>
          <t>Melody-led scores ranging from devotional music to epic action.</t>
        </is>
      </c>
      <c r="L224" s="19" t="n"/>
      <c r="M224" s="5" t="inlineStr">
        <is>
          <t>Academy Award and Golden Globe for 'Naatu Naatu' (RRR); two National Film Awards; eight Filmfare Awards; Padma Shri (2023).</t>
        </is>
      </c>
      <c r="N224" s="19" t="n"/>
      <c r="O224" s="19" t="inlineStr">
        <is>
          <t>One film: Amol Palekar's Paheli, for which he composed the songs; Khan plays a merchant and the ghost who takes his form. India submitted the film to the Academy Awards.</t>
        </is>
      </c>
      <c r="P224" s="17" t="n">
        <v>1</v>
      </c>
      <c r="Q224" s="5" t="inlineStr">
        <is>
          <t>FILM-055</t>
        </is>
      </c>
      <c r="R224" s="5" t="inlineStr">
        <is>
          <t>Paheli (2005)</t>
        </is>
      </c>
      <c r="S224" s="5" t="inlineStr">
        <is>
          <t>M. M. Keeravani has composed mainly for Telugu cinema since 1990, from Kshana Kshanam and Annamayya to the Baahubali films and RRR, whose song 'Naatu Naatu' won the Academy Award and the Golden Globe. In Hindi, where he is credited as M. M. Kreem, his work includes Zakhm, Jism and Paheli (2005), Amol Palekar's Rajasthani folk tale produced by Red Chillies, in which Shah Rukh Khan plays both a neglectful merchant and the ghost who falls in love with his bride. Paheli was average in India, a hit overseas, and India's submission to the Academy Awards.</t>
        </is>
      </c>
      <c r="T224" s="5" t="inlineStr">
        <is>
          <t>SOURCE-275; SOURCE-058</t>
        </is>
      </c>
      <c r="U224" s="5" t="inlineStr">
        <is>
          <t>Medium</t>
        </is>
      </c>
    </row>
    <row r="225" ht="94" customHeight="1">
      <c r="A225" s="15" t="inlineStr">
        <is>
          <t>PERSON-224</t>
        </is>
      </c>
      <c r="B225" s="5" t="inlineStr">
        <is>
          <t>Madan Mohan</t>
        </is>
      </c>
      <c r="C225" s="5" t="inlineStr">
        <is>
          <t>Song composer (posthumous)</t>
        </is>
      </c>
      <c r="D225" s="17" t="n">
        <v>1924</v>
      </c>
      <c r="E225" s="17" t="n">
        <v>1975</v>
      </c>
      <c r="F225" s="5" t="inlineStr">
        <is>
          <t>1950–1975</t>
        </is>
      </c>
      <c r="G225" s="5" t="inlineStr">
        <is>
          <t>Hindi cinema</t>
        </is>
      </c>
      <c r="H225" s="5" t="inlineStr">
        <is>
          <t>A Hindi-film composer of the 1950s–1970s, born in Baghdad and raised in Chakwal and Lahore, remembered above all for his film ghazals with Lata Mangeshkar, Mohammed Rafi and Talat Mahmood.</t>
        </is>
      </c>
      <c r="I225" s="5" t="n"/>
      <c r="J225" s="5" t="inlineStr">
        <is>
          <t>With Khan: Veer-Zaara (2004), posthumous. Wider work: Adalat, Anpadh, Woh Kaun Thi?, Haqeeqat, Dastak, Heer Raanjha.</t>
        </is>
      </c>
      <c r="K225" s="19" t="inlineStr">
        <is>
          <t>Ghazal-based film songs.</t>
        </is>
      </c>
      <c r="L225" s="19" t="n"/>
      <c r="M225" s="5" t="n"/>
      <c r="N225" s="19" t="inlineStr">
        <is>
          <t>Regarded as one of the most melodious and technically accomplished Hindi film composers.</t>
        </is>
      </c>
      <c r="O225" s="19" t="inlineStr">
        <is>
          <t>Credited posthumously on Yash Chopra's Veer-Zaara: the soundtrack was built from his unused tunes, revised by his son Sanjeev Kohli. Khan plays an Indian Air Force pilot who falls for a Pakistani woman; the film was a commercial success.</t>
        </is>
      </c>
      <c r="P225" s="17" t="n">
        <v>1</v>
      </c>
      <c r="Q225" s="5" t="inlineStr">
        <is>
          <t>FILM-050</t>
        </is>
      </c>
      <c r="R225" s="5" t="inlineStr">
        <is>
          <t>Veer-Zaara (2004)</t>
        </is>
      </c>
      <c r="S225" s="5" t="inlineStr">
        <is>
          <t>Madan Mohan Kohli was born in Baghdad, where his father worked for the Iraqi police, and grew up in Chakwal and Lahore before going to Bombay. He became known for the ghazals he wrote for films such as Adalat, Anpadh and Woh Kaun Thi?, mostly for Lata Mangeshkar, and died in 1975. Nearly three decades later Yash Chopra used his unused compositions, revised by his son Sanjeev Kohli, as the soundtrack of Veer-Zaara (2004), the cross-border romance starring Shah Rukh Khan and Preity Zinta. The credits say 'original compositions'.</t>
        </is>
      </c>
      <c r="T225" s="5" t="inlineStr">
        <is>
          <t>SOURCE-276; SOURCE-053</t>
        </is>
      </c>
      <c r="U225" s="5" t="inlineStr">
        <is>
          <t>Medium</t>
        </is>
      </c>
    </row>
    <row r="226" ht="94" customHeight="1">
      <c r="A226" s="15" t="inlineStr">
        <is>
          <t>PERSON-225</t>
        </is>
      </c>
      <c r="B226" s="5" t="inlineStr">
        <is>
          <t>Madras Talkies</t>
        </is>
      </c>
      <c r="C226" s="5" t="inlineStr">
        <is>
          <t>Production banner</t>
        </is>
      </c>
      <c r="D226" s="20" t="n"/>
      <c r="E226" s="20" t="n"/>
      <c r="F226" s="5" t="n"/>
      <c r="G226" s="5" t="inlineStr">
        <is>
          <t>Tamil cinema; Hindi cinema</t>
        </is>
      </c>
      <c r="H226" s="5" t="inlineStr">
        <is>
          <t>A production company founded in 1995 by the director Mani Ratnam and his brother G. Srinivasan; it has produced fifteen feature films and six television serials.</t>
        </is>
      </c>
      <c r="I226" s="5" t="inlineStr">
        <is>
          <t>Iruvar (1997).</t>
        </is>
      </c>
      <c r="J226" s="5" t="inlineStr">
        <is>
          <t>With Khan: Dil Se.. (1998). Wider work: Iruvar, Alaipayuthey, Kannathil Muthamittal, Yuva, Guru, Raavanan, Ponniyin Selvan.</t>
        </is>
      </c>
      <c r="K226" s="19" t="inlineStr">
        <is>
          <t>Mani Ratnam's own political romances and dramas.</t>
        </is>
      </c>
      <c r="L226" s="19" t="n"/>
      <c r="M226" s="5" t="n"/>
      <c r="N226" s="19" t="n"/>
      <c r="O226" s="19" t="inlineStr">
        <is>
          <t>One film: Mani Ratnam's Dil Se.., co-produced with Varma Corporation, in which Khan plays a radio journalist drawn to a woman who turns out to be a suicide bomber. It was average in India and a major success overseas.</t>
        </is>
      </c>
      <c r="P226" s="17" t="n">
        <v>1</v>
      </c>
      <c r="Q226" s="5" t="inlineStr">
        <is>
          <t>FILM-030</t>
        </is>
      </c>
      <c r="R226" s="5" t="inlineStr">
        <is>
          <t>Dil Se.. (1998)</t>
        </is>
      </c>
      <c r="S226" s="5" t="inlineStr">
        <is>
          <t>Madras Talkies is the company Mani Ratnam set up with his brother G. Srinivasan in 1995, after earlier producing with Aalayam Productions; its first film was Iruvar (1997). It co-produced Dil Se.. (1998), the last part of Ratnam's trilogy on politics and love after Roja and Bombay, in which Shah Rukh Khan plays Amarkant, a radio reporter who becomes obsessed with a mysterious woman from Assam (Manisha Koirala). Its 'Chaiyya Chaiyya' sequence on top of a moving train became one of the most famous song sequences in Hindi film.</t>
        </is>
      </c>
      <c r="T226" s="5" t="inlineStr">
        <is>
          <t>SOURCE-277; SOURCE-033</t>
        </is>
      </c>
      <c r="U226" s="5" t="inlineStr">
        <is>
          <t>Medium</t>
        </is>
      </c>
    </row>
    <row r="227" ht="79" customHeight="1">
      <c r="A227" s="15" t="inlineStr">
        <is>
          <t>PERSON-226</t>
        </is>
      </c>
      <c r="B227" s="5" t="inlineStr">
        <is>
          <t>Magic Wand Films</t>
        </is>
      </c>
      <c r="C227" s="5" t="inlineStr">
        <is>
          <t>Production banner</t>
        </is>
      </c>
      <c r="D227" s="20" t="n"/>
      <c r="E227" s="20" t="n"/>
      <c r="F227" s="5" t="n"/>
      <c r="G227" s="5" t="inlineStr">
        <is>
          <t>Hindi cinema</t>
        </is>
      </c>
      <c r="H227" s="5" t="inlineStr">
        <is>
          <t>A production banner credited on one film in this filmography, with no Wikipedia article of its own.</t>
        </is>
      </c>
      <c r="I227" s="5" t="n"/>
      <c r="J227" s="5" t="inlineStr">
        <is>
          <t>With Khan: Brahmāstra: Part One – Shiva (2022).</t>
        </is>
      </c>
      <c r="K227" s="19" t="n"/>
      <c r="L227" s="19" t="n"/>
      <c r="M227" s="5" t="n"/>
      <c r="N227" s="19" t="n"/>
      <c r="O227" s="19" t="inlineStr">
        <is>
          <t>One film with Khan, credited as production banner: Brahmāstra: Part One – Shiva (2022), directed by Ayan Mukerji, with Khan in an extended special appearance as Mohan Bhargav; verdict: Hit (Box Office India).</t>
        </is>
      </c>
      <c r="P227" s="17" t="n">
        <v>1</v>
      </c>
      <c r="Q227" s="5" t="inlineStr">
        <is>
          <t>FILM-093</t>
        </is>
      </c>
      <c r="R227" s="5" t="inlineStr">
        <is>
          <t>Brahmāstra: Part One – Shiva (2022)</t>
        </is>
      </c>
      <c r="S227" s="5" t="inlineStr">
        <is>
          <t>Magic Wand Films is credited as production banner on Brahmāstra: Part One – Shiva (2022). No Wikipedia article or other independent biography was located for the company; this row is built from the film credit alone.</t>
        </is>
      </c>
      <c r="T227" s="5" t="inlineStr">
        <is>
          <t>SOURCE-096</t>
        </is>
      </c>
      <c r="U227" s="5" t="inlineStr">
        <is>
          <t>Low</t>
        </is>
      </c>
    </row>
    <row r="228" ht="64" customHeight="1">
      <c r="A228" s="15" t="inlineStr">
        <is>
          <t>PERSON-227</t>
        </is>
      </c>
      <c r="B228" s="5" t="inlineStr">
        <is>
          <t>Maharukh Johki</t>
        </is>
      </c>
      <c r="C228" s="5" t="inlineStr">
        <is>
          <t>Producer</t>
        </is>
      </c>
      <c r="D228" s="20" t="n"/>
      <c r="E228" s="20" t="n"/>
      <c r="F228" s="5" t="n"/>
      <c r="G228" s="5" t="inlineStr">
        <is>
          <t>Hindi cinema</t>
        </is>
      </c>
      <c r="H228" s="5" t="inlineStr">
        <is>
          <t>A producer credited on one film in this filmography, with no Wikipedia article of their own.</t>
        </is>
      </c>
      <c r="I228" s="5" t="n"/>
      <c r="J228" s="5" t="inlineStr">
        <is>
          <t>With Khan: Anjaam (1994).</t>
        </is>
      </c>
      <c r="K228" s="19" t="n"/>
      <c r="L228" s="19" t="n"/>
      <c r="M228" s="5" t="n"/>
      <c r="N228" s="19" t="n"/>
      <c r="O228" s="19" t="inlineStr">
        <is>
          <t>One film with Khan, credited as producer: Anjaam (1994), directed by Rahul Rawail, with Khan in the antagonist as Vijay Agnihotri.</t>
        </is>
      </c>
      <c r="P228" s="17" t="n">
        <v>1</v>
      </c>
      <c r="Q228" s="5" t="inlineStr">
        <is>
          <t>FILM-011</t>
        </is>
      </c>
      <c r="R228" s="5" t="inlineStr">
        <is>
          <t>Anjaam (1994)</t>
        </is>
      </c>
      <c r="S228" s="5" t="inlineStr">
        <is>
          <t>Maharukh Johki is credited as producer on Anjaam (1994). No Wikipedia article or other independent biography was located; this row is built from the film credit alone.</t>
        </is>
      </c>
      <c r="T228" s="5" t="inlineStr">
        <is>
          <t>SOURCE-014</t>
        </is>
      </c>
      <c r="U228" s="5" t="inlineStr">
        <is>
          <t>Low</t>
        </is>
      </c>
    </row>
    <row r="229" ht="79" customHeight="1">
      <c r="A229" s="15" t="inlineStr">
        <is>
          <t>PERSON-228</t>
        </is>
      </c>
      <c r="B229" s="5" t="inlineStr">
        <is>
          <t>Makrand Deshpande</t>
        </is>
      </c>
      <c r="C229" s="5" t="inlineStr">
        <is>
          <t>Director</t>
        </is>
      </c>
      <c r="D229" s="20" t="n"/>
      <c r="E229" s="20" t="n"/>
      <c r="F229" s="5" t="n"/>
      <c r="G229" s="5" t="inlineStr">
        <is>
          <t>Hindi cinema</t>
        </is>
      </c>
      <c r="H229" s="5" t="inlineStr">
        <is>
          <t>An actor, writer and director in Hindi and regional cinema and theatre, who founded the Ansh Theatre Group with Kay Kay Menon in 1993 and has written over 90 plays.</t>
        </is>
      </c>
      <c r="I229" s="5" t="inlineStr">
        <is>
          <t>Theatre work from 1990 at Prithvi Theatre.</t>
        </is>
      </c>
      <c r="J229" s="5" t="inlineStr">
        <is>
          <t>With Khan: Shahrukh Bola "Khoobsurat Hai Tu" (2010). As actor: Satya, Jungle, Sarfarosh, Swades, Makdee, the Dandupalya films, Monkey Man.</t>
        </is>
      </c>
      <c r="K229" s="19" t="inlineStr">
        <is>
          <t>Eccentric supporting characters on screen; experimental theatre.</t>
        </is>
      </c>
      <c r="L229" s="19" t="n"/>
      <c r="M229" s="5" t="n"/>
      <c r="N229" s="19" t="n"/>
      <c r="O229" s="19" t="inlineStr">
        <is>
          <t>Directed the small film Shahrukh Bola "Khoobsurat Hai Tu", in which Khan appears as himself; the title refers to Khan.</t>
        </is>
      </c>
      <c r="P229" s="17" t="n">
        <v>1</v>
      </c>
      <c r="Q229" s="5" t="inlineStr">
        <is>
          <t>FILM-072</t>
        </is>
      </c>
      <c r="R229" s="5" t="inlineStr">
        <is>
          <t>Shahrukh Bola "Khoobsurat Hai Tu" (2010)</t>
        </is>
      </c>
      <c r="S229" s="5" t="inlineStr">
        <is>
          <t>Makarand Deshpande is better known as an actor and theatre director than as a filmmaker: he started at Prithvi Theatre in 1990, co-founded the Ansh Theatre Group with Kay Kay Menon, and has played memorable supporting parts in Satya, Sarfarosh and Swades. He has directed five films, one of which is Shahrukh Bola "Khoobsurat Hai Tu" (2010), a low-budget film about a woman told by Shah Rukh Khan that she is beautiful, with Khan appearing as himself. The film's commercial result is not recorded.</t>
        </is>
      </c>
      <c r="T229" s="5" t="inlineStr">
        <is>
          <t>SOURCE-278; SOURCE-075</t>
        </is>
      </c>
      <c r="U229" s="5" t="inlineStr">
        <is>
          <t>Medium</t>
        </is>
      </c>
    </row>
    <row r="230" ht="64" customHeight="1">
      <c r="A230" s="15" t="inlineStr">
        <is>
          <t>PERSON-229</t>
        </is>
      </c>
      <c r="B230" s="5" t="inlineStr">
        <is>
          <t>Mangesh Kulkarni</t>
        </is>
      </c>
      <c r="C230" s="5" t="inlineStr">
        <is>
          <t>Writer</t>
        </is>
      </c>
      <c r="D230" s="20" t="n"/>
      <c r="E230" s="20" t="n"/>
      <c r="F230" s="5" t="n"/>
      <c r="G230" s="5" t="inlineStr">
        <is>
          <t>Hindi cinema</t>
        </is>
      </c>
      <c r="H230" s="5" t="inlineStr">
        <is>
          <t>A writer credited on one film in this filmography, with no Wikipedia article of their own.</t>
        </is>
      </c>
      <c r="I230" s="5" t="n"/>
      <c r="J230" s="5" t="inlineStr">
        <is>
          <t>With Khan: Yes Boss (1997).</t>
        </is>
      </c>
      <c r="K230" s="19" t="n"/>
      <c r="L230" s="19" t="n"/>
      <c r="M230" s="5" t="n"/>
      <c r="N230" s="19" t="n"/>
      <c r="O230" s="19" t="inlineStr">
        <is>
          <t>One film with Khan, credited as writer: Yes Boss (1997), directed by Aziz Mirza, with Khan in the lead as Rahul Joshi; verdict: Hit.</t>
        </is>
      </c>
      <c r="P230" s="17" t="n">
        <v>1</v>
      </c>
      <c r="Q230" s="5" t="inlineStr">
        <is>
          <t>FILM-025</t>
        </is>
      </c>
      <c r="R230" s="5" t="inlineStr">
        <is>
          <t>Yes Boss (1997)</t>
        </is>
      </c>
      <c r="S230" s="5" t="inlineStr">
        <is>
          <t>Mangesh Kulkarni is credited as writer on Yes Boss (1997). No Wikipedia article or other independent biography was located; this row is built from the film credit alone.</t>
        </is>
      </c>
      <c r="T230" s="5" t="inlineStr">
        <is>
          <t>SOURCE-028</t>
        </is>
      </c>
      <c r="U230" s="5" t="inlineStr">
        <is>
          <t>Low</t>
        </is>
      </c>
    </row>
    <row r="231" ht="64" customHeight="1">
      <c r="A231" s="15" t="inlineStr">
        <is>
          <t>PERSON-230</t>
        </is>
      </c>
      <c r="B231" s="5" t="inlineStr">
        <is>
          <t>Mani Sharma</t>
        </is>
      </c>
      <c r="C231" s="5" t="inlineStr">
        <is>
          <t>Background-score composer</t>
        </is>
      </c>
      <c r="D231" s="17" t="n">
        <v>1964</v>
      </c>
      <c r="E231" s="20" t="n"/>
      <c r="F231" s="5" t="inlineStr">
        <is>
          <t>1992–present</t>
        </is>
      </c>
      <c r="G231" s="5" t="inlineStr">
        <is>
          <t>Telugu cinema; Hindi cinema</t>
        </is>
      </c>
      <c r="H231" s="5" t="inlineStr">
        <is>
          <t>A Telugu composer and music producer, born in Madras, the son of a violinist who played with S. Rajeswara Rao, who began as a programmer for Satyam and M. M. Keeravani.</t>
        </is>
      </c>
      <c r="I231" s="5" t="inlineStr">
        <is>
          <t>Background scores for Ram Gopal Varma's Raathri and Antham (1992).</t>
        </is>
      </c>
      <c r="J231" s="5" t="inlineStr">
        <is>
          <t>With Khan: Shakti: The Power (2002). Wider work: Telugu hits for Chiranjeevi, Mahesh Babu and others.</t>
        </is>
      </c>
      <c r="K231" s="19" t="inlineStr">
        <is>
          <t>Mass Telugu film music.</t>
        </is>
      </c>
      <c r="L231" s="19" t="n"/>
      <c r="M231" s="5" t="n"/>
      <c r="N231" s="19" t="n"/>
      <c r="O231" s="19" t="inlineStr">
        <is>
          <t>One film: Shakti: The Power, for which he wrote the background score; Khan has a supporting role.</t>
        </is>
      </c>
      <c r="P231" s="17" t="n">
        <v>1</v>
      </c>
      <c r="Q231" s="5" t="inlineStr">
        <is>
          <t>FILM-044</t>
        </is>
      </c>
      <c r="R231" s="5" t="inlineStr">
        <is>
          <t>Shakti: The Power (2002)</t>
        </is>
      </c>
      <c r="S231" s="5" t="inlineStr">
        <is>
          <t>Mani Sharma, born Yanamandra Venkata Subrahmanyam, worked as a keyboard programmer in Madras before Ram Gopal Varma gave him the background scores of Raathri and Antham in 1992. He became one of the busiest composers in Telugu cinema. His one Shah Rukh Khan credit is the background score of Shakti: The Power (2002), Krishna Vamsi's Hindi remake of Antahpuram, which flopped.</t>
        </is>
      </c>
      <c r="T231" s="5" t="inlineStr">
        <is>
          <t>SOURCE-279; SOURCE-047</t>
        </is>
      </c>
      <c r="U231" s="5" t="inlineStr">
        <is>
          <t>Medium</t>
        </is>
      </c>
    </row>
    <row r="232" ht="79" customHeight="1">
      <c r="A232" s="15" t="inlineStr">
        <is>
          <t>PERSON-231</t>
        </is>
      </c>
      <c r="B232" s="5" t="inlineStr">
        <is>
          <t>Manohar Shyam Joshi</t>
        </is>
      </c>
      <c r="C232" s="5" t="inlineStr">
        <is>
          <t>Writer</t>
        </is>
      </c>
      <c r="D232" s="17" t="n">
        <v>1933</v>
      </c>
      <c r="E232" s="17" t="n">
        <v>2006</v>
      </c>
      <c r="F232" s="5" t="n"/>
      <c r="G232" s="5" t="inlineStr">
        <is>
          <t>Hindi literature and television; Hindi cinema</t>
        </is>
      </c>
      <c r="H232" s="5" t="inlineStr">
        <is>
          <t>A Hindi novelist, journalist and television writer from a Kumaoni family, born in Ajmer, best known for writing India's first television soap opera, Hum Log.</t>
        </is>
      </c>
      <c r="I232" s="5" t="inlineStr">
        <is>
          <t>Television: Hum Log (1984).</t>
        </is>
      </c>
      <c r="J232" s="5" t="inlineStr">
        <is>
          <t>With Khan: Hey Ram (2000), Hindi dialogue. Wider work: Hum Log, Buniyaad, Kakaji Kahin; novels Kasap and Kyap.</t>
        </is>
      </c>
      <c r="K232" s="19" t="inlineStr">
        <is>
          <t>Social realism and satire in Hindi prose and television.</t>
        </is>
      </c>
      <c r="L232" s="19" t="n"/>
      <c r="M232" s="5" t="inlineStr">
        <is>
          <t>Sahitya Akademi Award for Kyap.</t>
        </is>
      </c>
      <c r="N232" s="19" t="inlineStr">
        <is>
          <t>A pioneer of Indian television drama.</t>
        </is>
      </c>
      <c r="O232" s="19" t="inlineStr">
        <is>
          <t>One film: Kamal Haasan's Hey Ram, for which he wrote the Hindi dialogue; Khan has a supporting role.</t>
        </is>
      </c>
      <c r="P232" s="17" t="n">
        <v>1</v>
      </c>
      <c r="Q232" s="5" t="inlineStr">
        <is>
          <t>FILM-034</t>
        </is>
      </c>
      <c r="R232" s="5" t="inlineStr">
        <is>
          <t>Hey Ram (2000)</t>
        </is>
      </c>
      <c r="S232" s="5" t="inlineStr">
        <is>
          <t>Manohar Shyam Joshi wrote Hum Log (1984), India's first television soap opera, and Buniyaad (1987), a Partition saga, and was also an experimental novelist who won the Sahitya Akademi Award for Kyap. He wrote the Hindi dialogue for Hey Ram (2000), Kamal Haasan's bilingual film about Partition and the assassination of Gandhi, in which Shah Rukh Khan plays the archaeologist Amjad Khan. Joshi died in New Delhi on 30 March 2006; Prime Minister Manmohan Singh called him one of the most influential Hindi writers of recent times.</t>
        </is>
      </c>
      <c r="T232" s="5" t="inlineStr">
        <is>
          <t>SOURCE-280; SOURCE-037</t>
        </is>
      </c>
      <c r="U232" s="5" t="inlineStr">
        <is>
          <t>Medium</t>
        </is>
      </c>
    </row>
    <row r="233" ht="154" customHeight="1">
      <c r="A233" s="15" t="inlineStr">
        <is>
          <t>PERSON-232</t>
        </is>
      </c>
      <c r="B233" s="5" t="inlineStr">
        <is>
          <t>Mansoor Khan</t>
        </is>
      </c>
      <c r="C233" s="5" t="inlineStr">
        <is>
          <t>Director; screenwriter; producer</t>
        </is>
      </c>
      <c r="D233" s="17" t="n">
        <v>1958</v>
      </c>
      <c r="E233" s="20" t="n"/>
      <c r="F233" s="5" t="inlineStr">
        <is>
          <t>1988–2008</t>
        </is>
      </c>
      <c r="G233" s="5" t="inlineStr">
        <is>
          <t>Hindi</t>
        </is>
      </c>
      <c r="H233" s="5" t="inlineStr">
        <is>
          <t>Son of the filmmaker Nasir Hussain and cousin of Aamir Khan; studied at IIT Bombay, Cornell and MIT.</t>
        </is>
      </c>
      <c r="I233" s="5" t="inlineStr">
        <is>
          <t>Qayamat Se Qayamat Tak (1988).</t>
        </is>
      </c>
      <c r="J233" s="5" t="inlineStr">
        <is>
          <t>Qayamat Se Qayamat Tak (1988); Jo Jeeta Wohi Sikander (1992); Akele Hum Akele Tum (1995); Josh (2000); Jaane Tu... Ya Jaane Na (2008, producer)</t>
        </is>
      </c>
      <c r="K233" s="19" t="inlineStr">
        <is>
          <t>Youthful romance and rivalry.</t>
        </is>
      </c>
      <c r="L233" s="19" t="inlineStr">
        <is>
          <t>His debut revived the musical romance in Hindi cinema.</t>
        </is>
      </c>
      <c r="M233" s="5" t="inlineStr">
        <is>
          <t>National Film Award for Best Popular Film Providing Wholesome Entertainment and Filmfare Award for Best Director (Qayamat Se Qayamat Tak)</t>
        </is>
      </c>
      <c r="N233" s="19" t="inlineStr">
        <is>
          <t>Qayamat Se Qayamat Tak paved the way for the return of the musical romantic genre in Hindi cinema.</t>
        </is>
      </c>
      <c r="O233" s="19" t="inlineStr">
        <is>
          <t>Directed and co-wrote Josh, casting Khan as Max, the leader of a Goan street gang, opposite Aishwarya Rai as his twin sister.</t>
        </is>
      </c>
      <c r="P233" s="17" t="n">
        <v>1</v>
      </c>
      <c r="Q233" s="5" t="inlineStr">
        <is>
          <t>FILM-035</t>
        </is>
      </c>
      <c r="R233" s="5" t="inlineStr">
        <is>
          <t>Josh (2000)</t>
        </is>
      </c>
      <c r="S233" s="5" t="inlineStr">
        <is>
          <t>Mansoor Khan, born on 30 May 1958, is the son of the filmmaker Nasir Hussain and the cousin of Aamir Khan, whom he cast in several films. He studied at IIT Bombay, Cornell University and MIT before entering Hindi cinema. His debut, Qayamat Se Qayamat Tak (1988), was a major hit that won the National Film Award for Best Popular Film and his only Filmfare Award for Best Director, and it revived the musical romance in Hindi cinema. He followed it with Jo Jeeta Wohi Sikander (1992). His last two films as director, Akele Hum Akele Tum (1995) and Josh (2000), were moderately successful. Josh, which he directed and co-wrote for Venus Films, drew on West Side Story for a tale of rival gangs in 1980 Goa. Shah Rukh Khan plays Max Dias, leader of the local Eagles, who fiercely guards his twin sister (Aishwarya Rai) against the rival gang leader's brother. Critics praised its music and performances but found the script weak. Khan returned in 2008 as co-producer, with Aamir Khan, of Jaane Tu... Ya Jaane Na, and now lives in Coonoor, Tamil Nadu, where he farms.</t>
        </is>
      </c>
      <c r="T233" s="5" t="inlineStr">
        <is>
          <t>SOURCE-150; SOURCE-038</t>
        </is>
      </c>
      <c r="U233" s="5" t="inlineStr">
        <is>
          <t>Medium</t>
        </is>
      </c>
    </row>
    <row r="234" ht="64" customHeight="1">
      <c r="A234" s="15" t="inlineStr">
        <is>
          <t>PERSON-233</t>
        </is>
      </c>
      <c r="B234" s="5" t="inlineStr">
        <is>
          <t>Masoom Ali</t>
        </is>
      </c>
      <c r="C234" s="5" t="inlineStr">
        <is>
          <t>Producer</t>
        </is>
      </c>
      <c r="D234" s="20" t="n"/>
      <c r="E234" s="20" t="n"/>
      <c r="F234" s="5" t="n"/>
      <c r="G234" s="5" t="inlineStr">
        <is>
          <t>Hindi cinema</t>
        </is>
      </c>
      <c r="H234" s="5" t="inlineStr">
        <is>
          <t>A producer credited on one film in this filmography, with no Wikipedia article of their own.</t>
        </is>
      </c>
      <c r="I234" s="5" t="n"/>
      <c r="J234" s="5" t="inlineStr">
        <is>
          <t>With Khan: Dushman Duniya Ka (1996).</t>
        </is>
      </c>
      <c r="K234" s="19" t="n"/>
      <c r="L234" s="19" t="n"/>
      <c r="M234" s="5" t="n"/>
      <c r="N234" s="19" t="n"/>
      <c r="O234" s="19" t="inlineStr">
        <is>
          <t>One film with Khan, credited as producer: Dushman Duniya Ka (1996), directed by Mehmood, with Khan in a cameo as Badru; verdict: Box-office disaster.</t>
        </is>
      </c>
      <c r="P234" s="17" t="n">
        <v>1</v>
      </c>
      <c r="Q234" s="5" t="inlineStr">
        <is>
          <t>FILM-022</t>
        </is>
      </c>
      <c r="R234" s="5" t="inlineStr">
        <is>
          <t>Dushman Duniya Ka (1996)</t>
        </is>
      </c>
      <c r="S234" s="5" t="inlineStr">
        <is>
          <t>Masoom Ali is credited as producer on Dushman Duniya Ka (1996). No Wikipedia article or other independent biography was located; this row is built from the film credit alone.</t>
        </is>
      </c>
      <c r="T234" s="5" t="inlineStr">
        <is>
          <t>SOURCE-025</t>
        </is>
      </c>
      <c r="U234" s="5" t="inlineStr">
        <is>
          <t>Low</t>
        </is>
      </c>
    </row>
    <row r="235" ht="49" customHeight="1">
      <c r="A235" s="15" t="inlineStr">
        <is>
          <t>PERSON-234</t>
        </is>
      </c>
      <c r="B235" s="5" t="inlineStr">
        <is>
          <t>Mayank Arts</t>
        </is>
      </c>
      <c r="C235" s="5" t="inlineStr">
        <is>
          <t>Production banner</t>
        </is>
      </c>
      <c r="D235" s="20" t="n"/>
      <c r="E235" s="20" t="n"/>
      <c r="F235" s="5" t="n"/>
      <c r="G235" s="5" t="inlineStr">
        <is>
          <t>Hindi cinema</t>
        </is>
      </c>
      <c r="H235" s="5" t="inlineStr">
        <is>
          <t>A production banner credited on one film in this filmography, with no Wikipedia article of its own.</t>
        </is>
      </c>
      <c r="I235" s="5" t="n"/>
      <c r="J235" s="5" t="inlineStr">
        <is>
          <t>With Khan: Deewana (1992).</t>
        </is>
      </c>
      <c r="K235" s="19" t="n"/>
      <c r="L235" s="19" t="n"/>
      <c r="M235" s="5" t="n"/>
      <c r="N235" s="19" t="n"/>
      <c r="O235" s="19" t="inlineStr">
        <is>
          <t>One film with Khan, credited as production banner: Deewana (1992), directed by Raj Kanwar, with Khan in a co-lead as Raja Sahai.</t>
        </is>
      </c>
      <c r="P235" s="17" t="n">
        <v>1</v>
      </c>
      <c r="Q235" s="5" t="inlineStr">
        <is>
          <t>FILM-001</t>
        </is>
      </c>
      <c r="R235" s="5" t="inlineStr">
        <is>
          <t>Deewana (1992)</t>
        </is>
      </c>
      <c r="S235" s="5" t="inlineStr">
        <is>
          <t>Mayank Arts is credited as production banner on Deewana (1992). No Wikipedia article or other independent biography was located for the company; this row is built from the film credit alone.</t>
        </is>
      </c>
      <c r="T235" s="5" t="inlineStr">
        <is>
          <t>SOURCE-004</t>
        </is>
      </c>
      <c r="U235" s="5" t="inlineStr">
        <is>
          <t>Low</t>
        </is>
      </c>
    </row>
    <row r="236" ht="79" customHeight="1">
      <c r="A236" s="15" t="inlineStr">
        <is>
          <t>PERSON-235</t>
        </is>
      </c>
      <c r="B236" s="5" t="inlineStr">
        <is>
          <t>Mayur Puri</t>
        </is>
      </c>
      <c r="C236" s="5" t="inlineStr">
        <is>
          <t>Writer (dialogue); lyricist</t>
        </is>
      </c>
      <c r="D236" s="20" t="n"/>
      <c r="E236" s="20" t="n"/>
      <c r="F236" s="5" t="n"/>
      <c r="G236" s="5" t="inlineStr">
        <is>
          <t>Hindi cinema</t>
        </is>
      </c>
      <c r="H236" s="5" t="inlineStr">
        <is>
          <t>An Ahmedabad-educated screenwriter, lyricist, actor and filmmaker in Mumbai who also adapts American films and series into Hindi.</t>
        </is>
      </c>
      <c r="I236" s="5" t="n"/>
      <c r="J236" s="5" t="inlineStr">
        <is>
          <t>With Khan: Om Shanti Om (2007). Wider work: Happy New Year, ABCD and ABCD 2; Hindi versions of Avengers: Endgame and The Lion King (2019).</t>
        </is>
      </c>
      <c r="K236" s="19" t="inlineStr">
        <is>
          <t>Commercial dialogue and songs for Farah Khan and Remo D'Souza.</t>
        </is>
      </c>
      <c r="L236" s="19" t="n"/>
      <c r="M236" s="5" t="n"/>
      <c r="N236" s="19" t="inlineStr">
        <is>
          <t>The Academy library placed the Happy New Year screenplay in its Core Collection in 2014.</t>
        </is>
      </c>
      <c r="O236" s="19" t="inlineStr">
        <is>
          <t>Wrote dialogue for Farah Khan's Om Shanti Om, with Khan in a double role, and later worked on Happy New Year (2014), also starring Khan.</t>
        </is>
      </c>
      <c r="P236" s="17" t="n">
        <v>1</v>
      </c>
      <c r="Q236" s="5" t="inlineStr">
        <is>
          <t>FILM-062</t>
        </is>
      </c>
      <c r="R236" s="5" t="inlineStr">
        <is>
          <t>Om Shanti Om (2007)</t>
        </is>
      </c>
      <c r="S236" s="5" t="inlineStr">
        <is>
          <t>Mayur Puri writes dialogue and lyrics for Hindi films and has adapted dozens of Hollywood films and series for Hindi audiences, including Avengers: Endgame and Jojo Rabbit. His collaboration with Farah Khan and Shah Rukh Khan began with Om Shanti Om (2007), the reincarnation melodrama and tribute to 1970s Bombay cinema, and continued with Happy New Year (2014), whose screenplay the Academy of Motion Picture Arts and Sciences library added to its Core Collection. He also wrote for the ABCD dance films.</t>
        </is>
      </c>
      <c r="T236" s="5" t="inlineStr">
        <is>
          <t>SOURCE-281; SOURCE-065</t>
        </is>
      </c>
      <c r="U236" s="5" t="inlineStr">
        <is>
          <t>Medium</t>
        </is>
      </c>
    </row>
    <row r="237" ht="79" customHeight="1">
      <c r="A237" s="15" t="inlineStr">
        <is>
          <t>PERSON-236</t>
        </is>
      </c>
      <c r="B237" s="5" t="inlineStr">
        <is>
          <t>Meet Bros Anjjan</t>
        </is>
      </c>
      <c r="C237" s="5" t="inlineStr">
        <is>
          <t>Song composer (composing team)</t>
        </is>
      </c>
      <c r="D237" s="20" t="n"/>
      <c r="E237" s="20" t="n"/>
      <c r="F237" s="5" t="inlineStr">
        <is>
          <t>2005–present</t>
        </is>
      </c>
      <c r="G237" s="5" t="inlineStr">
        <is>
          <t>Hindi cinema</t>
        </is>
      </c>
      <c r="H237" s="5" t="inlineStr">
        <is>
          <t>A composing team of the Gwalior brothers Manmeet and Harmeet Singh, credited as Meet Bros Anjjan while working with Anjjan Bhattacharya; the brothers started as actors.</t>
        </is>
      </c>
      <c r="I237" s="5" t="inlineStr">
        <is>
          <t>The song 'Jogi Singh Barnala Singh'; first film scores Isi Life Mein and Do Dooni Chaar.</t>
        </is>
      </c>
      <c r="J237" s="5" t="inlineStr">
        <is>
          <t>With Khan: Bhoothnath Returns (2014). Wider work: Kyaa Super Kool Hain Hum, OMG – Oh My God!, Ragini MMS 2 ('Baby Doll'), Roy ('Chittiyaan Kalaiyaan').</t>
        </is>
      </c>
      <c r="K237" s="19" t="inlineStr">
        <is>
          <t>Punjabi-pop dance numbers.</t>
        </is>
      </c>
      <c r="L237" s="19" t="n"/>
      <c r="M237" s="5" t="inlineStr">
        <is>
          <t>Filmfare, Screen and IIFA Awards for Best Music Director (Roy).</t>
        </is>
      </c>
      <c r="N237" s="19" t="n"/>
      <c r="O237" s="19" t="inlineStr">
        <is>
          <t>One film: Bhoothnath Returns, for which they composed songs; Khan has a cameo.</t>
        </is>
      </c>
      <c r="P237" s="17" t="n">
        <v>1</v>
      </c>
      <c r="Q237" s="5" t="inlineStr">
        <is>
          <t>FILM-080</t>
        </is>
      </c>
      <c r="R237" s="5" t="inlineStr">
        <is>
          <t>Bhoothnath Returns (2014)</t>
        </is>
      </c>
      <c r="S237" s="5" t="inlineStr">
        <is>
          <t>Meet Bros are the brothers Manmeet and Harmeet Singh from Gwalior, who switched from acting to music after the success of their first song; for several years they worked with Anjjan Bhattacharya and were credited as Meet Bros Anjjan. Their hits include 'Baby Doll' from Ragini MMS 2 and 'Chittiyaan Kalaiyaan' from Roy, which won them the Filmfare Award for Best Music Director. They composed songs for Bhoothnath Returns (2014), in which Shah Rukh Khan has a cameo; the film was profitable.</t>
        </is>
      </c>
      <c r="T237" s="5" t="inlineStr">
        <is>
          <t>SOURCE-282; SOURCE-083</t>
        </is>
      </c>
      <c r="U237" s="5" t="inlineStr">
        <is>
          <t>Medium</t>
        </is>
      </c>
    </row>
    <row r="238" ht="64" customHeight="1">
      <c r="A238" s="15" t="inlineStr">
        <is>
          <t>PERSON-237</t>
        </is>
      </c>
      <c r="B238" s="5" t="inlineStr">
        <is>
          <t>Mega Bollywood</t>
        </is>
      </c>
      <c r="C238" s="5" t="inlineStr">
        <is>
          <t>Production banner</t>
        </is>
      </c>
      <c r="D238" s="20" t="n"/>
      <c r="E238" s="20" t="n"/>
      <c r="F238" s="5" t="n"/>
      <c r="G238" s="5" t="inlineStr">
        <is>
          <t>Hindi cinema</t>
        </is>
      </c>
      <c r="H238" s="5" t="inlineStr">
        <is>
          <t>A production banner credited on one film in this filmography, with no Wikipedia article of its own.</t>
        </is>
      </c>
      <c r="I238" s="5" t="n"/>
      <c r="J238" s="5" t="inlineStr">
        <is>
          <t>With Khan: Devdas (2002).</t>
        </is>
      </c>
      <c r="K238" s="19" t="n"/>
      <c r="L238" s="19" t="n"/>
      <c r="M238" s="5" t="n"/>
      <c r="N238" s="19" t="n"/>
      <c r="O238" s="19" t="inlineStr">
        <is>
          <t>One film with Khan, credited as production banner: Devdas (2002), directed by Sanjay Leela Bhansali, with Khan in the lead as Devdas Mukherjee; verdict: Commercial success.</t>
        </is>
      </c>
      <c r="P238" s="17" t="n">
        <v>1</v>
      </c>
      <c r="Q238" s="5" t="inlineStr">
        <is>
          <t>FILM-043</t>
        </is>
      </c>
      <c r="R238" s="5" t="inlineStr">
        <is>
          <t>Devdas (2002)</t>
        </is>
      </c>
      <c r="S238" s="5" t="inlineStr">
        <is>
          <t>Mega Bollywood is credited as production banner on Devdas (2002). No Wikipedia article or other independent biography was located for the company; this row is built from the film credit alone.</t>
        </is>
      </c>
      <c r="T238" s="5" t="inlineStr">
        <is>
          <t>SOURCE-046</t>
        </is>
      </c>
      <c r="U238" s="5" t="inlineStr">
        <is>
          <t>Low</t>
        </is>
      </c>
    </row>
    <row r="239" ht="64" customHeight="1">
      <c r="A239" s="15" t="inlineStr">
        <is>
          <t>PERSON-238</t>
        </is>
      </c>
      <c r="B239" s="5" t="inlineStr">
        <is>
          <t>Mehmood</t>
        </is>
      </c>
      <c r="C239" s="5" t="inlineStr">
        <is>
          <t>Director; actor</t>
        </is>
      </c>
      <c r="D239" s="17" t="n">
        <v>1932</v>
      </c>
      <c r="E239" s="17" t="n">
        <v>2004</v>
      </c>
      <c r="F239" s="5" t="n"/>
      <c r="G239" s="5" t="inlineStr">
        <is>
          <t>Hindi cinema</t>
        </is>
      </c>
      <c r="H239" s="5" t="inlineStr">
        <is>
          <t>One of the best-known comic actors in Hindi cinema, son of the actor-dancer Mumtaz Ali, who also sang, directed and produced over a career of more than 300 films.</t>
        </is>
      </c>
      <c r="I239" s="5" t="inlineStr">
        <is>
          <t>Child roles in the 1940s; leading comedian from the late 1950s.</t>
        </is>
      </c>
      <c r="J239" s="5" t="inlineStr">
        <is>
          <t>With Khan: Dushman Duniya Ka (1996), as director. As actor: Padosan, Pyar Kiye Jaa, Kunwara Baap, Bombay to Goa.</t>
        </is>
      </c>
      <c r="K239" s="19" t="inlineStr">
        <is>
          <t>Comedy and family melodrama.</t>
        </is>
      </c>
      <c r="L239" s="19" t="n"/>
      <c r="M239" s="5" t="inlineStr">
        <is>
          <t>25 Filmfare nominations, 19 of them for Best Performance in a Comic Role.</t>
        </is>
      </c>
      <c r="N239" s="19" t="inlineStr">
        <is>
          <t>Defined the comic-actor role in 1960s Hindi film.</t>
        </is>
      </c>
      <c r="O239" s="19" t="inlineStr">
        <is>
          <t>One film: Dushman Duniya Ka, which he directed and in which Khan makes a cameo alongside Salman Khan. It was a box-office disaster.</t>
        </is>
      </c>
      <c r="P239" s="17" t="n">
        <v>1</v>
      </c>
      <c r="Q239" s="5" t="inlineStr">
        <is>
          <t>FILM-022</t>
        </is>
      </c>
      <c r="R239" s="5" t="inlineStr">
        <is>
          <t>Dushman Duniya Ka (1996)</t>
        </is>
      </c>
      <c r="S239" s="5" t="inlineStr">
        <is>
          <t>Mehmood Ali, son of the 1940s star Mumtaz Ali, became the leading comedian of 1960s and 1970s Hindi cinema, with 19 Filmfare nominations for comic performances and films such as Padosan and Kunwara Baap, which he also directed. Late in his career he directed Dushman Duniya Ka (1996), a family drama with cameos by Shah Rukh Khan and Salman Khan. It was a box-office disaster. Mehmood died on 23 July 2004.</t>
        </is>
      </c>
      <c r="T239" s="5" t="inlineStr">
        <is>
          <t>SOURCE-283; SOURCE-025</t>
        </is>
      </c>
      <c r="U239" s="5" t="inlineStr">
        <is>
          <t>Medium</t>
        </is>
      </c>
    </row>
    <row r="240" ht="64" customHeight="1">
      <c r="A240" s="15" t="inlineStr">
        <is>
          <t>PERSON-239</t>
        </is>
      </c>
      <c r="B240" s="5" t="inlineStr">
        <is>
          <t>Mehr Jesia</t>
        </is>
      </c>
      <c r="C240" s="5" t="inlineStr">
        <is>
          <t>Producer</t>
        </is>
      </c>
      <c r="D240" s="17" t="n">
        <v>1970</v>
      </c>
      <c r="E240" s="20" t="n"/>
      <c r="F240" s="5" t="n"/>
      <c r="G240" s="5" t="inlineStr">
        <is>
          <t>Hindi cinema</t>
        </is>
      </c>
      <c r="H240" s="5" t="inlineStr">
        <is>
          <t>A Parsi model from Dadar who won Femina Miss India in 1986 and represented India at Miss Universe; one of India's first generation of supermodels.</t>
        </is>
      </c>
      <c r="I240" s="5" t="n"/>
      <c r="J240" s="5" t="inlineStr">
        <is>
          <t>With Khan: I See You (2006).</t>
        </is>
      </c>
      <c r="K240" s="19" t="n"/>
      <c r="L240" s="19" t="n"/>
      <c r="M240" s="5" t="n"/>
      <c r="N240" s="19" t="n"/>
      <c r="O240" s="19" t="inlineStr">
        <is>
          <t>One film: I See You, produced by her company Chasing Ganesha with her then husband Arjun Rampal; Khan appears as himself.</t>
        </is>
      </c>
      <c r="P240" s="17" t="n">
        <v>1</v>
      </c>
      <c r="Q240" s="5" t="inlineStr">
        <is>
          <t>FILM-059</t>
        </is>
      </c>
      <c r="R240" s="5" t="inlineStr">
        <is>
          <t>I See You (2006)</t>
        </is>
      </c>
      <c r="S240" s="5" t="inlineStr">
        <is>
          <t>Mehr Jesia won Femina Miss India in 1986 and was one of the leading Indian models of the late 1980s and 1990s. She married Arjun Rampal in 1998, and through their company, Chasing Ganesha, the couple produced I See You (2006), a romantic comedy starring Rampal in which Shah Rukh Khan, Rampal's friend and frequent co-star, makes a self appearance. Jesia and Rampal separated in 2018 and divorced in 2019.</t>
        </is>
      </c>
      <c r="T240" s="5" t="inlineStr">
        <is>
          <t>SOURCE-284; SOURCE-062</t>
        </is>
      </c>
      <c r="U240" s="5" t="inlineStr">
        <is>
          <t>Medium</t>
        </is>
      </c>
    </row>
    <row r="241" ht="79" customHeight="1">
      <c r="A241" s="15" t="inlineStr">
        <is>
          <t>PERSON-240</t>
        </is>
      </c>
      <c r="B241" s="5" t="inlineStr">
        <is>
          <t>Milap Zaveri</t>
        </is>
      </c>
      <c r="C241" s="5" t="inlineStr">
        <is>
          <t>Writer</t>
        </is>
      </c>
      <c r="D241" s="20" t="n"/>
      <c r="E241" s="20" t="n"/>
      <c r="F241" s="5" t="inlineStr">
        <is>
          <t>2002–present</t>
        </is>
      </c>
      <c r="G241" s="5" t="inlineStr">
        <is>
          <t>Hindi cinema</t>
        </is>
      </c>
      <c r="H241" s="5" t="inlineStr">
        <is>
          <t>A Hindi-film writer and director who started as a dialogue writer in 2002.</t>
        </is>
      </c>
      <c r="I241" s="5" t="inlineStr">
        <is>
          <t>Dialogue for Yeh Mohabbat Hai (2002); directorial debut Jaane Kahan Se Aayi Hai (2010).</t>
        </is>
      </c>
      <c r="J241" s="5" t="inlineStr">
        <is>
          <t>With Khan: Heyy Babyy (2007). Wider work: Kaante, Masti, Housefull, Shootout at Wadala, Grand Masti, Ek Villain (writer); Satyameva Jayate, Ek Deewane Ki Deewaniyat (director).</t>
        </is>
      </c>
      <c r="K241" s="19" t="inlineStr">
        <is>
          <t>Broad commercial comedy and action dialogue.</t>
        </is>
      </c>
      <c r="L241" s="19" t="n"/>
      <c r="M241" s="5" t="n"/>
      <c r="N241" s="19" t="n"/>
      <c r="O241" s="19" t="inlineStr">
        <is>
          <t>One film: Sajid Khan's Heyy Babyy, which he co-wrote, in which Khan has a cameo. It was a super hit.</t>
        </is>
      </c>
      <c r="P241" s="17" t="n">
        <v>1</v>
      </c>
      <c r="Q241" s="5" t="inlineStr">
        <is>
          <t>FILM-061</t>
        </is>
      </c>
      <c r="R241" s="5" t="inlineStr">
        <is>
          <t>Heyy Babyy (2007)</t>
        </is>
      </c>
      <c r="S241" s="5" t="inlineStr">
        <is>
          <t>Milap Zaveri wrote dialogue for a run of commercially successful films in the 2000s, from Kaante and Masti to Housefull and Grand Masti, and has directed since 2010, with Satyameva Jayate (2018) and Ek Deewane Ki Deewaniyat (2025) both hits. He co-wrote Heyy Babyy (2007), Sajid Khan's remake of Three Men and a Baby, in which Shah Rukh Khan appears in a cameo during a song. The film was a super hit.</t>
        </is>
      </c>
      <c r="T241" s="5" t="inlineStr">
        <is>
          <t>SOURCE-285; SOURCE-064</t>
        </is>
      </c>
      <c r="U241" s="5" t="inlineStr">
        <is>
          <t>Medium</t>
        </is>
      </c>
    </row>
    <row r="242" ht="64" customHeight="1">
      <c r="A242" s="15" t="inlineStr">
        <is>
          <t>PERSON-241</t>
        </is>
      </c>
      <c r="B242" s="5" t="inlineStr">
        <is>
          <t>Mohammed A. Rahim</t>
        </is>
      </c>
      <c r="C242" s="5" t="inlineStr">
        <is>
          <t>Producer</t>
        </is>
      </c>
      <c r="D242" s="20" t="n"/>
      <c r="E242" s="20" t="n"/>
      <c r="F242" s="5" t="n"/>
      <c r="G242" s="5" t="inlineStr">
        <is>
          <t>Hindi cinema</t>
        </is>
      </c>
      <c r="H242" s="5" t="inlineStr">
        <is>
          <t>A producer credited on one film in this filmography, with no Wikipedia article of their own.</t>
        </is>
      </c>
      <c r="I242" s="5" t="n"/>
      <c r="J242" s="5" t="inlineStr">
        <is>
          <t>With Khan: Pehla Nasha (1993).</t>
        </is>
      </c>
      <c r="K242" s="19" t="n"/>
      <c r="L242" s="19" t="n"/>
      <c r="M242" s="5" t="n"/>
      <c r="N242" s="19" t="n"/>
      <c r="O242" s="19" t="inlineStr">
        <is>
          <t>One film with Khan, credited as producer: Pehla Nasha (1993), directed by Ashutosh Gowariker, with Khan in a self appearance; verdict: Failure.</t>
        </is>
      </c>
      <c r="P242" s="17" t="n">
        <v>1</v>
      </c>
      <c r="Q242" s="5" t="inlineStr">
        <is>
          <t>FILM-007</t>
        </is>
      </c>
      <c r="R242" s="5" t="inlineStr">
        <is>
          <t>Pehla Nasha (1993)</t>
        </is>
      </c>
      <c r="S242" s="5" t="inlineStr">
        <is>
          <t>Mohammed A. Rahim is credited as producer on Pehla Nasha (1993). No Wikipedia article or other independent biography was located; this row is built from the film credit alone.</t>
        </is>
      </c>
      <c r="T242" s="5" t="inlineStr">
        <is>
          <t>SOURCE-010</t>
        </is>
      </c>
      <c r="U242" s="5" t="inlineStr">
        <is>
          <t>Low</t>
        </is>
      </c>
    </row>
    <row r="243" ht="64" customHeight="1">
      <c r="A243" s="15" t="inlineStr">
        <is>
          <t>PERSON-242</t>
        </is>
      </c>
      <c r="B243" s="5" t="inlineStr">
        <is>
          <t>Mohan Kaul</t>
        </is>
      </c>
      <c r="C243" s="5" t="inlineStr">
        <is>
          <t>Writer</t>
        </is>
      </c>
      <c r="D243" s="20" t="n"/>
      <c r="E243" s="20" t="n"/>
      <c r="F243" s="5" t="n"/>
      <c r="G243" s="5" t="inlineStr">
        <is>
          <t>Hindi cinema</t>
        </is>
      </c>
      <c r="H243" s="5" t="inlineStr">
        <is>
          <t>A writer credited on one film in this filmography, with no Wikipedia article of their own.</t>
        </is>
      </c>
      <c r="I243" s="5" t="n"/>
      <c r="J243" s="5" t="inlineStr">
        <is>
          <t>With Khan: King Uncle (1993).</t>
        </is>
      </c>
      <c r="K243" s="19" t="n"/>
      <c r="L243" s="19" t="n"/>
      <c r="M243" s="5" t="n"/>
      <c r="N243" s="19" t="n"/>
      <c r="O243" s="19" t="inlineStr">
        <is>
          <t>One film with Khan, credited as writer: King Uncle (1993), directed by Rakesh Roshan, with Khan in a supporting role as Anil Bansal; verdict: Moderate box-office success.</t>
        </is>
      </c>
      <c r="P243" s="17" t="n">
        <v>1</v>
      </c>
      <c r="Q243" s="5" t="inlineStr">
        <is>
          <t>FILM-005</t>
        </is>
      </c>
      <c r="R243" s="5" t="inlineStr">
        <is>
          <t>King Uncle (1993)</t>
        </is>
      </c>
      <c r="S243" s="5" t="inlineStr">
        <is>
          <t>Mohan Kaul is credited as writer on King Uncle (1993). No Wikipedia article or other independent biography was located; this row is built from the film credit alone.</t>
        </is>
      </c>
      <c r="T243" s="5" t="inlineStr">
        <is>
          <t>SOURCE-008</t>
        </is>
      </c>
      <c r="U243" s="5" t="inlineStr">
        <is>
          <t>Low</t>
        </is>
      </c>
    </row>
    <row r="244" ht="64" customHeight="1">
      <c r="A244" s="15" t="inlineStr">
        <is>
          <t>PERSON-243</t>
        </is>
      </c>
      <c r="B244" s="5" t="inlineStr">
        <is>
          <t>Moser Baer</t>
        </is>
      </c>
      <c r="C244" s="5" t="inlineStr">
        <is>
          <t>Producer (company)</t>
        </is>
      </c>
      <c r="D244" s="20" t="n"/>
      <c r="E244" s="20" t="n"/>
      <c r="F244" s="5" t="n"/>
      <c r="G244" s="5" t="inlineStr">
        <is>
          <t>Hindi cinema</t>
        </is>
      </c>
      <c r="H244" s="5" t="inlineStr">
        <is>
          <t>A New Delhi manufacturer of optical discs and storage media, founded in 1983, which diversified into photovoltaics and, in the 2000s, home video and film production.</t>
        </is>
      </c>
      <c r="I244" s="5" t="n"/>
      <c r="J244" s="5" t="inlineStr">
        <is>
          <t>With Khan: Shaurya (2008).</t>
        </is>
      </c>
      <c r="K244" s="19" t="n"/>
      <c r="L244" s="19" t="n"/>
      <c r="M244" s="5" t="n"/>
      <c r="N244" s="19" t="n"/>
      <c r="O244" s="19" t="inlineStr">
        <is>
          <t>One film: Samar Khan's Shaurya, which it co-produced; Khan is the narrator.</t>
        </is>
      </c>
      <c r="P244" s="17" t="n">
        <v>1</v>
      </c>
      <c r="Q244" s="5" t="inlineStr">
        <is>
          <t>FILM-063</t>
        </is>
      </c>
      <c r="R244" s="5" t="inlineStr">
        <is>
          <t>Shaurya (2008)</t>
        </is>
      </c>
      <c r="S244" s="5" t="inlineStr">
        <is>
          <t>Moser Baer India started in 1983 as a time-recorder maker and became one of the largest manufacturers of CDs and DVDs, with plants in New Delhi employing over 8,000 people. In the 2000s it used its home-video business to enter film production and is credited as a producer on Shaurya (2008), Samar Khan's military courtroom drama, which Shah Rukh Khan narrates. Its film activity is not covered in detail by its article.</t>
        </is>
      </c>
      <c r="T244" s="5" t="inlineStr">
        <is>
          <t>SOURCE-286; SOURCE-066</t>
        </is>
      </c>
      <c r="U244" s="5" t="inlineStr">
        <is>
          <t>Low</t>
        </is>
      </c>
    </row>
    <row r="245" ht="64" customHeight="1">
      <c r="A245" s="15" t="inlineStr">
        <is>
          <t>PERSON-244</t>
        </is>
      </c>
      <c r="B245" s="5" t="inlineStr">
        <is>
          <t>Mudassar Aziz</t>
        </is>
      </c>
      <c r="C245" s="5" t="inlineStr">
        <is>
          <t>Director; Writer</t>
        </is>
      </c>
      <c r="D245" s="17" t="n">
        <v>1980</v>
      </c>
      <c r="E245" s="20" t="n"/>
      <c r="F245" s="5" t="inlineStr">
        <is>
          <t>2005–present</t>
        </is>
      </c>
      <c r="G245" s="5" t="inlineStr">
        <is>
          <t>Hindi cinema</t>
        </is>
      </c>
      <c r="H245" s="5" t="inlineStr">
        <is>
          <t>A Hindi-film director, screenwriter, producer and songwriter.</t>
        </is>
      </c>
      <c r="I245" s="5" t="inlineStr">
        <is>
          <t>Dulha Mil Gaya (2010), as director.</t>
        </is>
      </c>
      <c r="J245" s="5" t="inlineStr">
        <is>
          <t>With Khan: Dulha Mil Gaya (2010). Later films as director: Happy Bhag Jayegi, Pati Patni Aur Woh, Khel Khel Mein.</t>
        </is>
      </c>
      <c r="K245" s="19" t="inlineStr">
        <is>
          <t>Romantic and situational comedy.</t>
        </is>
      </c>
      <c r="L245" s="19" t="n"/>
      <c r="M245" s="5" t="n"/>
      <c r="N245" s="19" t="n"/>
      <c r="O245" s="19" t="inlineStr">
        <is>
          <t>Wrote and directed Dulha Mil Gaya, in which Khan has an extended special appearance as a superstar; the film flopped.</t>
        </is>
      </c>
      <c r="P245" s="17" t="n">
        <v>1</v>
      </c>
      <c r="Q245" s="5" t="inlineStr">
        <is>
          <t>FILM-070</t>
        </is>
      </c>
      <c r="R245" s="5" t="inlineStr">
        <is>
          <t>Dulha Mil Gaya (2010)</t>
        </is>
      </c>
      <c r="S245" s="5" t="inlineStr">
        <is>
          <t>Mudassar Aziz made his directing debut with Dulha Mil Gaya (2010), a romantic comedy with Fardeen Khan and Sushmita Sen in which Shah Rukh Khan has an extended special appearance as a film star. It flopped. He later had more success with comedies such as Happy Bhag Jayegi and Pati Patni Aur Woh. His Wikipedia article contains only a one-line description, so the rest of this row comes from the film credits.</t>
        </is>
      </c>
      <c r="T245" s="5" t="inlineStr">
        <is>
          <t>SOURCE-287; SOURCE-073</t>
        </is>
      </c>
      <c r="U245" s="5" t="inlineStr">
        <is>
          <t>Low</t>
        </is>
      </c>
    </row>
    <row r="246" ht="64" customHeight="1">
      <c r="A246" s="15" t="inlineStr">
        <is>
          <t>PERSON-245</t>
        </is>
      </c>
      <c r="B246" s="5" t="inlineStr">
        <is>
          <t>Music Factory</t>
        </is>
      </c>
      <c r="C246" s="5" t="inlineStr">
        <is>
          <t>Production banner</t>
        </is>
      </c>
      <c r="D246" s="20" t="n"/>
      <c r="E246" s="20" t="n"/>
      <c r="F246" s="5" t="n"/>
      <c r="G246" s="5" t="inlineStr">
        <is>
          <t>Hindi cinema</t>
        </is>
      </c>
      <c r="H246" s="5" t="inlineStr">
        <is>
          <t>A production banner credited on one film in this filmography, with no Wikipedia article of its own.</t>
        </is>
      </c>
      <c r="I246" s="5" t="n"/>
      <c r="J246" s="5" t="inlineStr">
        <is>
          <t>With Khan: Shahrukh Bola "Khoobsurat Hai Tu" (2010).</t>
        </is>
      </c>
      <c r="K246" s="19" t="n"/>
      <c r="L246" s="19" t="n"/>
      <c r="M246" s="5" t="n"/>
      <c r="N246" s="19" t="n"/>
      <c r="O246" s="19" t="inlineStr">
        <is>
          <t>One film with Khan, credited as production banner: Shahrukh Bola "Khoobsurat Hai Tu" (2010), directed by Makrand Deshpande, with Khan in a self appearance.</t>
        </is>
      </c>
      <c r="P246" s="17" t="n">
        <v>1</v>
      </c>
      <c r="Q246" s="5" t="inlineStr">
        <is>
          <t>FILM-072</t>
        </is>
      </c>
      <c r="R246" s="5" t="inlineStr">
        <is>
          <t>Shahrukh Bola "Khoobsurat Hai Tu" (2010)</t>
        </is>
      </c>
      <c r="S246" s="5" t="inlineStr">
        <is>
          <t>Music Factory is credited as production banner on Shahrukh Bola "Khoobsurat Hai Tu" (2010). No Wikipedia article or other independent biography was located for the company; this row is built from the film credit alone.</t>
        </is>
      </c>
      <c r="T246" s="5" t="inlineStr">
        <is>
          <t>SOURCE-075</t>
        </is>
      </c>
      <c r="U246" s="5" t="inlineStr">
        <is>
          <t>Low</t>
        </is>
      </c>
    </row>
    <row r="247" ht="64" customHeight="1">
      <c r="A247" s="15" t="inlineStr">
        <is>
          <t>PERSON-246</t>
        </is>
      </c>
      <c r="B247" s="5" t="inlineStr">
        <is>
          <t>Nadiadwala Grandson Entertainment</t>
        </is>
      </c>
      <c r="C247" s="5" t="inlineStr">
        <is>
          <t>Production banner</t>
        </is>
      </c>
      <c r="D247" s="20" t="n"/>
      <c r="E247" s="20" t="n"/>
      <c r="F247" s="5" t="n"/>
      <c r="G247" s="5" t="inlineStr">
        <is>
          <t>Hindi cinema</t>
        </is>
      </c>
      <c r="H247" s="5" t="inlineStr">
        <is>
          <t>A Mumbai production company established in 1992 by Sajid Nadiadwala, the third generation of a producing family from Nadiad in Gujarat whose first film was Inspector (1956).</t>
        </is>
      </c>
      <c r="I247" s="5" t="n"/>
      <c r="J247" s="5" t="inlineStr">
        <is>
          <t>With Khan: Heyy Babyy (2007). Wider work: Judwaa, Mujhse Shaadi Karogi, Housefull series, Kick, Baaghi series, Chhichhore.</t>
        </is>
      </c>
      <c r="K247" s="19" t="inlineStr">
        <is>
          <t>Large commercial comedies and action films.</t>
        </is>
      </c>
      <c r="L247" s="19" t="n"/>
      <c r="M247" s="5" t="n"/>
      <c r="N247" s="19" t="n"/>
      <c r="O247" s="19" t="inlineStr">
        <is>
          <t>One film: Heyy Babyy, which it produced; Khan has a cameo.</t>
        </is>
      </c>
      <c r="P247" s="17" t="n">
        <v>1</v>
      </c>
      <c r="Q247" s="5" t="inlineStr">
        <is>
          <t>FILM-061</t>
        </is>
      </c>
      <c r="R247" s="5" t="inlineStr">
        <is>
          <t>Heyy Babyy (2007)</t>
        </is>
      </c>
      <c r="S247" s="5" t="inlineStr">
        <is>
          <t>Nadiadwala Grandson Entertainment was founded in 1992 by Sajid Nadiadwala, grandson of A. K. Nadiadwala, whose company produced Inspector (1956), Taj Mahal and Chitralekha. It is one of the larger independent producers of commercial Hindi films. It produced Heyy Babyy (2007), Sajid Khan's comedy about three bachelors raising a baby, in which Shah Rukh Khan makes a cameo; the film was a super hit.</t>
        </is>
      </c>
      <c r="T247" s="5" t="inlineStr">
        <is>
          <t>SOURCE-288; SOURCE-064</t>
        </is>
      </c>
      <c r="U247" s="5" t="inlineStr">
        <is>
          <t>Medium</t>
        </is>
      </c>
    </row>
    <row r="248" ht="64" customHeight="1">
      <c r="A248" s="15" t="inlineStr">
        <is>
          <t>PERSON-247</t>
        </is>
      </c>
      <c r="B248" s="5" t="inlineStr">
        <is>
          <t>Nagesh Bharadwaj</t>
        </is>
      </c>
      <c r="C248" s="5" t="inlineStr">
        <is>
          <t>Writer</t>
        </is>
      </c>
      <c r="D248" s="20" t="n"/>
      <c r="E248" s="20" t="n"/>
      <c r="F248" s="5" t="n"/>
      <c r="G248" s="5" t="inlineStr">
        <is>
          <t>Hindi cinema</t>
        </is>
      </c>
      <c r="H248" s="5" t="inlineStr">
        <is>
          <t>A writer credited on one film in this filmography, with no Wikipedia article of their own.</t>
        </is>
      </c>
      <c r="I248" s="5" t="n"/>
      <c r="J248" s="5" t="inlineStr">
        <is>
          <t>With Khan: Yeh Lamhe Judaai Ke (2004).</t>
        </is>
      </c>
      <c r="K248" s="19" t="n"/>
      <c r="L248" s="19" t="n"/>
      <c r="M248" s="5" t="n"/>
      <c r="N248" s="19" t="n"/>
      <c r="O248" s="19" t="inlineStr">
        <is>
          <t>One film with Khan, credited as writer: Yeh Lamhe Judaai Ke (2004), directed by Birendra Nath Tiwari, with Khan in the lead as Dushyant Kumar; verdict: Box-office bomb.</t>
        </is>
      </c>
      <c r="P248" s="17" t="n">
        <v>1</v>
      </c>
      <c r="Q248" s="5" t="inlineStr">
        <is>
          <t>FILM-048</t>
        </is>
      </c>
      <c r="R248" s="5" t="inlineStr">
        <is>
          <t>Yeh Lamhe Judaai Ke (2004)</t>
        </is>
      </c>
      <c r="S248" s="5" t="inlineStr">
        <is>
          <t>Nagesh Bharadwaj is credited as writer on Yeh Lamhe Judaai Ke (2004). No Wikipedia article or other independent biography was located; this row is built from the film credit alone.</t>
        </is>
      </c>
      <c r="T248" s="5" t="inlineStr">
        <is>
          <t>SOURCE-051</t>
        </is>
      </c>
      <c r="U248" s="5" t="inlineStr">
        <is>
          <t>Low</t>
        </is>
      </c>
    </row>
    <row r="249" ht="79" customHeight="1">
      <c r="A249" s="15" t="inlineStr">
        <is>
          <t>PERSON-248</t>
        </is>
      </c>
      <c r="B249" s="5" t="inlineStr">
        <is>
          <t>Namit Malhotra</t>
        </is>
      </c>
      <c r="C249" s="5" t="inlineStr">
        <is>
          <t>Producer (Prime Focus / DNEG)</t>
        </is>
      </c>
      <c r="D249" s="17" t="n">
        <v>1976</v>
      </c>
      <c r="E249" s="20" t="n"/>
      <c r="F249" s="5" t="n"/>
      <c r="G249" s="5" t="inlineStr">
        <is>
          <t>Hindi cinema</t>
        </is>
      </c>
      <c r="H249" s="5" t="inlineStr">
        <is>
          <t>A Mumbai-born producer and executive, founder of the visual-effects company Prime Focus and CEO of its British subsidiary DNEG; son of the producer Naresh Malhotra and grandson of the cinematographer M. N. Malhotra.</t>
        </is>
      </c>
      <c r="I249" s="5" t="inlineStr">
        <is>
          <t>Founded Video Workshop, an editing studio, in his father's garage after computer-graphics school in 1995.</t>
        </is>
      </c>
      <c r="J249" s="5" t="inlineStr">
        <is>
          <t>With Khan: Brahmāstra: Part One – Shiva (2022). DNEG's visual-effects work includes Hollywood franchises.</t>
        </is>
      </c>
      <c r="K249" s="19" t="inlineStr">
        <is>
          <t>Large-scale visual-effects production.</t>
        </is>
      </c>
      <c r="L249" s="19" t="n"/>
      <c r="M249" s="5" t="n"/>
      <c r="N249" s="19" t="n"/>
      <c r="O249" s="19" t="inlineStr">
        <is>
          <t>One film: Brahmāstra, which he co-produced and for which Prime Focus/DNEG supplied visual effects; Khan has an extended special appearance.</t>
        </is>
      </c>
      <c r="P249" s="17" t="n">
        <v>1</v>
      </c>
      <c r="Q249" s="5" t="inlineStr">
        <is>
          <t>FILM-093</t>
        </is>
      </c>
      <c r="R249" s="5" t="inlineStr">
        <is>
          <t>Brahmāstra: Part One – Shiva (2022)</t>
        </is>
      </c>
      <c r="S249" s="5" t="inlineStr">
        <is>
          <t>Namit Malhotra started Video Workshop in his father's garage after a computer-graphics course in 1995, recruiting his teachers as co-founders, and built it into Prime Focus, which merged with the British company Double Negative to form DNEG. He is credited as a producer on Brahmāstra: Part One – Shiva (2022), Ayan Mukerji's visual-effects-heavy fantasy, in which Shah Rukh Khan appears in an extended special role as a scientist. The film was a hit. He is the son of the producer Naresh Malhotra, also credited in this filmography.</t>
        </is>
      </c>
      <c r="T249" s="5" t="inlineStr">
        <is>
          <t>SOURCE-289; SOURCE-096</t>
        </is>
      </c>
      <c r="U249" s="5" t="inlineStr">
        <is>
          <t>Medium</t>
        </is>
      </c>
    </row>
    <row r="250" ht="49" customHeight="1">
      <c r="A250" s="15" t="inlineStr">
        <is>
          <t>PERSON-249</t>
        </is>
      </c>
      <c r="B250" s="5" t="inlineStr">
        <is>
          <t>Naresh Malhotra</t>
        </is>
      </c>
      <c r="C250" s="5" t="inlineStr">
        <is>
          <t>Director</t>
        </is>
      </c>
      <c r="D250" s="20" t="n"/>
      <c r="E250" s="20" t="n"/>
      <c r="F250" s="5" t="n"/>
      <c r="G250" s="5" t="inlineStr">
        <is>
          <t>Hindi cinema</t>
        </is>
      </c>
      <c r="H250" s="5" t="inlineStr">
        <is>
          <t>A director credited on one film in this filmography, with no Wikipedia article of their own.</t>
        </is>
      </c>
      <c r="I250" s="5" t="n"/>
      <c r="J250" s="5" t="inlineStr">
        <is>
          <t>With Khan: Achanak (1998).</t>
        </is>
      </c>
      <c r="K250" s="19" t="n"/>
      <c r="L250" s="19" t="n"/>
      <c r="M250" s="5" t="n"/>
      <c r="N250" s="19" t="n"/>
      <c r="O250" s="19" t="inlineStr">
        <is>
          <t>One film with Khan, credited as director: Achanak (1998), with Khan in a self appearance; verdict: Box-office failure.</t>
        </is>
      </c>
      <c r="P250" s="17" t="n">
        <v>1</v>
      </c>
      <c r="Q250" s="5" t="inlineStr">
        <is>
          <t>FILM-029</t>
        </is>
      </c>
      <c r="R250" s="5" t="inlineStr">
        <is>
          <t>Achanak (1998)</t>
        </is>
      </c>
      <c r="S250" s="5" t="inlineStr">
        <is>
          <t>Naresh Malhotra is credited as director on Achanak (1998). No Wikipedia article or other independent biography was located; this row is built from the film credit alone.</t>
        </is>
      </c>
      <c r="T250" s="5" t="inlineStr">
        <is>
          <t>SOURCE-032</t>
        </is>
      </c>
      <c r="U250" s="5" t="inlineStr">
        <is>
          <t>Low</t>
        </is>
      </c>
    </row>
    <row r="251" ht="64" customHeight="1">
      <c r="A251" s="15" t="inlineStr">
        <is>
          <t>PERSON-250</t>
        </is>
      </c>
      <c r="B251" s="5" t="inlineStr">
        <is>
          <t>Naresh Sharma</t>
        </is>
      </c>
      <c r="C251" s="5" t="inlineStr">
        <is>
          <t>Background-score composer</t>
        </is>
      </c>
      <c r="D251" s="20" t="n"/>
      <c r="E251" s="20" t="n"/>
      <c r="F251" s="5" t="n"/>
      <c r="G251" s="5" t="inlineStr">
        <is>
          <t>Hindi cinema</t>
        </is>
      </c>
      <c r="H251" s="5" t="inlineStr">
        <is>
          <t>A background-score composer credited on one film in this filmography, with no Wikipedia article of their own.</t>
        </is>
      </c>
      <c r="I251" s="5" t="n"/>
      <c r="J251" s="5" t="inlineStr">
        <is>
          <t>With Khan: Zamaana Deewana (1995).</t>
        </is>
      </c>
      <c r="K251" s="19" t="n"/>
      <c r="L251" s="19" t="n"/>
      <c r="M251" s="5" t="n"/>
      <c r="N251" s="19" t="n"/>
      <c r="O251" s="19" t="inlineStr">
        <is>
          <t>One film with Khan, credited as background-score composer: Zamaana Deewana (1995), directed by Ramesh Sippy, with Khan in the lead as Rahul Singh; verdict: Under-performed.</t>
        </is>
      </c>
      <c r="P251" s="17" t="n">
        <v>1</v>
      </c>
      <c r="Q251" s="5" t="inlineStr">
        <is>
          <t>FILM-013</t>
        </is>
      </c>
      <c r="R251" s="5" t="inlineStr">
        <is>
          <t>Zamaana Deewana (1995)</t>
        </is>
      </c>
      <c r="S251" s="5" t="inlineStr">
        <is>
          <t>Naresh Sharma is credited as background-score composer on Zamaana Deewana (1995). No Wikipedia article or other independent biography was located; this row is built from the film credit alone.</t>
        </is>
      </c>
      <c r="T251" s="5" t="inlineStr">
        <is>
          <t>SOURCE-016</t>
        </is>
      </c>
      <c r="U251" s="5" t="inlineStr">
        <is>
          <t>Low</t>
        </is>
      </c>
    </row>
    <row r="252" ht="64" customHeight="1">
      <c r="A252" s="15" t="inlineStr">
        <is>
          <t>PERSON-251</t>
        </is>
      </c>
      <c r="B252" s="5" t="inlineStr">
        <is>
          <t>Naushad</t>
        </is>
      </c>
      <c r="C252" s="5" t="inlineStr">
        <is>
          <t>Song composer</t>
        </is>
      </c>
      <c r="D252" s="17" t="n">
        <v>1919</v>
      </c>
      <c r="E252" s="17" t="n">
        <v>2006</v>
      </c>
      <c r="F252" s="5" t="inlineStr">
        <is>
          <t>1940–2005</t>
        </is>
      </c>
      <c r="G252" s="5" t="inlineStr">
        <is>
          <t>Hindi cinema</t>
        </is>
      </c>
      <c r="H252" s="5" t="inlineStr">
        <is>
          <t>A Lucknow-born Hindi-film composer, remembered as 'Moseeqar-e-Azam', known for bringing Hindustani classical music into film song.</t>
        </is>
      </c>
      <c r="I252" s="5" t="inlineStr">
        <is>
          <t>Prem Nagar (1940), his first film as independent music director; first hit Rattan (1944).</t>
        </is>
      </c>
      <c r="J252" s="5" t="inlineStr">
        <is>
          <t>With Khan: Guddu (1995). Wider work: Rattan, Andaz, Baiju Bawra, Mother India, Mughal-e-Azam, Ganga Jamuna, Pakeezah (background).</t>
        </is>
      </c>
      <c r="K252" s="19" t="inlineStr">
        <is>
          <t>Classical and folk-based film song.</t>
        </is>
      </c>
      <c r="L252" s="19" t="n"/>
      <c r="M252" s="5" t="inlineStr">
        <is>
          <t>Dadasaheb Phalke Award (1981); Padma Bhushan (1992).</t>
        </is>
      </c>
      <c r="N252" s="19" t="inlineStr">
        <is>
          <t>One of the greatest composers of Hindi cinema's golden age, with 35 silver-jubilee hits.</t>
        </is>
      </c>
      <c r="O252" s="19" t="inlineStr">
        <is>
          <t>One late credit: the songs of Prem Lalwani's Guddu, with Khan in the lead, among Naushad's last film scores.</t>
        </is>
      </c>
      <c r="P252" s="17" t="n">
        <v>1</v>
      </c>
      <c r="Q252" s="5" t="inlineStr">
        <is>
          <t>FILM-014</t>
        </is>
      </c>
      <c r="R252" s="5" t="inlineStr">
        <is>
          <t>Guddu (1995)</t>
        </is>
      </c>
      <c r="S252" s="5" t="inlineStr">
        <is>
          <t>Naushad Ali grew up in Lucknow listening to qawwals at the Deva Sharif fair and became the composer most associated with classical music in Hindi film, from Rattan (1944) through Baiju Bawra, Mother India and Mughal-e-Azam. He received the Dadasaheb Phalke Award in 1981. By the 1990s he worked only occasionally; Guddu (1995), a family melodrama starring Shah Rukh Khan, was one of his last scores. He died on 5 May 2006.</t>
        </is>
      </c>
      <c r="T252" s="5" t="inlineStr">
        <is>
          <t>SOURCE-290; SOURCE-017</t>
        </is>
      </c>
      <c r="U252" s="5" t="inlineStr">
        <is>
          <t>Medium</t>
        </is>
      </c>
    </row>
    <row r="253" ht="64" customHeight="1">
      <c r="A253" s="15" t="inlineStr">
        <is>
          <t>PERSON-252</t>
        </is>
      </c>
      <c r="B253" s="5" t="inlineStr">
        <is>
          <t>Nazir Ahmed</t>
        </is>
      </c>
      <c r="C253" s="5" t="inlineStr">
        <is>
          <t>Producer</t>
        </is>
      </c>
      <c r="D253" s="20" t="n"/>
      <c r="E253" s="20" t="n"/>
      <c r="F253" s="5" t="n"/>
      <c r="G253" s="5" t="inlineStr">
        <is>
          <t>Hindi cinema</t>
        </is>
      </c>
      <c r="H253" s="5" t="inlineStr">
        <is>
          <t>A producer credited on one film in this filmography, with no Wikipedia article of their own.</t>
        </is>
      </c>
      <c r="I253" s="5" t="n"/>
      <c r="J253" s="5" t="inlineStr">
        <is>
          <t>With Khan: One 2 Ka 4 (2001).</t>
        </is>
      </c>
      <c r="K253" s="19" t="n"/>
      <c r="L253" s="19" t="n"/>
      <c r="M253" s="5" t="n"/>
      <c r="N253" s="19" t="n"/>
      <c r="O253" s="19" t="inlineStr">
        <is>
          <t>One film with Khan, credited as producer: One 2 Ka 4 (2001), directed by Shashilal K. Nair, with Khan in the lead as ACP Arun Verma; verdict: Disaster.</t>
        </is>
      </c>
      <c r="P253" s="17" t="n">
        <v>1</v>
      </c>
      <c r="Q253" s="5" t="inlineStr">
        <is>
          <t>FILM-039</t>
        </is>
      </c>
      <c r="R253" s="5" t="inlineStr">
        <is>
          <t>One 2 Ka 4 (2001)</t>
        </is>
      </c>
      <c r="S253" s="5" t="inlineStr">
        <is>
          <t>Nazir Ahmed is credited as producer on One 2 Ka 4 (2001). No Wikipedia article or other independent biography was located; this row is built from the film credit alone.</t>
        </is>
      </c>
      <c r="T253" s="5" t="inlineStr">
        <is>
          <t>SOURCE-042</t>
        </is>
      </c>
      <c r="U253" s="5" t="inlineStr">
        <is>
          <t>Low</t>
        </is>
      </c>
    </row>
    <row r="254" ht="64" customHeight="1">
      <c r="A254" s="15" t="inlineStr">
        <is>
          <t>PERSON-253</t>
        </is>
      </c>
      <c r="B254" s="5" t="inlineStr">
        <is>
          <t>Neha Rakesh Sharma</t>
        </is>
      </c>
      <c r="C254" s="5" t="inlineStr">
        <is>
          <t>Writer</t>
        </is>
      </c>
      <c r="D254" s="20" t="n"/>
      <c r="E254" s="20" t="n"/>
      <c r="F254" s="5" t="n"/>
      <c r="G254" s="5" t="inlineStr">
        <is>
          <t>Hindi cinema</t>
        </is>
      </c>
      <c r="H254" s="5" t="inlineStr">
        <is>
          <t>A writer credited on one film in this filmography, with no Wikipedia article of their own.</t>
        </is>
      </c>
      <c r="I254" s="5" t="n"/>
      <c r="J254" s="5" t="inlineStr">
        <is>
          <t>With Khan: The Zoya Factor (2019).</t>
        </is>
      </c>
      <c r="K254" s="19" t="n"/>
      <c r="L254" s="19" t="n"/>
      <c r="M254" s="5" t="n"/>
      <c r="N254" s="19" t="n"/>
      <c r="O254" s="19" t="inlineStr">
        <is>
          <t>One film with Khan, credited as writer: The Zoya Factor (2019), directed by Abhishek Sharma, with Khan in the narration; verdict: Box-office disaster.</t>
        </is>
      </c>
      <c r="P254" s="17" t="n">
        <v>1</v>
      </c>
      <c r="Q254" s="5" t="inlineStr">
        <is>
          <t>FILM-090</t>
        </is>
      </c>
      <c r="R254" s="5" t="inlineStr">
        <is>
          <t>The Zoya Factor (2019)</t>
        </is>
      </c>
      <c r="S254" s="5" t="inlineStr">
        <is>
          <t>Neha Rakesh Sharma is credited as writer on The Zoya Factor (2019). No Wikipedia article or other independent biography was located; this row is built from the film credit alone.</t>
        </is>
      </c>
      <c r="T254" s="5" t="inlineStr">
        <is>
          <t>SOURCE-093</t>
        </is>
      </c>
      <c r="U254" s="5" t="inlineStr">
        <is>
          <t>Low</t>
        </is>
      </c>
    </row>
    <row r="255" ht="154" customHeight="1">
      <c r="A255" s="15" t="inlineStr">
        <is>
          <t>PERSON-254</t>
        </is>
      </c>
      <c r="B255" s="5" t="inlineStr">
        <is>
          <t>Nikkhil Advani</t>
        </is>
      </c>
      <c r="C255" s="5" t="inlineStr">
        <is>
          <t>Director; producer; screenwriter (Emmay Entertainment)</t>
        </is>
      </c>
      <c r="D255" s="17" t="n">
        <v>1971</v>
      </c>
      <c r="E255" s="20" t="n"/>
      <c r="F255" s="5" t="inlineStr">
        <is>
          <t>1996–present</t>
        </is>
      </c>
      <c r="G255" s="5" t="inlineStr">
        <is>
          <t>Hindi</t>
        </is>
      </c>
      <c r="H255" s="5" t="inlineStr">
        <is>
          <t>Assisted Saeed and Aziz Mirza on Naya Nukkad, co-wrote Iss Raat Ki Subah Nahin, and was assistant director to Karan Johar on Kuch Kuch Hota Hai and Kabhi Khushi Kabhie Gham and to Aditya Chopra on Mohabbatein.</t>
        </is>
      </c>
      <c r="I255" s="5" t="inlineStr">
        <is>
          <t>Kal Ho Naa Ho (2003).</t>
        </is>
      </c>
      <c r="J255" s="5" t="inlineStr">
        <is>
          <t>Kal Ho Naa Ho (2003)</t>
        </is>
      </c>
      <c r="K255" s="19" t="n"/>
      <c r="L255" s="19" t="inlineStr">
        <is>
          <t>Emotionally driven drama in the Dharma Productions mould; Anupama Chopra described him as 'a distinctive voice'.</t>
        </is>
      </c>
      <c r="M255" s="5" t="inlineStr">
        <is>
          <t>Kal Ho Naa Ho won two National Film Awards and eight Filmfare Awards.</t>
        </is>
      </c>
      <c r="N255" s="19" t="inlineStr">
        <is>
          <t>An assistant from Khan's biggest romances of the late 1990s who directed one of the most successful films of 2003.</t>
        </is>
      </c>
      <c r="O255" s="19" t="inlineStr">
        <is>
          <t>Assisted on three Khan films and made a guest appearance in Kuch Kuch Hota Hai before directing him as the dying Aman in Kal Ho Naa Ho.</t>
        </is>
      </c>
      <c r="P255" s="17" t="n">
        <v>1</v>
      </c>
      <c r="Q255" s="5" t="inlineStr">
        <is>
          <t>FILM-047</t>
        </is>
      </c>
      <c r="R255" s="5" t="inlineStr">
        <is>
          <t>Kal Ho Naa Ho (2003)</t>
        </is>
      </c>
      <c r="S255" s="5" t="inlineStr">
        <is>
          <t>Nikkhil Advani, born Nikhil Suresh Advani on 28 April 1971 in Bombay, is a director, producer and screenwriter who co-founded the company Emmay Entertainment with his sister Monisha Advani and Madhu Bhojwani. He studied chemistry at St. Xavier's College, Mumbai, and started his career assisting Saeed and Aziz Mirza on the television series Naya Nukkad (1994), then co-wrote Iss Raat Ki Subah Nahin (1996). He was an assistant director to Karan Johar on Kuch Kuch Hota Hai (1998), in which he also appeared in the Neelam talk-show sequence, and on Kabhi Khushi Kabhie Gham (2001), and to Aditya Chopra on Mohabbatein (2000), all starring Shah Rukh Khan. Advani made his directorial debut with Kal Ho Naa Ho (2003), written by Johar and set in New York. Khan plays Aman, a cheerful neighbour secretly dying of a heart condition, who steers the woman he loves towards her best friend. The film was critically acclaimed, became the highest-grossing Hindi film of the year worldwide, and won two National Film Awards and eight Filmfare Awards.</t>
        </is>
      </c>
      <c r="T255" s="5" t="inlineStr">
        <is>
          <t>SOURCE-159; SOURCE-050</t>
        </is>
      </c>
      <c r="U255" s="5" t="inlineStr">
        <is>
          <t>Medium</t>
        </is>
      </c>
    </row>
    <row r="256" ht="64" customHeight="1">
      <c r="A256" s="15" t="inlineStr">
        <is>
          <t>PERSON-255</t>
        </is>
      </c>
      <c r="B256" s="5" t="inlineStr">
        <is>
          <t>Niraj Shukla</t>
        </is>
      </c>
      <c r="C256" s="5" t="inlineStr">
        <is>
          <t>Writer</t>
        </is>
      </c>
      <c r="D256" s="20" t="n"/>
      <c r="E256" s="20" t="n"/>
      <c r="F256" s="5" t="n"/>
      <c r="G256" s="5" t="inlineStr">
        <is>
          <t>Hindi cinema</t>
        </is>
      </c>
      <c r="H256" s="5" t="inlineStr">
        <is>
          <t>A writer credited on one film in this filmography, with no Wikipedia article of their own.</t>
        </is>
      </c>
      <c r="I256" s="5" t="n"/>
      <c r="J256" s="5" t="inlineStr">
        <is>
          <t>With Khan: Raees (2017).</t>
        </is>
      </c>
      <c r="K256" s="19" t="n"/>
      <c r="L256" s="19" t="n"/>
      <c r="M256" s="5" t="n"/>
      <c r="N256" s="19" t="n"/>
      <c r="O256" s="19" t="inlineStr">
        <is>
          <t>One film with Khan, credited as writer: Raees (2017), directed by Rahul Dholakia, with Khan in the lead as Raees Alam; verdict: Moderate success.</t>
        </is>
      </c>
      <c r="P256" s="17" t="n">
        <v>1</v>
      </c>
      <c r="Q256" s="5" t="inlineStr">
        <is>
          <t>FILM-086</t>
        </is>
      </c>
      <c r="R256" s="5" t="inlineStr">
        <is>
          <t>Raees (2017)</t>
        </is>
      </c>
      <c r="S256" s="5" t="inlineStr">
        <is>
          <t>Niraj Shukla is credited as writer on Raees (2017). No Wikipedia article or other independent biography was located; this row is built from the film credit alone.</t>
        </is>
      </c>
      <c r="T256" s="5" t="inlineStr">
        <is>
          <t>SOURCE-089</t>
        </is>
      </c>
      <c r="U256" s="5" t="inlineStr">
        <is>
          <t>Low</t>
        </is>
      </c>
    </row>
    <row r="257" ht="64" customHeight="1">
      <c r="A257" s="15" t="inlineStr">
        <is>
          <t>PERSON-256</t>
        </is>
      </c>
      <c r="B257" s="5" t="inlineStr">
        <is>
          <t>Nitesh Tiwari</t>
        </is>
      </c>
      <c r="C257" s="5" t="inlineStr">
        <is>
          <t>Director; Writer</t>
        </is>
      </c>
      <c r="D257" s="17" t="n">
        <v>1973</v>
      </c>
      <c r="E257" s="20" t="n"/>
      <c r="F257" s="5" t="inlineStr">
        <is>
          <t>2011–present</t>
        </is>
      </c>
      <c r="G257" s="5" t="inlineStr">
        <is>
          <t>Hindi cinema</t>
        </is>
      </c>
      <c r="H257" s="5" t="inlineStr">
        <is>
          <t>A Madhya Pradesh-born Hindi-film director, screenwriter and lyricist who co-founded Earthsky Pictures, an advertising and documentary production company.</t>
        </is>
      </c>
      <c r="I257" s="5" t="inlineStr">
        <is>
          <t>Co-writer and co-director of Chillar Party (2011); solo directorial debut Bhoothnath Returns (2014).</t>
        </is>
      </c>
      <c r="J257" s="5" t="inlineStr">
        <is>
          <t>With Khan: Bhoothnath Returns (2014). Wider work: Chillar Party, Dangal, Chhichhore, Bawaal, Ramayana.</t>
        </is>
      </c>
      <c r="K257" s="19" t="inlineStr">
        <is>
          <t>Family and sports drama with comic warmth.</t>
        </is>
      </c>
      <c r="L257" s="19" t="n"/>
      <c r="M257" s="5" t="inlineStr">
        <is>
          <t>Three National Film Awards (Chillar Party twice, Chhichhore); Filmfare Award for Best Director (Dangal).</t>
        </is>
      </c>
      <c r="N257" s="19" t="n"/>
      <c r="O257" s="19" t="inlineStr">
        <is>
          <t>One film: Bhoothnath Returns, his first solo film, in which Khan reprises a cameo; it was profitable.</t>
        </is>
      </c>
      <c r="P257" s="17" t="n">
        <v>1</v>
      </c>
      <c r="Q257" s="5" t="inlineStr">
        <is>
          <t>FILM-080</t>
        </is>
      </c>
      <c r="R257" s="5" t="inlineStr">
        <is>
          <t>Bhoothnath Returns (2014)</t>
        </is>
      </c>
      <c r="S257" s="5" t="inlineStr">
        <is>
          <t>Nitesh Tiwari came from advertising and co-wrote and co-directed Chillar Party (2011), which won two National Awards. His solo debut, Bhoothnath Returns (2014), a political satire with Amitabh Bachchan as a ghost who stands for election, includes a cameo by Shah Rukh Khan, who had appeared in the first Bhoothnath. Tiwari then wrote and directed Dangal (2016), the highest-grossing Indian film at the time, and Chhichhore (2019).</t>
        </is>
      </c>
      <c r="T257" s="5" t="inlineStr">
        <is>
          <t>SOURCE-291; SOURCE-083</t>
        </is>
      </c>
      <c r="U257" s="5" t="inlineStr">
        <is>
          <t>Medium</t>
        </is>
      </c>
    </row>
    <row r="258" ht="64" customHeight="1">
      <c r="A258" s="15" t="inlineStr">
        <is>
          <t>PERSON-257</t>
        </is>
      </c>
      <c r="B258" s="5" t="inlineStr">
        <is>
          <t>Nitin Manmohan</t>
        </is>
      </c>
      <c r="C258" s="5" t="inlineStr">
        <is>
          <t>Producer</t>
        </is>
      </c>
      <c r="D258" s="20" t="n"/>
      <c r="E258" s="20" t="n"/>
      <c r="F258" s="5" t="n"/>
      <c r="G258" s="5" t="inlineStr">
        <is>
          <t>Hindi cinema</t>
        </is>
      </c>
      <c r="H258" s="5" t="inlineStr">
        <is>
          <t>A producer credited on one film in this filmography, with no Wikipedia article of their own.</t>
        </is>
      </c>
      <c r="I258" s="5" t="n"/>
      <c r="J258" s="5" t="inlineStr">
        <is>
          <t>With Khan: Army (1996).</t>
        </is>
      </c>
      <c r="K258" s="19" t="n"/>
      <c r="L258" s="19" t="n"/>
      <c r="M258" s="5" t="n"/>
      <c r="N258" s="19" t="n"/>
      <c r="O258" s="19" t="inlineStr">
        <is>
          <t>One film with Khan, credited as producer: Army (1996), directed by Raam Shetty, with Khan in an extended special appearance as Major Arjun Singh.</t>
        </is>
      </c>
      <c r="P258" s="17" t="n">
        <v>1</v>
      </c>
      <c r="Q258" s="5" t="inlineStr">
        <is>
          <t>FILM-021</t>
        </is>
      </c>
      <c r="R258" s="5" t="inlineStr">
        <is>
          <t>Army (1996)</t>
        </is>
      </c>
      <c r="S258" s="5" t="inlineStr">
        <is>
          <t>Nitin Manmohan is credited as producer on Army (1996). No Wikipedia article or other independent biography was located; this row is built from the film credit alone.</t>
        </is>
      </c>
      <c r="T258" s="5" t="inlineStr">
        <is>
          <t>SOURCE-024</t>
        </is>
      </c>
      <c r="U258" s="5" t="inlineStr">
        <is>
          <t>Low</t>
        </is>
      </c>
    </row>
    <row r="259" ht="64" customHeight="1">
      <c r="A259" s="15" t="inlineStr">
        <is>
          <t>PERSON-258</t>
        </is>
      </c>
      <c r="B259" s="5" t="inlineStr">
        <is>
          <t>Palash Muchhal</t>
        </is>
      </c>
      <c r="C259" s="5" t="inlineStr">
        <is>
          <t>Song composer</t>
        </is>
      </c>
      <c r="D259" s="17" t="n">
        <v>1995</v>
      </c>
      <c r="E259" s="20" t="n"/>
      <c r="F259" s="5" t="n"/>
      <c r="G259" s="5" t="inlineStr">
        <is>
          <t>Hindi cinema</t>
        </is>
      </c>
      <c r="H259" s="5" t="inlineStr">
        <is>
          <t>An Indian composer, brother of the singer Palak Muchhal and brother-in-law of the composer Mithoon, who began composing for Hindi films as a teenager.</t>
        </is>
      </c>
      <c r="I259" s="5" t="n"/>
      <c r="J259" s="5" t="inlineStr">
        <is>
          <t>With Khan: Bhoothnath Returns (2014).</t>
        </is>
      </c>
      <c r="K259" s="19" t="n"/>
      <c r="L259" s="19" t="n"/>
      <c r="M259" s="5" t="n"/>
      <c r="N259" s="19" t="n"/>
      <c r="O259" s="19" t="inlineStr">
        <is>
          <t>One film: Bhoothnath Returns, for which he composed a song, aged about nineteen; Khan has a cameo.</t>
        </is>
      </c>
      <c r="P259" s="17" t="n">
        <v>1</v>
      </c>
      <c r="Q259" s="5" t="inlineStr">
        <is>
          <t>FILM-080</t>
        </is>
      </c>
      <c r="R259" s="5" t="inlineStr">
        <is>
          <t>Bhoothnath Returns (2014)</t>
        </is>
      </c>
      <c r="S259" s="5" t="inlineStr">
        <is>
          <t>Palash Muchhal is the younger brother of the playback singer Palak Muchhal and began writing songs for Hindi films in his teens. One of his early credits is Bhoothnath Returns (2014), Nitesh Tiwari's political comedy, in which Shah Rukh Khan makes a cameo. His Wikipedia article gives little detail on his film work.</t>
        </is>
      </c>
      <c r="T259" s="5" t="inlineStr">
        <is>
          <t>SOURCE-292; SOURCE-083</t>
        </is>
      </c>
      <c r="U259" s="5" t="inlineStr">
        <is>
          <t>Low</t>
        </is>
      </c>
    </row>
    <row r="260" ht="94" customHeight="1">
      <c r="A260" s="15" t="inlineStr">
        <is>
          <t>PERSON-259</t>
        </is>
      </c>
      <c r="B260" s="5" t="inlineStr">
        <is>
          <t>Pamela Chopra</t>
        </is>
      </c>
      <c r="C260" s="5" t="inlineStr">
        <is>
          <t>Writer; playback singer; producer</t>
        </is>
      </c>
      <c r="D260" s="17" t="n">
        <v>1948</v>
      </c>
      <c r="E260" s="17" t="n">
        <v>2023</v>
      </c>
      <c r="F260" s="5" t="n"/>
      <c r="G260" s="5" t="inlineStr">
        <is>
          <t>Hindi cinema</t>
        </is>
      </c>
      <c r="H260" s="5" t="inlineStr">
        <is>
          <t>An Amritsar-born playback singer, writer and producer, wife of Yash Chopra and mother of Aditya and Uday Chopra; a cousin of Simi Garewal.</t>
        </is>
      </c>
      <c r="I260" s="5" t="inlineStr">
        <is>
          <t>As singer, Kabhi Kabhie (1976).</t>
        </is>
      </c>
      <c r="J260" s="5" t="inlineStr">
        <is>
          <t>With Khan: Dil To Pagal Hai (1997), co-writer. Sang in Yash Chopra productions from Kabhi Kabhie to Mujhse Dosti Karoge!.</t>
        </is>
      </c>
      <c r="K260" s="19" t="inlineStr">
        <is>
          <t>Folk and wedding songs in Yash Raj films.</t>
        </is>
      </c>
      <c r="L260" s="19" t="n"/>
      <c r="M260" s="5" t="n"/>
      <c r="N260" s="19" t="n"/>
      <c r="O260" s="19" t="inlineStr">
        <is>
          <t>Co-wrote Dil To Pagal Hai with Yash Chopra, Aditya Chopra and Tanuja Chandra; Khan plays the director of a dance troupe caught between two women. She was part of the Chopra family that made Khan's most important romances.</t>
        </is>
      </c>
      <c r="P260" s="17" t="n">
        <v>1</v>
      </c>
      <c r="Q260" s="5" t="inlineStr">
        <is>
          <t>FILM-027</t>
        </is>
      </c>
      <c r="R260" s="5" t="inlineStr">
        <is>
          <t>Dil To Pagal Hai (1997)</t>
        </is>
      </c>
      <c r="S260" s="5" t="inlineStr">
        <is>
          <t>Pamela Chopra, born Pamela Singh, the daughter of an army officer, married Yash Chopra and sang a folk or wedding song in nearly every one of his productions from Kabhi Kabhie (1976) to Mujhse Dosti Karoge! (2002). She was also credited as producer on some of his films and co-wrote Dil To Pagal Hai (1997), the musical romance in which Shah Rukh Khan plays Rahul, a stage director who does not believe in love until he meets Madhuri Dixit's Pooja. The film was one of the biggest hits of its year. She died on 20 April 2023.</t>
        </is>
      </c>
      <c r="T260" s="5" t="inlineStr">
        <is>
          <t>SOURCE-293; SOURCE-030</t>
        </is>
      </c>
      <c r="U260" s="5" t="inlineStr">
        <is>
          <t>Medium</t>
        </is>
      </c>
    </row>
    <row r="261" ht="79" customHeight="1">
      <c r="A261" s="15" t="inlineStr">
        <is>
          <t>PERSON-260</t>
        </is>
      </c>
      <c r="B261" s="5" t="inlineStr">
        <is>
          <t>Pankaj Advani</t>
        </is>
      </c>
      <c r="C261" s="5" t="inlineStr">
        <is>
          <t>Writer</t>
        </is>
      </c>
      <c r="D261" s="17" t="n">
        <v>1965</v>
      </c>
      <c r="E261" s="17" t="n">
        <v>2010</v>
      </c>
      <c r="F261" s="5" t="n"/>
      <c r="G261" s="5" t="inlineStr">
        <is>
          <t>Hindi cinema</t>
        </is>
      </c>
      <c r="H261" s="5" t="inlineStr">
        <is>
          <t>A Lucknow-born director, editor, screenwriter, photographer, theatre director and painter who grew up in Veraval, Gujarat, and worked in Hindi and crossover cinema.</t>
        </is>
      </c>
      <c r="I261" s="5" t="inlineStr">
        <is>
          <t>Screenwriting debut Kabhi Haan Kabhi Naa.</t>
        </is>
      </c>
      <c r="J261" s="5" t="inlineStr">
        <is>
          <t>With Khan: Kabhi Haan Kabhi Naa (1994). Wider work: the short film Sunday; Urf Professor; Sankat City.</t>
        </is>
      </c>
      <c r="K261" s="19" t="inlineStr">
        <is>
          <t>Offbeat black comedy.</t>
        </is>
      </c>
      <c r="L261" s="19" t="n"/>
      <c r="M261" s="5" t="inlineStr">
        <is>
          <t>National Film Award for Best Short Fiction Film (Sunday).</t>
        </is>
      </c>
      <c r="N261" s="19" t="n"/>
      <c r="O261" s="19" t="inlineStr">
        <is>
          <t>Co-wrote Kundan Shah's Kabhi Haan Kabhi Naa, with Khan as Sunil, a lovable failure in a Goa band; it won the Filmfare Critics Award for Best Film and is one of Khan's best-loved early roles.</t>
        </is>
      </c>
      <c r="P261" s="17" t="n">
        <v>1</v>
      </c>
      <c r="Q261" s="5" t="inlineStr">
        <is>
          <t>FILM-010</t>
        </is>
      </c>
      <c r="R261" s="5" t="inlineStr">
        <is>
          <t>Kabhi Haan Kabhi Naa (1994)</t>
        </is>
      </c>
      <c r="S261" s="5" t="inlineStr">
        <is>
          <t>Pankaj Advani's first Hindi screenplay was Kabhi Haan Kabhi Naa (1994), Kundan Shah's comedy in which Shah Rukh Khan plays Sunil, a musician in Goa who loses the girl he loves and still behaves well; the film won the Filmfare Critics Award for Best Film and showed a gentler side of Khan in the same year as his villain roles. Advani went on to write and direct the short Sunday, which won a National Award, and the black comedies Urf Professor and Sankat City. He died on 11 November 2010.</t>
        </is>
      </c>
      <c r="T261" s="5" t="inlineStr">
        <is>
          <t>SOURCE-294; SOURCE-013</t>
        </is>
      </c>
      <c r="U261" s="5" t="inlineStr">
        <is>
          <t>Medium</t>
        </is>
      </c>
    </row>
    <row r="262" ht="64" customHeight="1">
      <c r="A262" s="15" t="inlineStr">
        <is>
          <t>PERSON-261</t>
        </is>
      </c>
      <c r="B262" s="5" t="inlineStr">
        <is>
          <t>Paramount Pictures</t>
        </is>
      </c>
      <c r="C262" s="5" t="inlineStr">
        <is>
          <t>Production banner</t>
        </is>
      </c>
      <c r="D262" s="20" t="n"/>
      <c r="E262" s="20" t="n"/>
      <c r="F262" s="5" t="n"/>
      <c r="G262" s="5" t="inlineStr">
        <is>
          <t>American cinema</t>
        </is>
      </c>
      <c r="H262" s="5" t="inlineStr">
        <is>
          <t>An American film studio founded in 1912, the second-oldest in the United States and one of the 'Big Four', now a division of Skydance.</t>
        </is>
      </c>
      <c r="I262" s="5" t="n"/>
      <c r="J262" s="5" t="inlineStr">
        <is>
          <t>With Khan: Laal Singh Chaddha (2022). Wider library: The Godfather, Forrest Gump, Titanic, Star Trek, Mission: Impossible, Top Gun.</t>
        </is>
      </c>
      <c r="K262" s="19" t="n"/>
      <c r="L262" s="19" t="n"/>
      <c r="M262" s="5" t="n"/>
      <c r="N262" s="19" t="n"/>
      <c r="O262" s="19" t="inlineStr">
        <is>
          <t>One film: Laal Singh Chaddha, the Indian remake of Paramount's own Forrest Gump, co-produced with Aamir Khan Productions and Viacom18; Khan appears as himself.</t>
        </is>
      </c>
      <c r="P262" s="17" t="n">
        <v>1</v>
      </c>
      <c r="Q262" s="5" t="inlineStr">
        <is>
          <t>FILM-092</t>
        </is>
      </c>
      <c r="R262" s="5" t="inlineStr">
        <is>
          <t>Laal Singh Chaddha (2022)</t>
        </is>
      </c>
      <c r="S262" s="5" t="inlineStr">
        <is>
          <t>Paramount Pictures, founded in 1912, owns the rights to Forrest Gump and co-produced its Indian adaptation, Laal Singh Chaddha (2022), with Aamir Khan Productions and Viacom18 Studios. Shah Rukh Khan makes a brief appearance in the film as himself. It was a commercial disaster.</t>
        </is>
      </c>
      <c r="T262" s="5" t="inlineStr">
        <is>
          <t>SOURCE-295; SOURCE-095</t>
        </is>
      </c>
      <c r="U262" s="5" t="inlineStr">
        <is>
          <t>Medium</t>
        </is>
      </c>
    </row>
    <row r="263" ht="64" customHeight="1">
      <c r="A263" s="15" t="inlineStr">
        <is>
          <t>PERSON-262</t>
        </is>
      </c>
      <c r="B263" s="5" t="inlineStr">
        <is>
          <t>Parikshit Sharma</t>
        </is>
      </c>
      <c r="C263" s="5" t="inlineStr">
        <is>
          <t>Background-score composer</t>
        </is>
      </c>
      <c r="D263" s="20" t="n"/>
      <c r="E263" s="20" t="n"/>
      <c r="F263" s="5" t="n"/>
      <c r="G263" s="5" t="inlineStr">
        <is>
          <t>Hindi cinema</t>
        </is>
      </c>
      <c r="H263" s="5" t="inlineStr">
        <is>
          <t>A background-score composer credited on one film in this filmography, with no Wikipedia article of their own.</t>
        </is>
      </c>
      <c r="I263" s="5" t="n"/>
      <c r="J263" s="5" t="inlineStr">
        <is>
          <t>With Khan: The Zoya Factor (2019).</t>
        </is>
      </c>
      <c r="K263" s="19" t="n"/>
      <c r="L263" s="19" t="n"/>
      <c r="M263" s="5" t="n"/>
      <c r="N263" s="19" t="n"/>
      <c r="O263" s="19" t="inlineStr">
        <is>
          <t>One film with Khan, credited as background-score composer: The Zoya Factor (2019), directed by Abhishek Sharma, with Khan in the narration; verdict: Box-office disaster.</t>
        </is>
      </c>
      <c r="P263" s="17" t="n">
        <v>1</v>
      </c>
      <c r="Q263" s="5" t="inlineStr">
        <is>
          <t>FILM-090</t>
        </is>
      </c>
      <c r="R263" s="5" t="inlineStr">
        <is>
          <t>The Zoya Factor (2019)</t>
        </is>
      </c>
      <c r="S263" s="5" t="inlineStr">
        <is>
          <t>Parikshit Sharma is credited as background-score composer on The Zoya Factor (2019). No Wikipedia article or other independent biography was located; this row is built from the film credit alone.</t>
        </is>
      </c>
      <c r="T263" s="5" t="inlineStr">
        <is>
          <t>SOURCE-093</t>
        </is>
      </c>
      <c r="U263" s="5" t="inlineStr">
        <is>
          <t>Low</t>
        </is>
      </c>
    </row>
    <row r="264" ht="64" customHeight="1">
      <c r="A264" s="15" t="inlineStr">
        <is>
          <t>PERSON-263</t>
        </is>
      </c>
      <c r="B264" s="5" t="inlineStr">
        <is>
          <t>Parvati Balagopalan</t>
        </is>
      </c>
      <c r="C264" s="5" t="inlineStr">
        <is>
          <t>Writer</t>
        </is>
      </c>
      <c r="D264" s="20" t="n"/>
      <c r="E264" s="20" t="n"/>
      <c r="F264" s="5" t="n"/>
      <c r="G264" s="5" t="inlineStr">
        <is>
          <t>Hindi cinema</t>
        </is>
      </c>
      <c r="H264" s="5" t="inlineStr">
        <is>
          <t>A writer credited on one film in this filmography, with no Wikipedia article of their own.</t>
        </is>
      </c>
      <c r="I264" s="5" t="n"/>
      <c r="J264" s="5" t="inlineStr">
        <is>
          <t>With Khan: Oh Darling! Yeh Hai India! (1995).</t>
        </is>
      </c>
      <c r="K264" s="19" t="n"/>
      <c r="L264" s="19" t="n"/>
      <c r="M264" s="5" t="n"/>
      <c r="N264" s="19" t="n"/>
      <c r="O264" s="19" t="inlineStr">
        <is>
          <t>One film with Khan, credited as writer: Oh Darling! Yeh Hai India! (1995), directed by Ketan Mehta, with Khan in the lead as Hero.</t>
        </is>
      </c>
      <c r="P264" s="17" t="n">
        <v>1</v>
      </c>
      <c r="Q264" s="5" t="inlineStr">
        <is>
          <t>FILM-015</t>
        </is>
      </c>
      <c r="R264" s="5" t="inlineStr">
        <is>
          <t>Oh Darling! Yeh Hai India! (1995)</t>
        </is>
      </c>
      <c r="S264" s="5" t="inlineStr">
        <is>
          <t>Parvati Balagopalan is credited as writer on Oh Darling! Yeh Hai India! (1995). No Wikipedia article or other independent biography was located; this row is built from the film credit alone.</t>
        </is>
      </c>
      <c r="T264" s="5" t="inlineStr">
        <is>
          <t>SOURCE-018</t>
        </is>
      </c>
      <c r="U264" s="5" t="inlineStr">
        <is>
          <t>Low</t>
        </is>
      </c>
    </row>
    <row r="265" ht="49" customHeight="1">
      <c r="A265" s="15" t="inlineStr">
        <is>
          <t>PERSON-264</t>
        </is>
      </c>
      <c r="B265" s="5" t="inlineStr">
        <is>
          <t>Parveez Sheikh</t>
        </is>
      </c>
      <c r="C265" s="5" t="inlineStr">
        <is>
          <t>Writer</t>
        </is>
      </c>
      <c r="D265" s="20" t="n"/>
      <c r="E265" s="20" t="n"/>
      <c r="F265" s="5" t="n"/>
      <c r="G265" s="5" t="inlineStr">
        <is>
          <t>Hindi cinema</t>
        </is>
      </c>
      <c r="H265" s="5" t="inlineStr">
        <is>
          <t>A writer credited on one film in this filmography, with no Wikipedia article of their own.</t>
        </is>
      </c>
      <c r="I265" s="5" t="n"/>
      <c r="J265" s="5" t="inlineStr">
        <is>
          <t>With Khan: Tubelight (2017).</t>
        </is>
      </c>
      <c r="K265" s="19" t="n"/>
      <c r="L265" s="19" t="n"/>
      <c r="M265" s="5" t="n"/>
      <c r="N265" s="19" t="n"/>
      <c r="O265" s="19" t="inlineStr">
        <is>
          <t>One film with Khan, credited as writer: Tubelight (2017), directed by Kabir Khan, with Khan in a cameo as Gogo Pasha.</t>
        </is>
      </c>
      <c r="P265" s="17" t="n">
        <v>1</v>
      </c>
      <c r="Q265" s="5" t="inlineStr">
        <is>
          <t>FILM-087</t>
        </is>
      </c>
      <c r="R265" s="5" t="inlineStr">
        <is>
          <t>Tubelight (2017)</t>
        </is>
      </c>
      <c r="S265" s="5" t="inlineStr">
        <is>
          <t>Parveez Sheikh is credited as writer on Tubelight (2017). No Wikipedia article or other independent biography was located; this row is built from the film credit alone.</t>
        </is>
      </c>
      <c r="T265" s="5" t="inlineStr">
        <is>
          <t>SOURCE-090</t>
        </is>
      </c>
      <c r="U265" s="5" t="inlineStr">
        <is>
          <t>Low</t>
        </is>
      </c>
    </row>
    <row r="266" ht="49" customHeight="1">
      <c r="A266" s="15" t="inlineStr">
        <is>
          <t>PERSON-265</t>
        </is>
      </c>
      <c r="B266" s="5" t="inlineStr">
        <is>
          <t>Pepe Portillo</t>
        </is>
      </c>
      <c r="C266" s="5" t="inlineStr">
        <is>
          <t>Writer</t>
        </is>
      </c>
      <c r="D266" s="20" t="n"/>
      <c r="E266" s="20" t="n"/>
      <c r="F266" s="5" t="n"/>
      <c r="G266" s="5" t="inlineStr">
        <is>
          <t>Hindi cinema</t>
        </is>
      </c>
      <c r="H266" s="5" t="inlineStr">
        <is>
          <t>A writer credited on one film in this filmography, with no Wikipedia article of their own.</t>
        </is>
      </c>
      <c r="I266" s="5" t="n"/>
      <c r="J266" s="5" t="inlineStr">
        <is>
          <t>With Khan: Tubelight (2017).</t>
        </is>
      </c>
      <c r="K266" s="19" t="n"/>
      <c r="L266" s="19" t="n"/>
      <c r="M266" s="5" t="n"/>
      <c r="N266" s="19" t="n"/>
      <c r="O266" s="19" t="inlineStr">
        <is>
          <t>One film with Khan, credited as writer: Tubelight (2017), directed by Kabir Khan, with Khan in a cameo as Gogo Pasha.</t>
        </is>
      </c>
      <c r="P266" s="17" t="n">
        <v>1</v>
      </c>
      <c r="Q266" s="5" t="inlineStr">
        <is>
          <t>FILM-087</t>
        </is>
      </c>
      <c r="R266" s="5" t="inlineStr">
        <is>
          <t>Tubelight (2017)</t>
        </is>
      </c>
      <c r="S266" s="5" t="inlineStr">
        <is>
          <t>Pepe Portillo is credited as writer on Tubelight (2017). No Wikipedia article or other independent biography was located; this row is built from the film credit alone.</t>
        </is>
      </c>
      <c r="T266" s="5" t="inlineStr">
        <is>
          <t>SOURCE-090</t>
        </is>
      </c>
      <c r="U266" s="5" t="inlineStr">
        <is>
          <t>Low</t>
        </is>
      </c>
    </row>
    <row r="267" ht="64" customHeight="1">
      <c r="A267" s="15" t="inlineStr">
        <is>
          <t>PERSON-266</t>
        </is>
      </c>
      <c r="B267" s="5" t="inlineStr">
        <is>
          <t>Piyush Gupta</t>
        </is>
      </c>
      <c r="C267" s="5" t="inlineStr">
        <is>
          <t>Writer</t>
        </is>
      </c>
      <c r="D267" s="20" t="n"/>
      <c r="E267" s="20" t="n"/>
      <c r="F267" s="5" t="n"/>
      <c r="G267" s="5" t="inlineStr">
        <is>
          <t>Hindi cinema</t>
        </is>
      </c>
      <c r="H267" s="5" t="inlineStr">
        <is>
          <t>A writer credited on one film in this filmography, with no Wikipedia article of their own.</t>
        </is>
      </c>
      <c r="I267" s="5" t="n"/>
      <c r="J267" s="5" t="inlineStr">
        <is>
          <t>With Khan: Bhoothnath Returns (2014).</t>
        </is>
      </c>
      <c r="K267" s="19" t="n"/>
      <c r="L267" s="19" t="n"/>
      <c r="M267" s="5" t="n"/>
      <c r="N267" s="19" t="n"/>
      <c r="O267" s="19" t="inlineStr">
        <is>
          <t>One film with Khan, credited as writer: Bhoothnath Returns (2014), directed by Nitesh Tiwari, with Khan in a cameo as Aditya "Adi" Sharma; verdict: Profitable.</t>
        </is>
      </c>
      <c r="P267" s="17" t="n">
        <v>1</v>
      </c>
      <c r="Q267" s="5" t="inlineStr">
        <is>
          <t>FILM-080</t>
        </is>
      </c>
      <c r="R267" s="5" t="inlineStr">
        <is>
          <t>Bhoothnath Returns (2014)</t>
        </is>
      </c>
      <c r="S267" s="5" t="inlineStr">
        <is>
          <t>Piyush Gupta is credited as writer on Bhoothnath Returns (2014). No Wikipedia article or other independent biography was located; this row is built from the film credit alone.</t>
        </is>
      </c>
      <c r="T267" s="5" t="inlineStr">
        <is>
          <t>SOURCE-083</t>
        </is>
      </c>
      <c r="U267" s="5" t="inlineStr">
        <is>
          <t>Low</t>
        </is>
      </c>
    </row>
    <row r="268" ht="49" customHeight="1">
      <c r="A268" s="15" t="inlineStr">
        <is>
          <t>PERSON-267</t>
        </is>
      </c>
      <c r="B268" s="5" t="inlineStr">
        <is>
          <t>Pooja Entertainment</t>
        </is>
      </c>
      <c r="C268" s="5" t="inlineStr">
        <is>
          <t>Production banner</t>
        </is>
      </c>
      <c r="D268" s="20" t="n"/>
      <c r="E268" s="20" t="n"/>
      <c r="F268" s="5" t="n"/>
      <c r="G268" s="5" t="inlineStr">
        <is>
          <t>Hindi cinema</t>
        </is>
      </c>
      <c r="H268" s="5" t="inlineStr">
        <is>
          <t>A Mumbai production and distribution company established as Pooja Films by Vashu Bhagnani in 1986, with more than 40 films by 2024.</t>
        </is>
      </c>
      <c r="I268" s="5" t="n"/>
      <c r="J268" s="5" t="inlineStr">
        <is>
          <t>With Khan: Silsiilay (2005). Wider work: Coolie No. 1, Hero No. 1, Biwi No.1, Bade Miyan Chote Miyan.</t>
        </is>
      </c>
      <c r="K268" s="19" t="inlineStr">
        <is>
          <t>Mainstream comedy, much of it with David Dhawan and Govinda.</t>
        </is>
      </c>
      <c r="L268" s="19" t="n"/>
      <c r="M268" s="5" t="n"/>
      <c r="N268" s="19" t="n"/>
      <c r="O268" s="19" t="inlineStr">
        <is>
          <t>One film: Khalid Mohamed's Silsiilay, which Khan narrates.</t>
        </is>
      </c>
      <c r="P268" s="17" t="n">
        <v>1</v>
      </c>
      <c r="Q268" s="5" t="inlineStr">
        <is>
          <t>FILM-054</t>
        </is>
      </c>
      <c r="R268" s="5" t="inlineStr">
        <is>
          <t>Silsiilay (2005)</t>
        </is>
      </c>
      <c r="S268" s="5" t="inlineStr">
        <is>
          <t>Pooja Entertainment is Vashu Bhagnani's company, founded in 1986, and is best known for the David Dhawan comedies Coolie No. 1, Hero No. 1 and Biwi No.1. It produced Silsiilay (2005), Khalid Mohamed's three-story film about women in love, which Shah Rukh Khan narrates.</t>
        </is>
      </c>
      <c r="T268" s="5" t="inlineStr">
        <is>
          <t>SOURCE-296; SOURCE-057</t>
        </is>
      </c>
      <c r="U268" s="5" t="inlineStr">
        <is>
          <t>Medium</t>
        </is>
      </c>
    </row>
    <row r="269" ht="64" customHeight="1">
      <c r="A269" s="15" t="inlineStr">
        <is>
          <t>PERSON-268</t>
        </is>
      </c>
      <c r="B269" s="5" t="inlineStr">
        <is>
          <t>Pooja Shetty</t>
        </is>
      </c>
      <c r="C269" s="5" t="inlineStr">
        <is>
          <t>Producer</t>
        </is>
      </c>
      <c r="D269" s="20" t="n"/>
      <c r="E269" s="20" t="n"/>
      <c r="F269" s="5" t="n"/>
      <c r="G269" s="5" t="inlineStr">
        <is>
          <t>Hindi cinema</t>
        </is>
      </c>
      <c r="H269" s="5" t="inlineStr">
        <is>
          <t>A producer credited on one film in this filmography, with no Wikipedia article of their own.</t>
        </is>
      </c>
      <c r="I269" s="5" t="n"/>
      <c r="J269" s="5" t="inlineStr">
        <is>
          <t>With Khan: The Zoya Factor (2019).</t>
        </is>
      </c>
      <c r="K269" s="19" t="n"/>
      <c r="L269" s="19" t="n"/>
      <c r="M269" s="5" t="n"/>
      <c r="N269" s="19" t="n"/>
      <c r="O269" s="19" t="inlineStr">
        <is>
          <t>One film with Khan, credited as producer: The Zoya Factor (2019), directed by Abhishek Sharma, with Khan in the narration; verdict: Box-office disaster.</t>
        </is>
      </c>
      <c r="P269" s="17" t="n">
        <v>1</v>
      </c>
      <c r="Q269" s="5" t="inlineStr">
        <is>
          <t>FILM-090</t>
        </is>
      </c>
      <c r="R269" s="5" t="inlineStr">
        <is>
          <t>The Zoya Factor (2019)</t>
        </is>
      </c>
      <c r="S269" s="5" t="inlineStr">
        <is>
          <t>Pooja Shetty is credited as producer on The Zoya Factor (2019). No Wikipedia article or other independent biography was located; this row is built from the film credit alone.</t>
        </is>
      </c>
      <c r="T269" s="5" t="inlineStr">
        <is>
          <t>SOURCE-093</t>
        </is>
      </c>
      <c r="U269" s="5" t="inlineStr">
        <is>
          <t>Low</t>
        </is>
      </c>
    </row>
    <row r="270" ht="49" customHeight="1">
      <c r="A270" s="15" t="inlineStr">
        <is>
          <t>PERSON-269</t>
        </is>
      </c>
      <c r="B270" s="5" t="inlineStr">
        <is>
          <t>Pradhuman Singh Mall</t>
        </is>
      </c>
      <c r="C270" s="5" t="inlineStr">
        <is>
          <t>Writer</t>
        </is>
      </c>
      <c r="D270" s="17" t="n">
        <v>1983</v>
      </c>
      <c r="E270" s="20" t="n"/>
      <c r="F270" s="5" t="inlineStr">
        <is>
          <t>2010–present</t>
        </is>
      </c>
      <c r="G270" s="5" t="inlineStr">
        <is>
          <t>Hindi cinema</t>
        </is>
      </c>
      <c r="H270" s="5" t="inlineStr">
        <is>
          <t>An Indian actor and writer who became known for playing a lookalike of Osama bin Laden in Tere Bin Laden.</t>
        </is>
      </c>
      <c r="I270" s="5" t="inlineStr">
        <is>
          <t>Tere Bin Laden (2010), as actor.</t>
        </is>
      </c>
      <c r="J270" s="5" t="inlineStr">
        <is>
          <t>With Khan: The Zoya Factor (2019). Wider work: Tere Bin Laden and its sequel (actor and writer), Blackmail (dialogue).</t>
        </is>
      </c>
      <c r="K270" s="19" t="inlineStr">
        <is>
          <t>Comedy.</t>
        </is>
      </c>
      <c r="L270" s="19" t="n"/>
      <c r="M270" s="5" t="n"/>
      <c r="N270" s="19" t="n"/>
      <c r="O270" s="19" t="inlineStr">
        <is>
          <t>One film: The Zoya Factor, which he co-wrote for Abhishek Sharma; Khan narrates.</t>
        </is>
      </c>
      <c r="P270" s="17" t="n">
        <v>1</v>
      </c>
      <c r="Q270" s="5" t="inlineStr">
        <is>
          <t>FILM-090</t>
        </is>
      </c>
      <c r="R270" s="5" t="inlineStr">
        <is>
          <t>The Zoya Factor (2019)</t>
        </is>
      </c>
      <c r="S270" s="5" t="inlineStr">
        <is>
          <t>Pradhuman Singh Mall played the Osama bin Laden lookalike in Abhishek Sharma's Tere Bin Laden (2010) and wrote for its sequel and for Blackmail (2018). He co-wrote Sharma's The Zoya Factor (2019), the cricket romance that Shah Rukh Khan narrates, which was a box-office disaster.</t>
        </is>
      </c>
      <c r="T270" s="5" t="inlineStr">
        <is>
          <t>SOURCE-297; SOURCE-093</t>
        </is>
      </c>
      <c r="U270" s="5" t="inlineStr">
        <is>
          <t>Medium</t>
        </is>
      </c>
    </row>
    <row r="271" ht="64" customHeight="1">
      <c r="A271" s="15" t="inlineStr">
        <is>
          <t>PERSON-270</t>
        </is>
      </c>
      <c r="B271" s="5" t="inlineStr">
        <is>
          <t>Prakash Ranjit Kapadia</t>
        </is>
      </c>
      <c r="C271" s="5" t="inlineStr">
        <is>
          <t>Writer</t>
        </is>
      </c>
      <c r="D271" s="20" t="n"/>
      <c r="E271" s="20" t="n"/>
      <c r="F271" s="5" t="n"/>
      <c r="G271" s="5" t="inlineStr">
        <is>
          <t>Hindi cinema</t>
        </is>
      </c>
      <c r="H271" s="5" t="inlineStr">
        <is>
          <t>A writer credited on one film in this filmography, with no Wikipedia article of their own.</t>
        </is>
      </c>
      <c r="I271" s="5" t="n"/>
      <c r="J271" s="5" t="inlineStr">
        <is>
          <t>With Khan: Devdas (2002).</t>
        </is>
      </c>
      <c r="K271" s="19" t="n"/>
      <c r="L271" s="19" t="n"/>
      <c r="M271" s="5" t="n"/>
      <c r="N271" s="19" t="n"/>
      <c r="O271" s="19" t="inlineStr">
        <is>
          <t>One film with Khan, credited as writer: Devdas (2002), directed by Sanjay Leela Bhansali, with Khan in the lead as Devdas Mukherjee; verdict: Commercial success.</t>
        </is>
      </c>
      <c r="P271" s="17" t="n">
        <v>1</v>
      </c>
      <c r="Q271" s="5" t="inlineStr">
        <is>
          <t>FILM-043</t>
        </is>
      </c>
      <c r="R271" s="5" t="inlineStr">
        <is>
          <t>Devdas (2002)</t>
        </is>
      </c>
      <c r="S271" s="5" t="inlineStr">
        <is>
          <t>Prakash Ranjit Kapadia is credited as writer on Devdas (2002). No Wikipedia article or other independent biography was located; this row is built from the film credit alone.</t>
        </is>
      </c>
      <c r="T271" s="5" t="inlineStr">
        <is>
          <t>SOURCE-046</t>
        </is>
      </c>
      <c r="U271" s="5" t="inlineStr">
        <is>
          <t>Low</t>
        </is>
      </c>
    </row>
    <row r="272" ht="64" customHeight="1">
      <c r="A272" s="15" t="inlineStr">
        <is>
          <t>PERSON-271</t>
        </is>
      </c>
      <c r="B272" s="5" t="inlineStr">
        <is>
          <t>Praveen Nischol</t>
        </is>
      </c>
      <c r="C272" s="5" t="inlineStr">
        <is>
          <t>Director; Producer</t>
        </is>
      </c>
      <c r="D272" s="20" t="n"/>
      <c r="E272" s="20" t="n"/>
      <c r="F272" s="5" t="inlineStr">
        <is>
          <t>1972–present</t>
        </is>
      </c>
      <c r="G272" s="5" t="inlineStr">
        <is>
          <t>Hindi cinema</t>
        </is>
      </c>
      <c r="H272" s="5" t="inlineStr">
        <is>
          <t>A Delhi-born producer, director and writer of films, television and commercials, younger brother of the actor Navin Nischol; educated at St. Stephen's College.</t>
        </is>
      </c>
      <c r="I272" s="5" t="inlineStr">
        <is>
          <t>Jaan Se Pyara, starring his brother Navin.</t>
        </is>
      </c>
      <c r="J272" s="5" t="inlineStr">
        <is>
          <t>With Khan: English Babu Desi Mem (1996). Wider work: television serials and advertising.</t>
        </is>
      </c>
      <c r="K272" s="19" t="n"/>
      <c r="L272" s="19" t="n"/>
      <c r="M272" s="5" t="n"/>
      <c r="N272" s="19" t="n"/>
      <c r="O272" s="19" t="inlineStr">
        <is>
          <t>One film: English Babu Desi Mem, which he directed and produced, with Khan in a triple role. It flopped.</t>
        </is>
      </c>
      <c r="P272" s="17" t="n">
        <v>1</v>
      </c>
      <c r="Q272" s="5" t="inlineStr">
        <is>
          <t>FILM-019</t>
        </is>
      </c>
      <c r="R272" s="5" t="inlineStr">
        <is>
          <t>English Babu Desi Mem (1996)</t>
        </is>
      </c>
      <c r="S272" s="5" t="inlineStr">
        <is>
          <t>Praveen Nischol left a philosophy degree in Delhi to join his brother Navin Nischol in Bombay and began directing with Jaan Se Pyara, scored by R. D. Burman, before working mostly in television and advertising. He directed and produced English Babu Desi Mem (1996), a comedy-drama in which Shah Rukh Khan plays three roles — two brothers and a son raised in England who falls for a dancer (Sonali Bendre). The film flopped.</t>
        </is>
      </c>
      <c r="T272" s="5" t="inlineStr">
        <is>
          <t>SOURCE-298; SOURCE-022</t>
        </is>
      </c>
      <c r="U272" s="5" t="inlineStr">
        <is>
          <t>Medium</t>
        </is>
      </c>
    </row>
    <row r="273" ht="49" customHeight="1">
      <c r="A273" s="15" t="inlineStr">
        <is>
          <t>PERSON-272</t>
        </is>
      </c>
      <c r="B273" s="5" t="inlineStr">
        <is>
          <t>Prem Lalwani</t>
        </is>
      </c>
      <c r="C273" s="5" t="inlineStr">
        <is>
          <t>Director; Producer</t>
        </is>
      </c>
      <c r="D273" s="20" t="n"/>
      <c r="E273" s="20" t="n"/>
      <c r="F273" s="5" t="n"/>
      <c r="G273" s="5" t="inlineStr">
        <is>
          <t>Hindi cinema</t>
        </is>
      </c>
      <c r="H273" s="5" t="inlineStr">
        <is>
          <t>A director and producer credited on one film in this filmography, with no Wikipedia article of their own.</t>
        </is>
      </c>
      <c r="I273" s="5" t="n"/>
      <c r="J273" s="5" t="inlineStr">
        <is>
          <t>With Khan: Guddu (1995).</t>
        </is>
      </c>
      <c r="K273" s="19" t="n"/>
      <c r="L273" s="19" t="n"/>
      <c r="M273" s="5" t="n"/>
      <c r="N273" s="19" t="n"/>
      <c r="O273" s="19" t="inlineStr">
        <is>
          <t>One film with Khan, credited as director and producer: Guddu (1995), with Khan in the lead as Guddu Bahadur.</t>
        </is>
      </c>
      <c r="P273" s="17" t="n">
        <v>1</v>
      </c>
      <c r="Q273" s="5" t="inlineStr">
        <is>
          <t>FILM-014</t>
        </is>
      </c>
      <c r="R273" s="5" t="inlineStr">
        <is>
          <t>Guddu (1995)</t>
        </is>
      </c>
      <c r="S273" s="5" t="inlineStr">
        <is>
          <t>Prem Lalwani is credited as director and producer on Guddu (1995). No Wikipedia article or other independent biography was located; this row is built from the film credit alone.</t>
        </is>
      </c>
      <c r="T273" s="5" t="inlineStr">
        <is>
          <t>SOURCE-017</t>
        </is>
      </c>
      <c r="U273" s="5" t="inlineStr">
        <is>
          <t>Low</t>
        </is>
      </c>
    </row>
    <row r="274" ht="94" customHeight="1">
      <c r="A274" s="15" t="inlineStr">
        <is>
          <t>PERSON-273</t>
        </is>
      </c>
      <c r="B274" s="5" t="inlineStr">
        <is>
          <t>Prime Focus Studios</t>
        </is>
      </c>
      <c r="C274" s="5" t="inlineStr">
        <is>
          <t>Production banner (visual effects)</t>
        </is>
      </c>
      <c r="D274" s="20" t="n"/>
      <c r="E274" s="20" t="n"/>
      <c r="F274" s="5" t="n"/>
      <c r="G274" s="5" t="inlineStr">
        <is>
          <t>Visual effects; British and Indian cinema</t>
        </is>
      </c>
      <c r="H274" s="5" t="inlineStr">
        <is>
          <t>The studio arm of Prime Focus, the Indian visual-effects company that merged with London's Double Negative in 2014 to form DNEG, which has won eight Academy Awards for visual effects. Prime Focus Studios has no separate article; this profile uses the DNEG article.</t>
        </is>
      </c>
      <c r="I274" s="5" t="n"/>
      <c r="J274" s="5" t="inlineStr">
        <is>
          <t>With Khan: Brahmāstra: Part One – Shiva (2022). DNEG: Inception, Interstellar, Blade Runner 2049, Tenet, Dune.</t>
        </is>
      </c>
      <c r="K274" s="19" t="inlineStr">
        <is>
          <t>Visual effects and animation.</t>
        </is>
      </c>
      <c r="L274" s="19" t="n"/>
      <c r="M274" s="5" t="n"/>
      <c r="N274" s="19" t="n"/>
      <c r="O274" s="19" t="inlineStr">
        <is>
          <t>One film: Brahmāstra, which it co-produced and provided effects for; Khan has an extended special appearance.</t>
        </is>
      </c>
      <c r="P274" s="17" t="n">
        <v>1</v>
      </c>
      <c r="Q274" s="5" t="inlineStr">
        <is>
          <t>FILM-093</t>
        </is>
      </c>
      <c r="R274" s="5" t="inlineStr">
        <is>
          <t>Brahmāstra: Part One – Shiva (2022)</t>
        </is>
      </c>
      <c r="S274" s="5" t="inlineStr">
        <is>
          <t>Prime Focus Studios is credited as a production banner on Brahmāstra: Part One – Shiva (2022), Ayan Mukerji's effects-heavy fantasy, in which Shah Rukh Khan appears as the scientist Mohan Bhargav. Prime Focus, founded by Namit Malhotra, merged with Double Negative in 2014; the combined company, DNEG, has won Academy Awards for the visual effects of Inception, Interstellar, Blade Runner 2049, First Man, Tenet and both Dune films.</t>
        </is>
      </c>
      <c r="T274" s="5" t="inlineStr">
        <is>
          <t>SOURCE-299; SOURCE-096</t>
        </is>
      </c>
      <c r="U274" s="5" t="inlineStr">
        <is>
          <t>Medium</t>
        </is>
      </c>
    </row>
    <row r="275" ht="79" customHeight="1">
      <c r="A275" s="15" t="inlineStr">
        <is>
          <t>PERSON-274</t>
        </is>
      </c>
      <c r="B275" s="5" t="inlineStr">
        <is>
          <t>R. Madhavan</t>
        </is>
      </c>
      <c r="C275" s="5" t="inlineStr">
        <is>
          <t>Director; Producer; Writer; actor</t>
        </is>
      </c>
      <c r="D275" s="17" t="n">
        <v>1970</v>
      </c>
      <c r="E275" s="20" t="n"/>
      <c r="F275" s="5" t="inlineStr">
        <is>
          <t>1993–present</t>
        </is>
      </c>
      <c r="G275" s="5" t="inlineStr">
        <is>
          <t>Tamil cinema; Hindi cinema</t>
        </is>
      </c>
      <c r="H275" s="5" t="inlineStr">
        <is>
          <t>An actor, screenwriter, producer and director in Tamil and Hindi cinema, president of FTII Pune since 2023, and Padma Shri recipient in 2026.</t>
        </is>
      </c>
      <c r="I275" s="5" t="inlineStr">
        <is>
          <t>Tamil breakthrough in Alai Payuthey (2000); directorial debut Rocketry (2022).</t>
        </is>
      </c>
      <c r="J275" s="5" t="inlineStr">
        <is>
          <t>With Khan: Rocketry: The Nambi Effect (2022). As actor: Alai Payuthey, Minnale, Anbe Sivam, Rang De Basanti, 3 Idiots, Tanu Weds Manu, Vikram Vedha.</t>
        </is>
      </c>
      <c r="K275" s="19" t="inlineStr">
        <is>
          <t>Romantic leads, later character and biographical roles.</t>
        </is>
      </c>
      <c r="L275" s="19" t="n"/>
      <c r="M275" s="5" t="inlineStr">
        <is>
          <t>National Film Award (Best Feature Film, Rocketry); five Filmfare Awards South.</t>
        </is>
      </c>
      <c r="N275" s="19" t="n"/>
      <c r="O275" s="19" t="inlineStr">
        <is>
          <t>Wrote, directed and produced Rocketry: The Nambi Effect, his biopic of the scientist Nambi Narayanan, in which Khan appears as himself interviewing Narayanan.</t>
        </is>
      </c>
      <c r="P275" s="17" t="n">
        <v>1</v>
      </c>
      <c r="Q275" s="5" t="inlineStr">
        <is>
          <t>FILM-091</t>
        </is>
      </c>
      <c r="R275" s="5" t="inlineStr">
        <is>
          <t>Rocketry: The Nambi Effect (2022)</t>
        </is>
      </c>
      <c r="S275" s="5" t="inlineStr">
        <is>
          <t>R. Madhavan became a Tamil romantic star with Mani Ratnam's Alai Payuthey (2000) and Minnale, and a familiar Hindi face through Rang De Basanti, 3 Idiots and the Tanu Weds Manu films. His directorial debut, Rocketry: The Nambi Effect (2022), dramatises the life of the ISRO scientist Nambi Narayanan, who was falsely accused of espionage; Madhavan plays Narayanan, and Shah Rukh Khan appears in the Hindi version as himself, conducting the television interview that frames the story. The film won the National Award for Best Feature Film.</t>
        </is>
      </c>
      <c r="T275" s="5" t="inlineStr">
        <is>
          <t>SOURCE-300; SOURCE-094</t>
        </is>
      </c>
      <c r="U275" s="5" t="inlineStr">
        <is>
          <t>Medium</t>
        </is>
      </c>
    </row>
    <row r="276" ht="79" customHeight="1">
      <c r="A276" s="15" t="inlineStr">
        <is>
          <t>PERSON-275</t>
        </is>
      </c>
      <c r="B276" s="5" t="inlineStr">
        <is>
          <t>R. S. Mani</t>
        </is>
      </c>
      <c r="C276" s="5" t="inlineStr">
        <is>
          <t>Background-score composer</t>
        </is>
      </c>
      <c r="D276" s="20" t="n"/>
      <c r="E276" s="20" t="n"/>
      <c r="F276" s="5" t="n"/>
      <c r="G276" s="5" t="inlineStr">
        <is>
          <t>Hindi cinema</t>
        </is>
      </c>
      <c r="H276" s="5" t="inlineStr">
        <is>
          <t>A background-score composer credited on one film in this filmography, with no Wikipedia article of their own.</t>
        </is>
      </c>
      <c r="I276" s="5" t="n"/>
      <c r="J276" s="5" t="inlineStr">
        <is>
          <t>With Khan: Veer-Zaara (2004).</t>
        </is>
      </c>
      <c r="K276" s="19" t="n"/>
      <c r="L276" s="19" t="n"/>
      <c r="M276" s="5" t="n"/>
      <c r="N276" s="19" t="n"/>
      <c r="O276" s="19" t="inlineStr">
        <is>
          <t>One film with Khan, credited as background-score composer: Veer-Zaara (2004), directed by Yash Chopra, with Khan in the lead as Veer Pratap Singh; verdict: Commercial success.</t>
        </is>
      </c>
      <c r="P276" s="17" t="n">
        <v>1</v>
      </c>
      <c r="Q276" s="5" t="inlineStr">
        <is>
          <t>FILM-050</t>
        </is>
      </c>
      <c r="R276" s="5" t="inlineStr">
        <is>
          <t>Veer-Zaara (2004)</t>
        </is>
      </c>
      <c r="S276" s="5" t="inlineStr">
        <is>
          <t>R. S. Mani is credited as background-score composer on Veer-Zaara (2004). No Wikipedia article or other independent biography was located; this row is built from the film credit alone.</t>
        </is>
      </c>
      <c r="T276" s="5" t="inlineStr">
        <is>
          <t>SOURCE-053</t>
        </is>
      </c>
      <c r="U276" s="5" t="inlineStr">
        <is>
          <t>Low</t>
        </is>
      </c>
    </row>
    <row r="277" ht="64" customHeight="1">
      <c r="A277" s="15" t="inlineStr">
        <is>
          <t>PERSON-276</t>
        </is>
      </c>
      <c r="B277" s="5" t="inlineStr">
        <is>
          <t>Raaj Kamal Films International</t>
        </is>
      </c>
      <c r="C277" s="5" t="inlineStr">
        <is>
          <t>Production banner</t>
        </is>
      </c>
      <c r="D277" s="20" t="n"/>
      <c r="E277" s="20" t="n"/>
      <c r="F277" s="5" t="n"/>
      <c r="G277" s="5" t="inlineStr">
        <is>
          <t>Tamil cinema</t>
        </is>
      </c>
      <c r="H277" s="5" t="inlineStr">
        <is>
          <t>Kamal Haasan's production and distribution company, which started in 1981 as Haasan Brothers.</t>
        </is>
      </c>
      <c r="I277" s="5" t="inlineStr">
        <is>
          <t>Raja Paarvai (1981).</t>
        </is>
      </c>
      <c r="J277" s="5" t="inlineStr">
        <is>
          <t>With Khan: Hey Ram (2000). Wider work: Thevar Magan, Mahanadi, Virumaandi, Vishwaroopam, Vikram (2022).</t>
        </is>
      </c>
      <c r="K277" s="19" t="inlineStr">
        <is>
          <t>Kamal Haasan's own projects.</t>
        </is>
      </c>
      <c r="L277" s="19" t="n"/>
      <c r="M277" s="5" t="n"/>
      <c r="N277" s="19" t="n"/>
      <c r="O277" s="19" t="inlineStr">
        <is>
          <t>One film: Hey Ram, Kamal Haasan's Partition drama, in which Khan has a supporting role; it failed commercially.</t>
        </is>
      </c>
      <c r="P277" s="17" t="n">
        <v>1</v>
      </c>
      <c r="Q277" s="5" t="inlineStr">
        <is>
          <t>FILM-034</t>
        </is>
      </c>
      <c r="R277" s="5" t="inlineStr">
        <is>
          <t>Hey Ram (2000)</t>
        </is>
      </c>
      <c r="S277" s="5" t="inlineStr">
        <is>
          <t>Raaj Kamal Films International is Kamal Haasan's company, set up in 1981 as Haasan Brothers with Raja Paarvai and later managed partly by his brother Chandrahasan. It produced Hey Ram (2000), Haasan's drama about a man radicalised by the Partition riots who sets out to kill Gandhi, in which Shah Rukh Khan plays the protagonist's friend Amjad. The film failed commercially but has since gained critical standing.</t>
        </is>
      </c>
      <c r="T277" s="5" t="inlineStr">
        <is>
          <t>SOURCE-301; SOURCE-037</t>
        </is>
      </c>
      <c r="U277" s="5" t="inlineStr">
        <is>
          <t>Medium</t>
        </is>
      </c>
    </row>
    <row r="278" ht="49" customHeight="1">
      <c r="A278" s="15" t="inlineStr">
        <is>
          <t>PERSON-277</t>
        </is>
      </c>
      <c r="B278" s="5" t="inlineStr">
        <is>
          <t>Raam Shetty</t>
        </is>
      </c>
      <c r="C278" s="5" t="inlineStr">
        <is>
          <t>Director</t>
        </is>
      </c>
      <c r="D278" s="20" t="n"/>
      <c r="E278" s="20" t="n"/>
      <c r="F278" s="5" t="n"/>
      <c r="G278" s="5" t="inlineStr">
        <is>
          <t>Hindi cinema</t>
        </is>
      </c>
      <c r="H278" s="5" t="inlineStr">
        <is>
          <t>A director credited on one film in this filmography, with no Wikipedia article of their own.</t>
        </is>
      </c>
      <c r="I278" s="5" t="n"/>
      <c r="J278" s="5" t="inlineStr">
        <is>
          <t>With Khan: Army (1996).</t>
        </is>
      </c>
      <c r="K278" s="19" t="n"/>
      <c r="L278" s="19" t="n"/>
      <c r="M278" s="5" t="n"/>
      <c r="N278" s="19" t="n"/>
      <c r="O278" s="19" t="inlineStr">
        <is>
          <t>One film with Khan, credited as director: Army (1996), with Khan in an extended special appearance as Major Arjun Singh.</t>
        </is>
      </c>
      <c r="P278" s="17" t="n">
        <v>1</v>
      </c>
      <c r="Q278" s="5" t="inlineStr">
        <is>
          <t>FILM-021</t>
        </is>
      </c>
      <c r="R278" s="5" t="inlineStr">
        <is>
          <t>Army (1996)</t>
        </is>
      </c>
      <c r="S278" s="5" t="inlineStr">
        <is>
          <t>Raam Shetty is credited as director on Army (1996). No Wikipedia article or other independent biography was located; this row is built from the film credit alone.</t>
        </is>
      </c>
      <c r="T278" s="5" t="inlineStr">
        <is>
          <t>SOURCE-024</t>
        </is>
      </c>
      <c r="U278" s="5" t="inlineStr">
        <is>
          <t>Low</t>
        </is>
      </c>
    </row>
    <row r="279" ht="49" customHeight="1">
      <c r="A279" s="15" t="inlineStr">
        <is>
          <t>PERSON-278</t>
        </is>
      </c>
      <c r="B279" s="5" t="inlineStr">
        <is>
          <t>Rahila Mirza</t>
        </is>
      </c>
      <c r="C279" s="5" t="inlineStr">
        <is>
          <t>Writer</t>
        </is>
      </c>
      <c r="D279" s="20" t="n"/>
      <c r="E279" s="20" t="n"/>
      <c r="F279" s="5" t="n"/>
      <c r="G279" s="5" t="inlineStr">
        <is>
          <t>Hindi cinema</t>
        </is>
      </c>
      <c r="H279" s="5" t="inlineStr">
        <is>
          <t>A writer credited on one film in this filmography, with no Wikipedia article of their own.</t>
        </is>
      </c>
      <c r="I279" s="5" t="n"/>
      <c r="J279" s="5" t="inlineStr">
        <is>
          <t>With Khan: Kismat Konnection (2008).</t>
        </is>
      </c>
      <c r="K279" s="19" t="n"/>
      <c r="L279" s="19" t="n"/>
      <c r="M279" s="5" t="n"/>
      <c r="N279" s="19" t="n"/>
      <c r="O279" s="19" t="inlineStr">
        <is>
          <t>One film with Khan, credited as writer: Kismat Konnection (2008), directed by Aziz Mirza, with Khan in the narration.</t>
        </is>
      </c>
      <c r="P279" s="17" t="n">
        <v>1</v>
      </c>
      <c r="Q279" s="5" t="inlineStr">
        <is>
          <t>FILM-066</t>
        </is>
      </c>
      <c r="R279" s="5" t="inlineStr">
        <is>
          <t>Kismat Konnection (2008)</t>
        </is>
      </c>
      <c r="S279" s="5" t="inlineStr">
        <is>
          <t>Rahila Mirza is credited as writer on Kismat Konnection (2008). No Wikipedia article or other independent biography was located; this row is built from the film credit alone.</t>
        </is>
      </c>
      <c r="T279" s="5" t="inlineStr">
        <is>
          <t>SOURCE-069</t>
        </is>
      </c>
      <c r="U279" s="5" t="inlineStr">
        <is>
          <t>Low</t>
        </is>
      </c>
    </row>
    <row r="280" ht="79" customHeight="1">
      <c r="A280" s="15" t="inlineStr">
        <is>
          <t>PERSON-279</t>
        </is>
      </c>
      <c r="B280" s="5" t="inlineStr">
        <is>
          <t>Rahul Dholakia</t>
        </is>
      </c>
      <c r="C280" s="5" t="inlineStr">
        <is>
          <t>Director; Writer</t>
        </is>
      </c>
      <c r="D280" s="20" t="n"/>
      <c r="E280" s="20" t="n"/>
      <c r="F280" s="5" t="inlineStr">
        <is>
          <t>2002–present</t>
        </is>
      </c>
      <c r="G280" s="5" t="inlineStr">
        <is>
          <t>Hindi cinema</t>
        </is>
      </c>
      <c r="H280" s="5" t="inlineStr">
        <is>
          <t>A Mumbai-born director, producer and screenwriter who studied at St. Xavier's College and the New York Institute of Technology and began in his father's advertising agency and documentary production.</t>
        </is>
      </c>
      <c r="I280" s="5" t="inlineStr">
        <is>
          <t>Documentaries Teenage Parents and New York Taxi Drivers; first feature Kehtaa Hai Dil Baar Baar (2002).</t>
        </is>
      </c>
      <c r="J280" s="5" t="inlineStr">
        <is>
          <t>With Khan: Raees (2017). Wider work: Parzania (2005), Lamhaa.</t>
        </is>
      </c>
      <c r="K280" s="19" t="inlineStr">
        <is>
          <t>Political drama set in Gujarat.</t>
        </is>
      </c>
      <c r="L280" s="19" t="n"/>
      <c r="M280" s="5" t="inlineStr">
        <is>
          <t>National Film Award for Parzania.</t>
        </is>
      </c>
      <c r="N280" s="19" t="n"/>
      <c r="O280" s="19" t="inlineStr">
        <is>
          <t>Wrote and directed Raees, with Khan as a 1980s Gujarat bootlegger; it was a moderate success.</t>
        </is>
      </c>
      <c r="P280" s="17" t="n">
        <v>1</v>
      </c>
      <c r="Q280" s="5" t="inlineStr">
        <is>
          <t>FILM-086</t>
        </is>
      </c>
      <c r="R280" s="5" t="inlineStr">
        <is>
          <t>Raees (2017)</t>
        </is>
      </c>
      <c r="S280" s="5" t="inlineStr">
        <is>
          <t>Rahul Dholakia worked in his father's advertising agency and on documentaries for Channel 4 before studying film in New York. His best-known film, Parzania (2005), about a family destroyed in the 2002 Gujarat riots, won a National Award. Raees (2017), which he wrote and directed, cast Shah Rukh Khan as a bootlegger in 1980s Gujarat, loosely based on the gangster Abdul Latif, opposite Nawazuddin Siddiqui as a police officer. It was a moderate success. The packet's infobox birth year (1905) is clearly an error and is not used.</t>
        </is>
      </c>
      <c r="T280" s="5" t="inlineStr">
        <is>
          <t>SOURCE-302; SOURCE-089</t>
        </is>
      </c>
      <c r="U280" s="5" t="inlineStr">
        <is>
          <t>Medium</t>
        </is>
      </c>
    </row>
    <row r="281" ht="79" customHeight="1">
      <c r="A281" s="15" t="inlineStr">
        <is>
          <t>PERSON-280</t>
        </is>
      </c>
      <c r="B281" s="5" t="inlineStr">
        <is>
          <t>Rahul Rawail</t>
        </is>
      </c>
      <c r="C281" s="5" t="inlineStr">
        <is>
          <t>Director</t>
        </is>
      </c>
      <c r="D281" s="17" t="n">
        <v>1952</v>
      </c>
      <c r="E281" s="20" t="n"/>
      <c r="F281" s="5" t="inlineStr">
        <is>
          <t>1968–2007</t>
        </is>
      </c>
      <c r="G281" s="5" t="inlineStr">
        <is>
          <t>Hindi cinema</t>
        </is>
      </c>
      <c r="H281" s="5" t="inlineStr">
        <is>
          <t>A Hindi-film director and editor, son of the director H. S. Rawail, who assisted Raj Kapoor and wrote a book about him, Raj Kapoor: The Master at Work.</t>
        </is>
      </c>
      <c r="I281" s="5" t="inlineStr">
        <is>
          <t>Love Story (1981), which launched Kumar Gaurav.</t>
        </is>
      </c>
      <c r="J281" s="5" t="inlineStr">
        <is>
          <t>With Khan: Anjaam (1994). Wider work: Betaab, Arjun, Dacait, Yodha, Bekhudi, Aur Pyaar Ho Gaya, Jo Bole So Nihaal.</t>
        </is>
      </c>
      <c r="K281" s="19" t="inlineStr">
        <is>
          <t>Youth romance and action melodrama.</t>
        </is>
      </c>
      <c r="L281" s="19" t="n"/>
      <c r="M281" s="5" t="inlineStr">
        <is>
          <t>Filmfare Best Director nominations for Betaab and Arjun.</t>
        </is>
      </c>
      <c r="N281" s="19" t="inlineStr">
        <is>
          <t>Launched Kumar Gaurav, Sunny Deol, Kajol and Aishwarya Rai in Hindi film.</t>
        </is>
      </c>
      <c r="O281" s="19" t="inlineStr">
        <is>
          <t>One film: Anjaam, with Khan as an obsessive rich man who destroys the life of the woman he wants (Madhuri Dixit). It was one of Khan's early anti-hero roles and won him the Filmfare Award for Best Villain.</t>
        </is>
      </c>
      <c r="P281" s="17" t="n">
        <v>1</v>
      </c>
      <c r="Q281" s="5" t="inlineStr">
        <is>
          <t>FILM-011</t>
        </is>
      </c>
      <c r="R281" s="5" t="inlineStr">
        <is>
          <t>Anjaam (1994)</t>
        </is>
      </c>
      <c r="S281" s="5" t="inlineStr">
        <is>
          <t>Rahul Rawail grew up in the industry as the son of H. S. Rawail and trained under Raj Kapoor. He launched a series of young stars: Kumar Gaurav in Love Story, Sunny Deol in Betaab, Kajol in Bekhudi and Aishwarya Rai in Aur Pyaar Ho Gaya. Anjaam (1994) paired Shah Rukh Khan with Madhuri Dixit in a dark revenge thriller: Khan's Vijay stalks a flight attendant, kills her husband and has her jailed, and she takes revenge. Khan won the Filmfare Award for Best Performance in a Negative Role for it.</t>
        </is>
      </c>
      <c r="T281" s="5" t="inlineStr">
        <is>
          <t>SOURCE-303; SOURCE-014</t>
        </is>
      </c>
      <c r="U281" s="5" t="inlineStr">
        <is>
          <t>Medium</t>
        </is>
      </c>
    </row>
    <row r="282" ht="64" customHeight="1">
      <c r="A282" s="15" t="inlineStr">
        <is>
          <t>PERSON-281</t>
        </is>
      </c>
      <c r="B282" s="5" t="inlineStr">
        <is>
          <t>Rajesh Saathi</t>
        </is>
      </c>
      <c r="C282" s="5" t="inlineStr">
        <is>
          <t>Writer</t>
        </is>
      </c>
      <c r="D282" s="20" t="n"/>
      <c r="E282" s="20" t="n"/>
      <c r="F282" s="5" t="n"/>
      <c r="G282" s="5" t="inlineStr">
        <is>
          <t>Hindi cinema</t>
        </is>
      </c>
      <c r="H282" s="5" t="inlineStr">
        <is>
          <t>A writer credited on one film in this filmography, with no Wikipedia article of their own.</t>
        </is>
      </c>
      <c r="I282" s="5" t="n"/>
      <c r="J282" s="5" t="inlineStr">
        <is>
          <t>With Khan: Main Hoon Na (2004).</t>
        </is>
      </c>
      <c r="K282" s="19" t="n"/>
      <c r="L282" s="19" t="n"/>
      <c r="M282" s="5" t="n"/>
      <c r="N282" s="19" t="n"/>
      <c r="O282" s="19" t="inlineStr">
        <is>
          <t>One film with Khan, credited as writer: Main Hoon Na (2004), directed by Farah Khan, with Khan in the lead as Major Ram Prasad Sharma; verdict: Commercial success.</t>
        </is>
      </c>
      <c r="P282" s="17" t="n">
        <v>1</v>
      </c>
      <c r="Q282" s="5" t="inlineStr">
        <is>
          <t>FILM-049</t>
        </is>
      </c>
      <c r="R282" s="5" t="inlineStr">
        <is>
          <t>Main Hoon Na (2004)</t>
        </is>
      </c>
      <c r="S282" s="5" t="inlineStr">
        <is>
          <t>Rajesh Saathi is credited as writer on Main Hoon Na (2004). No Wikipedia article or other independent biography was located; this row is built from the film credit alone.</t>
        </is>
      </c>
      <c r="T282" s="5" t="inlineStr">
        <is>
          <t>SOURCE-052</t>
        </is>
      </c>
      <c r="U282" s="5" t="inlineStr">
        <is>
          <t>Low</t>
        </is>
      </c>
    </row>
    <row r="283" ht="184" customHeight="1">
      <c r="A283" s="15" t="inlineStr">
        <is>
          <t>PERSON-282</t>
        </is>
      </c>
      <c r="B283" s="5" t="inlineStr">
        <is>
          <t>Rajkumar Hirani</t>
        </is>
      </c>
      <c r="C283" s="5" t="inlineStr">
        <is>
          <t>Director; producer; screenwriter; editor (Rajkumar Hirani Films)</t>
        </is>
      </c>
      <c r="D283" s="17" t="n">
        <v>1962</v>
      </c>
      <c r="E283" s="20" t="n"/>
      <c r="F283" s="5" t="inlineStr">
        <is>
          <t>1991–present</t>
        </is>
      </c>
      <c r="G283" s="5" t="inlineStr">
        <is>
          <t>Hindi</t>
        </is>
      </c>
      <c r="H283" s="5" t="inlineStr">
        <is>
          <t>Worked as a film editor and on advertising films; his first film as a professional editor was Mission Kashmir (2000).</t>
        </is>
      </c>
      <c r="I283" s="5" t="inlineStr">
        <is>
          <t>Munna Bhai M.B.B.S. (2003).</t>
        </is>
      </c>
      <c r="J283" s="5" t="inlineStr">
        <is>
          <t>Munna Bhai M.B.B.S. (2003); Lage Raho Munna Bhai (2006); 3 Idiots (2009); PK (2014); Dunki (2023)</t>
        </is>
      </c>
      <c r="K283" s="19" t="inlineStr">
        <is>
          <t>Light-hearted films about significant social issues.</t>
        </is>
      </c>
      <c r="L283" s="19" t="inlineStr">
        <is>
          <t>Humour combined with emotional intelligence.</t>
        </is>
      </c>
      <c r="M283" s="5" t="inlineStr">
        <is>
          <t>Four National Film Awards and eleven Filmfare Awards for his films</t>
        </is>
      </c>
      <c r="N283" s="19" t="inlineStr">
        <is>
          <t>3 Idiots was the highest-grossing Indian film of its time.</t>
        </is>
      </c>
      <c r="O283" s="19" t="inlineStr">
        <is>
          <t>Co-wrote, co-produced and directed Dunki, their first film together, casting Khan as an ex-soldier leading villagers on an illegal migration route to England.</t>
        </is>
      </c>
      <c r="P283" s="17" t="n">
        <v>1</v>
      </c>
      <c r="Q283" s="5" t="inlineStr">
        <is>
          <t>FILM-097</t>
        </is>
      </c>
      <c r="R283" s="5" t="inlineStr">
        <is>
          <t>Dunki (2023)</t>
        </is>
      </c>
      <c r="S283" s="5" t="inlineStr">
        <is>
          <t>Rajkumar 'Raju' Hirani, born on 20 November 1962, began as a film editor and advertising filmmaker; his first feature as a professional editor was Vidhu Vinod Chopra's Mission Kashmir (2000). His directorial debut, Munna Bhai M.B.B.S. (2003), was a critical and commercial success that won the Filmfare Award for Best Film (Critics) and brought Hirani the Filmfare Award for Best Screenplay. Its sequel Lage Raho Munna Bhai (2006) was the second-highest grosser of its year, and both won the National Film Award for Best Popular Film. His coming-of-age comedy 3 Idiots (2009) became the highest-grossing Indian film of its time, and he followed it with the religious satire PK (2014). His films are known for treating serious social issues with humour and have won four National Film Awards and eleven Filmfare Awards. Hirani co-wrote, co-produced, edited and directed Dunki (2023) with Jio Studios and Red Chillies Entertainment. Shah Rukh Khan plays Hardy, an ex-soldier who leads villagers from Punjab to England on the illegal 'donkey flight' route and returns 25 years later to bring home the dying woman he loves. The film received mixed reviews but was one of the highest-grossing Hindi films of 2023.</t>
        </is>
      </c>
      <c r="T283" s="5" t="inlineStr">
        <is>
          <t>SOURCE-186; SOURCE-100</t>
        </is>
      </c>
      <c r="U283" s="5" t="inlineStr">
        <is>
          <t>Medium</t>
        </is>
      </c>
    </row>
    <row r="284" ht="64" customHeight="1">
      <c r="A284" s="15" t="inlineStr">
        <is>
          <t>PERSON-283</t>
        </is>
      </c>
      <c r="B284" s="5" t="inlineStr">
        <is>
          <t>Rajkumar Hirani Films</t>
        </is>
      </c>
      <c r="C284" s="5" t="inlineStr">
        <is>
          <t>Production banner</t>
        </is>
      </c>
      <c r="D284" s="20" t="n"/>
      <c r="E284" s="20" t="n"/>
      <c r="F284" s="5" t="n"/>
      <c r="G284" s="5" t="inlineStr">
        <is>
          <t>Hindi cinema</t>
        </is>
      </c>
      <c r="H284" s="5" t="inlineStr">
        <is>
          <t>Rajkumar Hirani's production company. It has no Wikipedia article of its own; this profile uses the article on Hirani.</t>
        </is>
      </c>
      <c r="I284" s="5" t="n"/>
      <c r="J284" s="5" t="inlineStr">
        <is>
          <t>With Khan: Dunki (2023), co-produced with Red Chillies and Jio Studios.</t>
        </is>
      </c>
      <c r="K284" s="19" t="n"/>
      <c r="L284" s="19" t="n"/>
      <c r="M284" s="5" t="n"/>
      <c r="N284" s="19" t="n"/>
      <c r="O284" s="19" t="inlineStr">
        <is>
          <t>One film: Dunki, Hirani's first film with Khan, co-produced with Khan's Red Chillies.</t>
        </is>
      </c>
      <c r="P284" s="17" t="n">
        <v>1</v>
      </c>
      <c r="Q284" s="5" t="inlineStr">
        <is>
          <t>FILM-097</t>
        </is>
      </c>
      <c r="R284" s="5" t="inlineStr">
        <is>
          <t>Dunki (2023)</t>
        </is>
      </c>
      <c r="S284" s="5" t="inlineStr">
        <is>
          <t>Rajkumar Hirani Films is the company through which Rajkumar Hirani, director of the Munna Bhai films, 3 Idiots, PK and Sanju, co-produced Dunki (2023) with Red Chillies Entertainment and Jio Studios. The film, Hirani's first with Shah Rukh Khan, follows a group of friends from a Punjab village trying to reach England illegally. Hirani's own row covers his career; this row records only the company credit.</t>
        </is>
      </c>
      <c r="T284" s="5" t="inlineStr">
        <is>
          <t>SOURCE-186; SOURCE-100</t>
        </is>
      </c>
      <c r="U284" s="5" t="inlineStr">
        <is>
          <t>Low</t>
        </is>
      </c>
    </row>
    <row r="285" ht="49" customHeight="1">
      <c r="A285" s="15" t="inlineStr">
        <is>
          <t>PERSON-284</t>
        </is>
      </c>
      <c r="B285" s="5" t="inlineStr">
        <is>
          <t>Raju Kothari</t>
        </is>
      </c>
      <c r="C285" s="5" t="inlineStr">
        <is>
          <t>Producer</t>
        </is>
      </c>
      <c r="D285" s="20" t="n"/>
      <c r="E285" s="20" t="n"/>
      <c r="F285" s="5" t="n"/>
      <c r="G285" s="5" t="inlineStr">
        <is>
          <t>Hindi cinema</t>
        </is>
      </c>
      <c r="H285" s="5" t="inlineStr">
        <is>
          <t>A producer credited on one film in this filmography, with no Wikipedia article of their own.</t>
        </is>
      </c>
      <c r="I285" s="5" t="n"/>
      <c r="J285" s="5" t="inlineStr">
        <is>
          <t>With Khan: Deewana (1992).</t>
        </is>
      </c>
      <c r="K285" s="19" t="n"/>
      <c r="L285" s="19" t="n"/>
      <c r="M285" s="5" t="n"/>
      <c r="N285" s="19" t="n"/>
      <c r="O285" s="19" t="inlineStr">
        <is>
          <t>One film with Khan, credited as producer: Deewana (1992), directed by Raj Kanwar, with Khan in a co-lead as Raja Sahai.</t>
        </is>
      </c>
      <c r="P285" s="17" t="n">
        <v>1</v>
      </c>
      <c r="Q285" s="5" t="inlineStr">
        <is>
          <t>FILM-001</t>
        </is>
      </c>
      <c r="R285" s="5" t="inlineStr">
        <is>
          <t>Deewana (1992)</t>
        </is>
      </c>
      <c r="S285" s="5" t="inlineStr">
        <is>
          <t>Raju Kothari is credited as producer on Deewana (1992). No Wikipedia article or other independent biography was located; this row is built from the film credit alone.</t>
        </is>
      </c>
      <c r="T285" s="5" t="inlineStr">
        <is>
          <t>SOURCE-004</t>
        </is>
      </c>
      <c r="U285" s="5" t="inlineStr">
        <is>
          <t>Low</t>
        </is>
      </c>
    </row>
    <row r="286" ht="64" customHeight="1">
      <c r="A286" s="15" t="inlineStr">
        <is>
          <t>PERSON-285</t>
        </is>
      </c>
      <c r="B286" s="5" t="inlineStr">
        <is>
          <t>Raju Singh</t>
        </is>
      </c>
      <c r="C286" s="5" t="inlineStr">
        <is>
          <t>Background-score composer</t>
        </is>
      </c>
      <c r="D286" s="17" t="n">
        <v>1969</v>
      </c>
      <c r="E286" s="20" t="n"/>
      <c r="F286" s="5" t="inlineStr">
        <is>
          <t>1983–present</t>
        </is>
      </c>
      <c r="G286" s="5" t="inlineStr">
        <is>
          <t>Hindi cinema; television</t>
        </is>
      </c>
      <c r="H286" s="5" t="inlineStr">
        <is>
          <t>A Mumbai-born film-score composer, session guitarist and singer, born Rajinder Singh Panesar, who started as a guitarist for Uttam Singh and recorded early albums with Aadesh Shrivastava.</t>
        </is>
      </c>
      <c r="I286" s="5" t="inlineStr">
        <is>
          <t>The instrumental album Power of Music (1987, with Aadesh Shrivastava); television themes for Dekh Bhai Dekh, Aahat and CID.</t>
        </is>
      </c>
      <c r="J286" s="5" t="inlineStr">
        <is>
          <t>With Khan: Krazzy 4 (2008). Wider work: background scores for Hindi films; television themes.</t>
        </is>
      </c>
      <c r="K286" s="19" t="inlineStr">
        <is>
          <t>Guitar-led background scoring.</t>
        </is>
      </c>
      <c r="L286" s="19" t="n"/>
      <c r="M286" s="5" t="n"/>
      <c r="N286" s="19" t="n"/>
      <c r="O286" s="19" t="inlineStr">
        <is>
          <t>One film: Krazzy 4, for which he wrote the background score; Khan appears as himself in a song.</t>
        </is>
      </c>
      <c r="P286" s="17" t="n">
        <v>1</v>
      </c>
      <c r="Q286" s="5" t="inlineStr">
        <is>
          <t>FILM-064</t>
        </is>
      </c>
      <c r="R286" s="5" t="inlineStr">
        <is>
          <t>Krazzy 4 (2008)</t>
        </is>
      </c>
      <c r="S286" s="5" t="inlineStr">
        <is>
          <t>Raju Singh began as a session guitarist for Uttam Singh and recorded with Malkit Singh and Aadesh Shrivastava before writing the theme music for television series such as Dekh Bhai Dekh, Aahat and CID. As a film composer he mainly writes background scores, including that of Krazzy 4 (2008), Rakesh Roshan's comedy in which Shah Rukh Khan makes a self appearance in a song.</t>
        </is>
      </c>
      <c r="T286" s="5" t="inlineStr">
        <is>
          <t>SOURCE-304; SOURCE-067</t>
        </is>
      </c>
      <c r="U286" s="5" t="inlineStr">
        <is>
          <t>Medium</t>
        </is>
      </c>
    </row>
    <row r="287" ht="64" customHeight="1">
      <c r="A287" s="15" t="inlineStr">
        <is>
          <t>PERSON-286</t>
        </is>
      </c>
      <c r="B287" s="5" t="inlineStr">
        <is>
          <t>Rakesh Nath</t>
        </is>
      </c>
      <c r="C287" s="5" t="inlineStr">
        <is>
          <t>Producer</t>
        </is>
      </c>
      <c r="D287" s="20" t="n"/>
      <c r="E287" s="20" t="n"/>
      <c r="F287" s="5" t="n"/>
      <c r="G287" s="5" t="inlineStr">
        <is>
          <t>Hindi cinema</t>
        </is>
      </c>
      <c r="H287" s="5" t="inlineStr">
        <is>
          <t>A producer credited on one film in this filmography, with no Wikipedia article of their own.</t>
        </is>
      </c>
      <c r="I287" s="5" t="n"/>
      <c r="J287" s="5" t="inlineStr">
        <is>
          <t>With Khan: Gaja Gamini (2000).</t>
        </is>
      </c>
      <c r="K287" s="19" t="n"/>
      <c r="L287" s="19" t="n"/>
      <c r="M287" s="5" t="n"/>
      <c r="N287" s="19" t="n"/>
      <c r="O287" s="19" t="inlineStr">
        <is>
          <t>One film with Khan, credited as producer: Gaja Gamini (2000), directed by M. F. Husain, with Khan in a self appearance; verdict: Box-office failure.</t>
        </is>
      </c>
      <c r="P287" s="17" t="n">
        <v>1</v>
      </c>
      <c r="Q287" s="5" t="inlineStr">
        <is>
          <t>FILM-038</t>
        </is>
      </c>
      <c r="R287" s="5" t="inlineStr">
        <is>
          <t>Gaja Gamini (2000)</t>
        </is>
      </c>
      <c r="S287" s="5" t="inlineStr">
        <is>
          <t>Rakesh Nath is credited as producer on Gaja Gamini (2000). No Wikipedia article or other independent biography was located; this row is built from the film credit alone.</t>
        </is>
      </c>
      <c r="T287" s="5" t="inlineStr">
        <is>
          <t>SOURCE-041</t>
        </is>
      </c>
      <c r="U287" s="5" t="inlineStr">
        <is>
          <t>Low</t>
        </is>
      </c>
    </row>
    <row r="288" ht="79" customHeight="1">
      <c r="A288" s="15" t="inlineStr">
        <is>
          <t>PERSON-287</t>
        </is>
      </c>
      <c r="B288" s="5" t="inlineStr">
        <is>
          <t>Ram Gopal Varma</t>
        </is>
      </c>
      <c r="C288" s="5" t="inlineStr">
        <is>
          <t>Producer (Varma Corporation)</t>
        </is>
      </c>
      <c r="D288" s="17" t="n">
        <v>1962</v>
      </c>
      <c r="E288" s="20" t="n"/>
      <c r="F288" s="5" t="inlineStr">
        <is>
          <t>1989–present</t>
        </is>
      </c>
      <c r="G288" s="5" t="inlineStr">
        <is>
          <t>Hindi and Telugu cinema</t>
        </is>
      </c>
      <c r="H288" s="5" t="inlineStr">
        <is>
          <t>A director, screenwriter and producer in Hindi and Telugu cinema, trained as a civil engineer, credited with introducing many new talents.</t>
        </is>
      </c>
      <c r="I288" s="5" t="inlineStr">
        <is>
          <t>Siva (1989), in Telugu.</t>
        </is>
      </c>
      <c r="J288" s="5" t="inlineStr">
        <is>
          <t>With Khan: Dil Se.. (1998), as producer. Wider work: Siva, Kshana Kshanam, Rangeela, Satya, Company, Bhoot, Sarkar.</t>
        </is>
      </c>
      <c r="K288" s="19" t="inlineStr">
        <is>
          <t>Gangster films, horror and technical experiment.</t>
        </is>
      </c>
      <c r="L288" s="19" t="n"/>
      <c r="M288" s="5" t="n"/>
      <c r="N288" s="19" t="inlineStr">
        <is>
          <t>A pioneer of new-age Indian cinema; Siva is in CNN-IBN's 100 greatest Indian films.</t>
        </is>
      </c>
      <c r="O288" s="19" t="inlineStr">
        <is>
          <t>One film: Mani Ratnam's Dil Se.., which his Varma Corporation co-produced with Madras Talkies; Khan plays the lead.</t>
        </is>
      </c>
      <c r="P288" s="17" t="n">
        <v>1</v>
      </c>
      <c r="Q288" s="5" t="inlineStr">
        <is>
          <t>FILM-030</t>
        </is>
      </c>
      <c r="R288" s="5" t="inlineStr">
        <is>
          <t>Dil Se.. (1998)</t>
        </is>
      </c>
      <c r="S288" s="5" t="inlineStr">
        <is>
          <t>Ram Gopal Varma burst onto Telugu cinema with the gangster film Siva (1989) and in Hindi made Rangeela, Satya and Company, which changed the look and sound of the Bombay crime film. In 1998 his company co-produced Mani Ratnam's Dil Se.., a political romance in which Shah Rukh Khan plays a radio journalist drawn to a woman involved with Northeast militants; it was average in India and a major success overseas. Varma never directed Khan.</t>
        </is>
      </c>
      <c r="T288" s="5" t="inlineStr">
        <is>
          <t>SOURCE-305; SOURCE-033</t>
        </is>
      </c>
      <c r="U288" s="5" t="inlineStr">
        <is>
          <t>Medium</t>
        </is>
      </c>
    </row>
    <row r="289" ht="49" customHeight="1">
      <c r="A289" s="15" t="inlineStr">
        <is>
          <t>PERSON-288</t>
        </is>
      </c>
      <c r="B289" s="5" t="inlineStr">
        <is>
          <t>Ramesh S. Taurani</t>
        </is>
      </c>
      <c r="C289" s="5" t="inlineStr">
        <is>
          <t>Producer</t>
        </is>
      </c>
      <c r="D289" s="20" t="n"/>
      <c r="E289" s="20" t="n"/>
      <c r="F289" s="5" t="n"/>
      <c r="G289" s="5" t="inlineStr">
        <is>
          <t>Hindi cinema</t>
        </is>
      </c>
      <c r="H289" s="5" t="inlineStr">
        <is>
          <t>A producer credited on one film in this filmography, with no Wikipedia article of their own.</t>
        </is>
      </c>
      <c r="I289" s="5" t="n"/>
      <c r="J289" s="5" t="inlineStr">
        <is>
          <t>With Khan: Kismat Konnection (2008).</t>
        </is>
      </c>
      <c r="K289" s="19" t="n"/>
      <c r="L289" s="19" t="n"/>
      <c r="M289" s="5" t="n"/>
      <c r="N289" s="19" t="n"/>
      <c r="O289" s="19" t="inlineStr">
        <is>
          <t>One film with Khan, credited as producer: Kismat Konnection (2008), directed by Aziz Mirza, with Khan in the narration.</t>
        </is>
      </c>
      <c r="P289" s="17" t="n">
        <v>1</v>
      </c>
      <c r="Q289" s="5" t="inlineStr">
        <is>
          <t>FILM-066</t>
        </is>
      </c>
      <c r="R289" s="5" t="inlineStr">
        <is>
          <t>Kismat Konnection (2008)</t>
        </is>
      </c>
      <c r="S289" s="5" t="inlineStr">
        <is>
          <t>Ramesh S. Taurani is credited as producer on Kismat Konnection (2008). No Wikipedia article or other independent biography was located; this row is built from the film credit alone.</t>
        </is>
      </c>
      <c r="T289" s="5" t="inlineStr">
        <is>
          <t>SOURCE-069</t>
        </is>
      </c>
      <c r="U289" s="5" t="inlineStr">
        <is>
          <t>Low</t>
        </is>
      </c>
    </row>
    <row r="290" ht="139" customHeight="1">
      <c r="A290" s="15" t="inlineStr">
        <is>
          <t>PERSON-289</t>
        </is>
      </c>
      <c r="B290" s="5" t="inlineStr">
        <is>
          <t>Ramesh Sippy</t>
        </is>
      </c>
      <c r="C290" s="5" t="inlineStr">
        <is>
          <t>Director; producer</t>
        </is>
      </c>
      <c r="D290" s="17" t="n">
        <v>1947</v>
      </c>
      <c r="E290" s="20" t="n"/>
      <c r="F290" s="5" t="n"/>
      <c r="G290" s="5" t="inlineStr">
        <is>
          <t>Hindi</t>
        </is>
      </c>
      <c r="H290" s="5" t="inlineStr">
        <is>
          <t>A member of the Sippy film family; his wife is the actress Kiran Juneja, who plays Shalini in Zamaana Deewana.</t>
        </is>
      </c>
      <c r="I290" s="5" t="n"/>
      <c r="J290" s="5" t="inlineStr">
        <is>
          <t>Sholay (1975); Zamaana Deewana (1995)</t>
        </is>
      </c>
      <c r="K290" s="19" t="inlineStr">
        <is>
          <t>Large-scale masala entertainment.</t>
        </is>
      </c>
      <c r="L290" s="19" t="n"/>
      <c r="M290" s="5" t="inlineStr">
        <is>
          <t>Filmfare Best Film of 50 Years for Sholay (2005); IIFA Award for Outstanding Contribution to Indian Cinema (2012); Padma Shri (2013); Filmfare Lifetime Achievement Award (2020)</t>
        </is>
      </c>
      <c r="N290" s="19" t="inlineStr">
        <is>
          <t>Director of Sholay, often regarded as one of the most influential Indian films; founded the Ramesh Sippy Academy of Cinema &amp; Entertainment in 2017.</t>
        </is>
      </c>
      <c r="O290" s="19" t="inlineStr">
        <is>
          <t>Directed Khan as the lively son of a gang leader in Zamaana Deewana, produced by G. P. Sippy under Sippy Films.</t>
        </is>
      </c>
      <c r="P290" s="17" t="n">
        <v>1</v>
      </c>
      <c r="Q290" s="5" t="inlineStr">
        <is>
          <t>FILM-013</t>
        </is>
      </c>
      <c r="R290" s="5" t="inlineStr">
        <is>
          <t>Zamaana Deewana (1995)</t>
        </is>
      </c>
      <c r="S290" s="5" t="inlineStr">
        <is>
          <t>Ramesh Sippy, born on 23 January 1947, is a director, actor and producer best known for directing Sholay (1975), often regarded as one of the most influential films made in India. Sholay was named Filmfare's Best Film of 50 Years in 2005, and Sippy received the IIFA Award for Outstanding Contribution to Indian Cinema (2012), the Padma Shri (2013) and the Filmfare Lifetime Achievement Award (2020). In 2017 he founded the Ramesh Sippy Academy of Cinema &amp; Entertainment in Mumbai. He directed Shah Rukh Khan in Zamaana Deewana (1995), a masala film produced by G. P. Sippy under the Sippy Films banner. Khan plays Rahul, whose gang-leader father is feuding with his former friend; police-hired psychologists steer Rahul towards his father's enemy's daughter, played by Raveena Tandon, to end the feud. Sippy's wife, Kiran Juneja, plays one of the psychologists. The film under-performed at the box office.</t>
        </is>
      </c>
      <c r="T290" s="5" t="inlineStr">
        <is>
          <t>SOURCE-131; SOURCE-016</t>
        </is>
      </c>
      <c r="U290" s="5" t="inlineStr">
        <is>
          <t>Medium</t>
        </is>
      </c>
    </row>
    <row r="291" ht="64" customHeight="1">
      <c r="A291" s="15" t="inlineStr">
        <is>
          <t>PERSON-290</t>
        </is>
      </c>
      <c r="B291" s="5" t="inlineStr">
        <is>
          <t>Ranbir Kapoor</t>
        </is>
      </c>
      <c r="C291" s="5" t="inlineStr">
        <is>
          <t>Producer; actor</t>
        </is>
      </c>
      <c r="D291" s="17" t="n">
        <v>1982</v>
      </c>
      <c r="E291" s="20" t="n"/>
      <c r="F291" s="5" t="inlineStr">
        <is>
          <t>2007–present</t>
        </is>
      </c>
      <c r="G291" s="5" t="inlineStr">
        <is>
          <t>Hindi cinema</t>
        </is>
      </c>
      <c r="H291" s="5" t="inlineStr">
        <is>
          <t>A Hindi-film actor, son of Rishi Kapoor and Neetu Singh and grandson of Raj Kapoor, who trained at the School of Visual Arts and the Lee Strasberg Institute and assisted Sanjay Leela Bhansali.</t>
        </is>
      </c>
      <c r="I291" s="5" t="inlineStr">
        <is>
          <t>Saawariya (2007).</t>
        </is>
      </c>
      <c r="J291" s="5" t="inlineStr">
        <is>
          <t>With Khan: Brahmāstra: Part One – Shiva (2022), as co-producer and lead actor. Wider work: Wake Up Sid, Rockstar, Barfi!, Yeh Jawaani Hai Deewani, Sanju, Animal.</t>
        </is>
      </c>
      <c r="K291" s="19" t="n"/>
      <c r="L291" s="19" t="n"/>
      <c r="M291" s="5" t="inlineStr">
        <is>
          <t>Seven Filmfare Awards.</t>
        </is>
      </c>
      <c r="N291" s="19" t="n"/>
      <c r="O291" s="19" t="inlineStr">
        <is>
          <t>Co-produced Brahmāstra and plays its lead, Shiva; Khan has an extended special appearance as Mohan Bhargav.</t>
        </is>
      </c>
      <c r="P291" s="17" t="n">
        <v>1</v>
      </c>
      <c r="Q291" s="5" t="inlineStr">
        <is>
          <t>FILM-093</t>
        </is>
      </c>
      <c r="R291" s="5" t="inlineStr">
        <is>
          <t>Brahmāstra: Part One – Shiva (2022)</t>
        </is>
      </c>
      <c r="S291" s="5" t="inlineStr">
        <is>
          <t>Ranbir Kapoor, of the fourth generation of the Kapoor family, debuted in Saawariya (2007) and became one of the leading stars of his generation with Rockstar, Barfi!, Sanju and Animal. He is credited as a producer as well as the star of Brahmāstra: Part One – Shiva (2022), Ayan Mukerji's fantasy, in which Shah Rukh Khan plays the scientist Mohan Bhargav in the opening section. The film was a hit.</t>
        </is>
      </c>
      <c r="T291" s="5" t="inlineStr">
        <is>
          <t>SOURCE-306; SOURCE-096</t>
        </is>
      </c>
      <c r="U291" s="5" t="inlineStr">
        <is>
          <t>Medium</t>
        </is>
      </c>
    </row>
    <row r="292" ht="79" customHeight="1">
      <c r="A292" s="15" t="inlineStr">
        <is>
          <t>PERSON-291</t>
        </is>
      </c>
      <c r="B292" s="5" t="inlineStr">
        <is>
          <t>Ranbir Pushp</t>
        </is>
      </c>
      <c r="C292" s="5" t="inlineStr">
        <is>
          <t>Writer</t>
        </is>
      </c>
      <c r="D292" s="20" t="n"/>
      <c r="E292" s="20" t="n"/>
      <c r="F292" s="5" t="n"/>
      <c r="G292" s="5" t="inlineStr">
        <is>
          <t>Hindi cinema</t>
        </is>
      </c>
      <c r="H292" s="5" t="inlineStr">
        <is>
          <t>A Patiala-born film writer and novelist, born Ranbir Kumar Kaushal, who wrote short stories for All India Radio as a schoolboy and has worked on over 50 films and six television serials.</t>
        </is>
      </c>
      <c r="I292" s="5" t="n"/>
      <c r="J292" s="5" t="inlineStr">
        <is>
          <t>With Khan: Deewana (1992). Wider work: Agni Sakshi, Jaan, Hameshaa, Yaarana; Punjabi films.</t>
        </is>
      </c>
      <c r="K292" s="19" t="inlineStr">
        <is>
          <t>Romantic and domestic thrillers.</t>
        </is>
      </c>
      <c r="L292" s="19" t="n"/>
      <c r="M292" s="5" t="inlineStr">
        <is>
          <t>Filmfare nominations for Best Screenplay and Best Story (Agni Sakshi).</t>
        </is>
      </c>
      <c r="N292" s="19" t="n"/>
      <c r="O292" s="19" t="inlineStr">
        <is>
          <t>One film: Raj Kanwar's Deewana, which he co-wrote, Khan's first release and the film that won him the Filmfare Award for Best Male Debut.</t>
        </is>
      </c>
      <c r="P292" s="17" t="n">
        <v>1</v>
      </c>
      <c r="Q292" s="5" t="inlineStr">
        <is>
          <t>FILM-001</t>
        </is>
      </c>
      <c r="R292" s="5" t="inlineStr">
        <is>
          <t>Deewana (1992)</t>
        </is>
      </c>
      <c r="S292" s="5" t="inlineStr">
        <is>
          <t>Ranbir Pushp grew up in Patiala and took a pen name early in his writing career. He is best known for Agni Sakshi (1996), a domestic-abuse thriller that won seven Filmfare nominations, and also wrote Jaan and Hameshaa. Earlier he co-wrote Deewana (1992), Raj Kanwar's romance in which Shah Rukh Khan made his first appearance on the cinema screen as Raja, the young man who loves a widow (Divya Bharti). The film was a hit and won Khan the Filmfare Best Male Debut award.</t>
        </is>
      </c>
      <c r="T292" s="5" t="inlineStr">
        <is>
          <t>SOURCE-307; SOURCE-004</t>
        </is>
      </c>
      <c r="U292" s="5" t="inlineStr">
        <is>
          <t>Medium</t>
        </is>
      </c>
    </row>
    <row r="293" ht="49" customHeight="1">
      <c r="A293" s="15" t="inlineStr">
        <is>
          <t>PERSON-292</t>
        </is>
      </c>
      <c r="B293" s="5" t="inlineStr">
        <is>
          <t>Ranjit Kapoor</t>
        </is>
      </c>
      <c r="C293" s="5" t="inlineStr">
        <is>
          <t>Writer</t>
        </is>
      </c>
      <c r="D293" s="20" t="n"/>
      <c r="E293" s="20" t="n"/>
      <c r="F293" s="5" t="n"/>
      <c r="G293" s="5" t="inlineStr">
        <is>
          <t>Hindi cinema</t>
        </is>
      </c>
      <c r="H293" s="5" t="inlineStr">
        <is>
          <t>A writer credited on one film in this filmography, with no Wikipedia article of their own.</t>
        </is>
      </c>
      <c r="I293" s="5" t="n"/>
      <c r="J293" s="5" t="inlineStr">
        <is>
          <t>With Khan: Kabhi Haan Kabhi Naa (1994).</t>
        </is>
      </c>
      <c r="K293" s="19" t="n"/>
      <c r="L293" s="19" t="n"/>
      <c r="M293" s="5" t="n"/>
      <c r="N293" s="19" t="n"/>
      <c r="O293" s="19" t="inlineStr">
        <is>
          <t>One film with Khan, credited as writer: Kabhi Haan Kabhi Naa (1994), directed by Kundan Shah, with Khan in the lead as Sunil.</t>
        </is>
      </c>
      <c r="P293" s="17" t="n">
        <v>1</v>
      </c>
      <c r="Q293" s="5" t="inlineStr">
        <is>
          <t>FILM-010</t>
        </is>
      </c>
      <c r="R293" s="5" t="inlineStr">
        <is>
          <t>Kabhi Haan Kabhi Naa (1994)</t>
        </is>
      </c>
      <c r="S293" s="5" t="inlineStr">
        <is>
          <t>Ranjit Kapoor is credited as writer on Kabhi Haan Kabhi Naa (1994). No Wikipedia article or other independent biography was located; this row is built from the film credit alone.</t>
        </is>
      </c>
      <c r="T293" s="5" t="inlineStr">
        <is>
          <t>SOURCE-013</t>
        </is>
      </c>
      <c r="U293" s="5" t="inlineStr">
        <is>
          <t>Low</t>
        </is>
      </c>
    </row>
    <row r="294" ht="64" customHeight="1">
      <c r="A294" s="15" t="inlineStr">
        <is>
          <t>PERSON-293</t>
        </is>
      </c>
      <c r="B294" s="5" t="inlineStr">
        <is>
          <t>Ranjit Raina</t>
        </is>
      </c>
      <c r="C294" s="5" t="inlineStr">
        <is>
          <t>Writer</t>
        </is>
      </c>
      <c r="D294" s="20" t="n"/>
      <c r="E294" s="20" t="n"/>
      <c r="F294" s="5" t="n"/>
      <c r="G294" s="5" t="inlineStr">
        <is>
          <t>Hindi cinema</t>
        </is>
      </c>
      <c r="H294" s="5" t="inlineStr">
        <is>
          <t>A writer credited on one film in this filmography, with no Wikipedia article of their own.</t>
        </is>
      </c>
      <c r="I294" s="5" t="n"/>
      <c r="J294" s="5" t="inlineStr">
        <is>
          <t>With Khan: Always Kabhi Kabhi (2011).</t>
        </is>
      </c>
      <c r="K294" s="19" t="n"/>
      <c r="L294" s="19" t="n"/>
      <c r="M294" s="5" t="n"/>
      <c r="N294" s="19" t="n"/>
      <c r="O294" s="19" t="inlineStr">
        <is>
          <t>One film with Khan, credited as writer: Always Kabhi Kabhi (2011), directed by Roshan Abbas, with Khan in a self appearance; verdict: Flop.</t>
        </is>
      </c>
      <c r="P294" s="17" t="n">
        <v>1</v>
      </c>
      <c r="Q294" s="5" t="inlineStr">
        <is>
          <t>FILM-073</t>
        </is>
      </c>
      <c r="R294" s="5" t="inlineStr">
        <is>
          <t>Always Kabhi Kabhi (2011)</t>
        </is>
      </c>
      <c r="S294" s="5" t="inlineStr">
        <is>
          <t>Ranjit Raina is credited as writer on Always Kabhi Kabhi (2011). No Wikipedia article or other independent biography was located; this row is built from the film credit alone.</t>
        </is>
      </c>
      <c r="T294" s="5" t="inlineStr">
        <is>
          <t>SOURCE-076</t>
        </is>
      </c>
      <c r="U294" s="5" t="inlineStr">
        <is>
          <t>Low</t>
        </is>
      </c>
    </row>
    <row r="295" ht="79" customHeight="1">
      <c r="A295" s="15" t="inlineStr">
        <is>
          <t>PERSON-294</t>
        </is>
      </c>
      <c r="B295" s="5" t="inlineStr">
        <is>
          <t>Ravi Chopra</t>
        </is>
      </c>
      <c r="C295" s="5" t="inlineStr">
        <is>
          <t>Producer</t>
        </is>
      </c>
      <c r="D295" s="17" t="n">
        <v>1946</v>
      </c>
      <c r="E295" s="17" t="n">
        <v>2014</v>
      </c>
      <c r="F295" s="5" t="inlineStr">
        <is>
          <t>1969–2009</t>
        </is>
      </c>
      <c r="G295" s="5" t="inlineStr">
        <is>
          <t>Hindi cinema</t>
        </is>
      </c>
      <c r="H295" s="5" t="inlineStr">
        <is>
          <t>A Hindi-film and television director, son of B. R. Chopra and nephew of Yash Chopra, best known for directing the television Mahabharat (1988–1990).</t>
        </is>
      </c>
      <c r="I295" s="5" t="inlineStr">
        <is>
          <t>Assisted B. R. Chopra on Dastaan and Dhund and Yash Chopra on Ittefaq; directorial debut Zameer (1975).</t>
        </is>
      </c>
      <c r="J295" s="5" t="inlineStr">
        <is>
          <t>With Khan: Bhoothnath (2008), as producer. Wider work: Zameer, The Burning Train, Mazdoor, Baghban, Baabul; the Mahabharat serial.</t>
        </is>
      </c>
      <c r="K295" s="19" t="inlineStr">
        <is>
          <t>Family drama and mythological epic.</t>
        </is>
      </c>
      <c r="L295" s="19" t="n"/>
      <c r="M295" s="5" t="n"/>
      <c r="N295" s="19" t="n"/>
      <c r="O295" s="19" t="inlineStr">
        <is>
          <t>One film: Bhoothnath, which he produced through B. R. Films, with Khan in an extended special appearance as a boy's father. It was a semi-hit.</t>
        </is>
      </c>
      <c r="P295" s="17" t="n">
        <v>1</v>
      </c>
      <c r="Q295" s="5" t="inlineStr">
        <is>
          <t>FILM-065</t>
        </is>
      </c>
      <c r="R295" s="5" t="inlineStr">
        <is>
          <t>Bhoothnath (2008)</t>
        </is>
      </c>
      <c r="S295" s="5" t="inlineStr">
        <is>
          <t>Ravi Chopra trained under his father B. R. Chopra and his uncle Yash Chopra, then directed The Burning Train and Mazdoor before co-directing the television Mahabharat, one of the most watched programmes in Indian history. He later directed Baghban (2003) with Amitabh Bachchan. He produced Bhoothnath (2008), Vivek Sharma's children's film with Bachchan as a ghost, in which Shah Rukh Khan appears in an extended special role as Aditya, the boy's father. Chopra died on 12 November 2014.</t>
        </is>
      </c>
      <c r="T295" s="5" t="inlineStr">
        <is>
          <t>SOURCE-308; SOURCE-068</t>
        </is>
      </c>
      <c r="U295" s="5" t="inlineStr">
        <is>
          <t>Medium</t>
        </is>
      </c>
    </row>
    <row r="296" ht="79" customHeight="1">
      <c r="A296" s="15" t="inlineStr">
        <is>
          <t>PERSON-295</t>
        </is>
      </c>
      <c r="B296" s="5" t="inlineStr">
        <is>
          <t>Reema Kagti</t>
        </is>
      </c>
      <c r="C296" s="5" t="inlineStr">
        <is>
          <t>Writer (anthology segment)</t>
        </is>
      </c>
      <c r="D296" s="20" t="n"/>
      <c r="E296" s="20" t="n"/>
      <c r="F296" s="5" t="inlineStr">
        <is>
          <t>2007–present</t>
        </is>
      </c>
      <c r="G296" s="5" t="inlineStr">
        <is>
          <t>Hindi cinema</t>
        </is>
      </c>
      <c r="H296" s="5" t="inlineStr">
        <is>
          <t>An Assamese-born director and screenwriter who moved to Mumbai in her teens and assisted Farhan Akhtar, Ashutosh Gowariker and Mira Nair; co-founder with Zoya Akhtar of Tiger Baby Films (2015).</t>
        </is>
      </c>
      <c r="I296" s="5" t="inlineStr">
        <is>
          <t>Honeymoon Travels Pvt. Ltd. (2007).</t>
        </is>
      </c>
      <c r="J296" s="5" t="inlineStr">
        <is>
          <t>With Khan: Bombay Talkies (2013), co-writer of Zoya Akhtar's segment. Wider work: Talaash, Gold; co-writer of Zindagi Na Milegi Dobara, Dil Dhadakne Do, Gully Boy.</t>
        </is>
      </c>
      <c r="K296" s="19" t="inlineStr">
        <is>
          <t>Urban ensemble drama.</t>
        </is>
      </c>
      <c r="L296" s="19" t="n"/>
      <c r="M296" s="5" t="n"/>
      <c r="N296" s="19" t="n"/>
      <c r="O296" s="19" t="inlineStr">
        <is>
          <t>One film: the anthology Bombay Talkies, in which she co-wrote Zoya Akhtar's segment; Khan appears as himself.</t>
        </is>
      </c>
      <c r="P296" s="17" t="n">
        <v>1</v>
      </c>
      <c r="Q296" s="5" t="inlineStr">
        <is>
          <t>FILM-078</t>
        </is>
      </c>
      <c r="R296" s="5" t="inlineStr">
        <is>
          <t>Bombay Talkies (2013)</t>
        </is>
      </c>
      <c r="S296" s="5" t="inlineStr">
        <is>
          <t>Reema Kagti, born Reema Kakati in Tinsukia, Assam, worked as an assistant on Lagaan, Dil Chahta Hai and Lakshya and has been Zoya Akhtar's writing partner since Excel Entertainment's early days. She directed Honeymoon Travels Pvt. Ltd., Talaash and Gold. She co-wrote Zoya Akhtar's segment of Bombay Talkies (2013), about a boy who wants to dance like Katrina Kaif; Shah Rukh Khan appears in the film as himself. Her birth year is given only in the article description (1972), so it is left blank.</t>
        </is>
      </c>
      <c r="T296" s="5" t="inlineStr">
        <is>
          <t>SOURCE-309; SOURCE-081</t>
        </is>
      </c>
      <c r="U296" s="5" t="inlineStr">
        <is>
          <t>Medium</t>
        </is>
      </c>
    </row>
    <row r="297" ht="64" customHeight="1">
      <c r="A297" s="15" t="inlineStr">
        <is>
          <t>PERSON-296</t>
        </is>
      </c>
      <c r="B297" s="5" t="inlineStr">
        <is>
          <t>Reema Rakesh Nath</t>
        </is>
      </c>
      <c r="C297" s="5" t="inlineStr">
        <is>
          <t>Writer</t>
        </is>
      </c>
      <c r="D297" s="20" t="n"/>
      <c r="E297" s="20" t="n"/>
      <c r="F297" s="5" t="n"/>
      <c r="G297" s="5" t="inlineStr">
        <is>
          <t>Hindi cinema</t>
        </is>
      </c>
      <c r="H297" s="5" t="inlineStr">
        <is>
          <t>A Hindi-film writer, director and producer, daughter of the actors D. K. Sapru and Hemvati, married to the producer Rakesh Nath.</t>
        </is>
      </c>
      <c r="I297" s="5" t="n"/>
      <c r="J297" s="5" t="inlineStr">
        <is>
          <t>With Khan: Hum Tumhare Hain Sanam (2002). Wider work: Saajan (1991), Aarzoo; directed Mohabbat (1997).</t>
        </is>
      </c>
      <c r="K297" s="19" t="inlineStr">
        <is>
          <t>Romantic triangles.</t>
        </is>
      </c>
      <c r="L297" s="19" t="n"/>
      <c r="M297" s="5" t="n"/>
      <c r="N297" s="19" t="n"/>
      <c r="O297" s="19" t="inlineStr">
        <is>
          <t>Co-wrote Hum Tumhare Hain Sanam, Khan's marital-jealousy drama, which her husband Rakesh Nath co-produced.</t>
        </is>
      </c>
      <c r="P297" s="17" t="n">
        <v>1</v>
      </c>
      <c r="Q297" s="5" t="inlineStr">
        <is>
          <t>FILM-042</t>
        </is>
      </c>
      <c r="R297" s="5" t="inlineStr">
        <is>
          <t>Hum Tumhare Hain Sanam (2002)</t>
        </is>
      </c>
      <c r="S297" s="5" t="inlineStr">
        <is>
          <t>Reema Rakesh Nath wrote Saajan (1991), the golden-jubilee hit about two friends in love with the same woman, and Aarzoo, and directed Mohabbat (1997). She co-wrote Hum Tumhare Hain Sanam (2002), in which Shah Rukh Khan plays a husband consumed by jealousy over his wife's friendship with another man (Salman Khan); her husband Rakesh Nath is also credited on the film. Her son is the actor Karan Nath.</t>
        </is>
      </c>
      <c r="T297" s="5" t="inlineStr">
        <is>
          <t>SOURCE-310; SOURCE-045</t>
        </is>
      </c>
      <c r="U297" s="5" t="inlineStr">
        <is>
          <t>Medium</t>
        </is>
      </c>
    </row>
    <row r="298" ht="64" customHeight="1">
      <c r="A298" s="15" t="inlineStr">
        <is>
          <t>PERSON-297</t>
        </is>
      </c>
      <c r="B298" s="5" t="inlineStr">
        <is>
          <t>Renu Ravi Chopra</t>
        </is>
      </c>
      <c r="C298" s="5" t="inlineStr">
        <is>
          <t>Producer</t>
        </is>
      </c>
      <c r="D298" s="20" t="n"/>
      <c r="E298" s="20" t="n"/>
      <c r="F298" s="5" t="n"/>
      <c r="G298" s="5" t="inlineStr">
        <is>
          <t>Hindi cinema</t>
        </is>
      </c>
      <c r="H298" s="5" t="inlineStr">
        <is>
          <t>A producer credited on one film in this filmography, with no Wikipedia article of their own.</t>
        </is>
      </c>
      <c r="I298" s="5" t="n"/>
      <c r="J298" s="5" t="inlineStr">
        <is>
          <t>With Khan: Bhoothnath Returns (2014).</t>
        </is>
      </c>
      <c r="K298" s="19" t="n"/>
      <c r="L298" s="19" t="n"/>
      <c r="M298" s="5" t="n"/>
      <c r="N298" s="19" t="n"/>
      <c r="O298" s="19" t="inlineStr">
        <is>
          <t>One film with Khan, credited as producer: Bhoothnath Returns (2014), directed by Nitesh Tiwari, with Khan in a cameo as Aditya "Adi" Sharma; verdict: Profitable.</t>
        </is>
      </c>
      <c r="P298" s="17" t="n">
        <v>1</v>
      </c>
      <c r="Q298" s="5" t="inlineStr">
        <is>
          <t>FILM-080</t>
        </is>
      </c>
      <c r="R298" s="5" t="inlineStr">
        <is>
          <t>Bhoothnath Returns (2014)</t>
        </is>
      </c>
      <c r="S298" s="5" t="inlineStr">
        <is>
          <t>Renu Ravi Chopra is credited as producer on Bhoothnath Returns (2014). No Wikipedia article or other independent biography was located; this row is built from the film credit alone.</t>
        </is>
      </c>
      <c r="T298" s="5" t="inlineStr">
        <is>
          <t>SOURCE-083</t>
        </is>
      </c>
      <c r="U298" s="5" t="inlineStr">
        <is>
          <t>Low</t>
        </is>
      </c>
    </row>
    <row r="299" ht="64" customHeight="1">
      <c r="A299" s="15" t="inlineStr">
        <is>
          <t>PERSON-298</t>
        </is>
      </c>
      <c r="B299" s="5" t="inlineStr">
        <is>
          <t>Renuka Kunzru</t>
        </is>
      </c>
      <c r="C299" s="5" t="inlineStr">
        <is>
          <t>Writer</t>
        </is>
      </c>
      <c r="D299" s="20" t="n"/>
      <c r="E299" s="20" t="n"/>
      <c r="F299" s="5" t="n"/>
      <c r="G299" s="5" t="inlineStr">
        <is>
          <t>Hindi cinema</t>
        </is>
      </c>
      <c r="H299" s="5" t="inlineStr">
        <is>
          <t>A writer credited on one film in this filmography, with no Wikipedia article of their own.</t>
        </is>
      </c>
      <c r="I299" s="5" t="n"/>
      <c r="J299" s="5" t="inlineStr">
        <is>
          <t>With Khan: Heyy Babyy (2007).</t>
        </is>
      </c>
      <c r="K299" s="19" t="n"/>
      <c r="L299" s="19" t="n"/>
      <c r="M299" s="5" t="n"/>
      <c r="N299" s="19" t="n"/>
      <c r="O299" s="19" t="inlineStr">
        <is>
          <t>One film with Khan, credited as writer: Heyy Babyy (2007), directed by Sajid Khan, with Khan in a cameo as Raj Malhotra; verdict: Super hit.</t>
        </is>
      </c>
      <c r="P299" s="17" t="n">
        <v>1</v>
      </c>
      <c r="Q299" s="5" t="inlineStr">
        <is>
          <t>FILM-061</t>
        </is>
      </c>
      <c r="R299" s="5" t="inlineStr">
        <is>
          <t>Heyy Babyy (2007)</t>
        </is>
      </c>
      <c r="S299" s="5" t="inlineStr">
        <is>
          <t>Renuka Kunzru is credited as writer on Heyy Babyy (2007). No Wikipedia article or other independent biography was located; this row is built from the film credit alone.</t>
        </is>
      </c>
      <c r="T299" s="5" t="inlineStr">
        <is>
          <t>SOURCE-064</t>
        </is>
      </c>
      <c r="U299" s="5" t="inlineStr">
        <is>
          <t>Low</t>
        </is>
      </c>
    </row>
    <row r="300" ht="64" customHeight="1">
      <c r="A300" s="15" t="inlineStr">
        <is>
          <t>PERSON-299</t>
        </is>
      </c>
      <c r="B300" s="5" t="inlineStr">
        <is>
          <t>Rita Rawail</t>
        </is>
      </c>
      <c r="C300" s="5" t="inlineStr">
        <is>
          <t>Producer</t>
        </is>
      </c>
      <c r="D300" s="20" t="n"/>
      <c r="E300" s="20" t="n"/>
      <c r="F300" s="5" t="n"/>
      <c r="G300" s="5" t="inlineStr">
        <is>
          <t>Hindi cinema</t>
        </is>
      </c>
      <c r="H300" s="5" t="inlineStr">
        <is>
          <t>A producer credited on one film in this filmography, with no Wikipedia article of their own.</t>
        </is>
      </c>
      <c r="I300" s="5" t="n"/>
      <c r="J300" s="5" t="inlineStr">
        <is>
          <t>With Khan: Anjaam (1994).</t>
        </is>
      </c>
      <c r="K300" s="19" t="n"/>
      <c r="L300" s="19" t="n"/>
      <c r="M300" s="5" t="n"/>
      <c r="N300" s="19" t="n"/>
      <c r="O300" s="19" t="inlineStr">
        <is>
          <t>One film with Khan, credited as producer: Anjaam (1994), directed by Rahul Rawail, with Khan in the antagonist as Vijay Agnihotri.</t>
        </is>
      </c>
      <c r="P300" s="17" t="n">
        <v>1</v>
      </c>
      <c r="Q300" s="5" t="inlineStr">
        <is>
          <t>FILM-011</t>
        </is>
      </c>
      <c r="R300" s="5" t="inlineStr">
        <is>
          <t>Anjaam (1994)</t>
        </is>
      </c>
      <c r="S300" s="5" t="inlineStr">
        <is>
          <t>Rita Rawail is credited as producer on Anjaam (1994). No Wikipedia article or other independent biography was located; this row is built from the film credit alone.</t>
        </is>
      </c>
      <c r="T300" s="5" t="inlineStr">
        <is>
          <t>SOURCE-014</t>
        </is>
      </c>
      <c r="U300" s="5" t="inlineStr">
        <is>
          <t>Low</t>
        </is>
      </c>
    </row>
    <row r="301" ht="64" customHeight="1">
      <c r="A301" s="15" t="inlineStr">
        <is>
          <t>PERSON-300</t>
        </is>
      </c>
      <c r="B301" s="5" t="inlineStr">
        <is>
          <t>Ritesh G. Nayyar</t>
        </is>
      </c>
      <c r="C301" s="5" t="inlineStr">
        <is>
          <t>Producer</t>
        </is>
      </c>
      <c r="D301" s="20" t="n"/>
      <c r="E301" s="20" t="n"/>
      <c r="F301" s="5" t="n"/>
      <c r="G301" s="5" t="inlineStr">
        <is>
          <t>Hindi cinema</t>
        </is>
      </c>
      <c r="H301" s="5" t="inlineStr">
        <is>
          <t>A producer credited on one film in this filmography, with no Wikipedia article of their own.</t>
        </is>
      </c>
      <c r="I301" s="5" t="n"/>
      <c r="J301" s="5" t="inlineStr">
        <is>
          <t>With Khan: Yeh Lamhe Judaai Ke (2004).</t>
        </is>
      </c>
      <c r="K301" s="19" t="n"/>
      <c r="L301" s="19" t="n"/>
      <c r="M301" s="5" t="n"/>
      <c r="N301" s="19" t="n"/>
      <c r="O301" s="19" t="inlineStr">
        <is>
          <t>One film with Khan, credited as producer: Yeh Lamhe Judaai Ke (2004), directed by Birendra Nath Tiwari, with Khan in the lead as Dushyant Kumar; verdict: Box-office bomb.</t>
        </is>
      </c>
      <c r="P301" s="17" t="n">
        <v>1</v>
      </c>
      <c r="Q301" s="5" t="inlineStr">
        <is>
          <t>FILM-048</t>
        </is>
      </c>
      <c r="R301" s="5" t="inlineStr">
        <is>
          <t>Yeh Lamhe Judaai Ke (2004)</t>
        </is>
      </c>
      <c r="S301" s="5" t="inlineStr">
        <is>
          <t>Ritesh G. Nayyar is credited as producer on Yeh Lamhe Judaai Ke (2004). No Wikipedia article or other independent biography was located; this row is built from the film credit alone.</t>
        </is>
      </c>
      <c r="T301" s="5" t="inlineStr">
        <is>
          <t>SOURCE-051</t>
        </is>
      </c>
      <c r="U301" s="5" t="inlineStr">
        <is>
          <t>Low</t>
        </is>
      </c>
    </row>
    <row r="302" ht="49" customHeight="1">
      <c r="A302" s="15" t="inlineStr">
        <is>
          <t>PERSON-301</t>
        </is>
      </c>
      <c r="B302" s="5" t="inlineStr">
        <is>
          <t>Rohit Malhotra</t>
        </is>
      </c>
      <c r="C302" s="5" t="inlineStr">
        <is>
          <t>Writer</t>
        </is>
      </c>
      <c r="D302" s="20" t="n"/>
      <c r="E302" s="20" t="n"/>
      <c r="F302" s="5" t="n"/>
      <c r="G302" s="5" t="inlineStr">
        <is>
          <t>Hindi cinema</t>
        </is>
      </c>
      <c r="H302" s="5" t="inlineStr">
        <is>
          <t>A writer credited on one film in this filmography, with no Wikipedia article of their own.</t>
        </is>
      </c>
      <c r="I302" s="5" t="n"/>
      <c r="J302" s="5" t="inlineStr">
        <is>
          <t>With Khan: Kuchh Meetha Ho Jaye (2005).</t>
        </is>
      </c>
      <c r="K302" s="19" t="n"/>
      <c r="L302" s="19" t="n"/>
      <c r="M302" s="5" t="n"/>
      <c r="N302" s="19" t="n"/>
      <c r="O302" s="19" t="inlineStr">
        <is>
          <t>One film with Khan, credited as writer: Kuchh Meetha Ho Jaye (2005), directed by Samar Khan, with Khan in a self appearance.</t>
        </is>
      </c>
      <c r="P302" s="17" t="n">
        <v>1</v>
      </c>
      <c r="Q302" s="5" t="inlineStr">
        <is>
          <t>FILM-052</t>
        </is>
      </c>
      <c r="R302" s="5" t="inlineStr">
        <is>
          <t>Kuchh Meetha Ho Jaye (2005)</t>
        </is>
      </c>
      <c r="S302" s="5" t="inlineStr">
        <is>
          <t>Rohit Malhotra is credited as writer on Kuchh Meetha Ho Jaye (2005). No Wikipedia article or other independent biography was located; this row is built from the film credit alone.</t>
        </is>
      </c>
      <c r="T302" s="5" t="inlineStr">
        <is>
          <t>SOURCE-055</t>
        </is>
      </c>
      <c r="U302" s="5" t="inlineStr">
        <is>
          <t>Low</t>
        </is>
      </c>
    </row>
    <row r="303" ht="64" customHeight="1">
      <c r="A303" s="15" t="inlineStr">
        <is>
          <t>PERSON-302</t>
        </is>
      </c>
      <c r="B303" s="5" t="inlineStr">
        <is>
          <t>Rohit Shetty Productions</t>
        </is>
      </c>
      <c r="C303" s="5" t="inlineStr">
        <is>
          <t>Production banner</t>
        </is>
      </c>
      <c r="D303" s="20" t="n"/>
      <c r="E303" s="20" t="n"/>
      <c r="F303" s="5" t="n"/>
      <c r="G303" s="5" t="inlineStr">
        <is>
          <t>Hindi cinema</t>
        </is>
      </c>
      <c r="H303" s="5" t="inlineStr">
        <is>
          <t>A production banner credited on one film in this filmography, with no Wikipedia article of its own.</t>
        </is>
      </c>
      <c r="I303" s="5" t="n"/>
      <c r="J303" s="5" t="inlineStr">
        <is>
          <t>With Khan: Dilwale (2015).</t>
        </is>
      </c>
      <c r="K303" s="19" t="n"/>
      <c r="L303" s="19" t="n"/>
      <c r="M303" s="5" t="n"/>
      <c r="N303" s="19" t="n"/>
      <c r="O303" s="19" t="inlineStr">
        <is>
          <t>One film with Khan, credited as production banner: Dilwale (2015), directed by Rohit Shetty, with Khan in the lead as Raj "Kaali" Bakshi; verdict: Commercial success.</t>
        </is>
      </c>
      <c r="P303" s="17" t="n">
        <v>1</v>
      </c>
      <c r="Q303" s="5" t="inlineStr">
        <is>
          <t>FILM-082</t>
        </is>
      </c>
      <c r="R303" s="5" t="inlineStr">
        <is>
          <t>Dilwale (2015)</t>
        </is>
      </c>
      <c r="S303" s="5" t="inlineStr">
        <is>
          <t>Rohit Shetty Productions is credited as production banner on Dilwale (2015). No Wikipedia article or other independent biography was located for the company; this row is built from the film credit alone.</t>
        </is>
      </c>
      <c r="T303" s="5" t="inlineStr">
        <is>
          <t>SOURCE-085</t>
        </is>
      </c>
      <c r="U303" s="5" t="inlineStr">
        <is>
          <t>Low</t>
        </is>
      </c>
    </row>
    <row r="304" ht="79" customHeight="1">
      <c r="A304" s="15" t="inlineStr">
        <is>
          <t>PERSON-303</t>
        </is>
      </c>
      <c r="B304" s="5" t="inlineStr">
        <is>
          <t>Ronnie Screwvala</t>
        </is>
      </c>
      <c r="C304" s="5" t="inlineStr">
        <is>
          <t>Producer (UTV)</t>
        </is>
      </c>
      <c r="D304" s="17" t="n">
        <v>1956</v>
      </c>
      <c r="E304" s="20" t="n"/>
      <c r="F304" s="5" t="inlineStr">
        <is>
          <t>1981–present</t>
        </is>
      </c>
      <c r="G304" s="5" t="inlineStr">
        <is>
          <t>Hindi cinema</t>
        </is>
      </c>
      <c r="H304" s="5" t="inlineStr">
        <is>
          <t>A Mumbai entrepreneur and producer who pioneered Indian cable television and built UTV Software Communications, sold to Disney in 2012; later co-founder of upGrad and RSVP Movies and of the Swades Foundation.</t>
        </is>
      </c>
      <c r="I304" s="5" t="n"/>
      <c r="J304" s="5" t="inlineStr">
        <is>
          <t>With Khan: Chennai Express (2013). Wider work through UTV: Rang De Basanti, Swades, Jodhaa Akbar, Barfi!; through RSVP: Uri: The Surgical Strike.</t>
        </is>
      </c>
      <c r="K304" s="19" t="inlineStr">
        <is>
          <t>Studio-scale production and media business.</t>
        </is>
      </c>
      <c r="L304" s="19" t="n"/>
      <c r="M304" s="5" t="n"/>
      <c r="N304" s="19" t="inlineStr">
        <is>
          <t>Named in Time's 100 most influential people.</t>
        </is>
      </c>
      <c r="O304" s="19" t="inlineStr">
        <is>
          <t>One film: Chennai Express, co-produced by UTV with Red Chillies; it was one of Khan's biggest hits.</t>
        </is>
      </c>
      <c r="P304" s="17" t="n">
        <v>1</v>
      </c>
      <c r="Q304" s="5" t="inlineStr">
        <is>
          <t>FILM-079</t>
        </is>
      </c>
      <c r="R304" s="5" t="inlineStr">
        <is>
          <t>Chennai Express (2013)</t>
        </is>
      </c>
      <c r="S304" s="5" t="inlineStr">
        <is>
          <t>Ronnie Screwvala built UTV from cable television into a film studio partnered with News Corp, Fox, Disney and Bloomberg, and sold it to Disney in 2012 for an enterprise value of US$1.4 billion. Under him UTV produced Swades, with Shah Rukh Khan, and co-produced Chennai Express (2013), Rohit Shetty's action comedy with Khan and Deepika Padukone, which became one of the highest-grossing Hindi films of its time. He later founded upGrad and the Swades Foundation, a rural development non-profit.</t>
        </is>
      </c>
      <c r="T304" s="5" t="inlineStr">
        <is>
          <t>SOURCE-311; SOURCE-082</t>
        </is>
      </c>
      <c r="U304" s="5" t="inlineStr">
        <is>
          <t>Medium</t>
        </is>
      </c>
    </row>
    <row r="305" ht="49" customHeight="1">
      <c r="A305" s="15" t="inlineStr">
        <is>
          <t>PERSON-304</t>
        </is>
      </c>
      <c r="B305" s="5" t="inlineStr">
        <is>
          <t>Roshan Abbas</t>
        </is>
      </c>
      <c r="C305" s="5" t="inlineStr">
        <is>
          <t>Director</t>
        </is>
      </c>
      <c r="D305" s="20" t="n"/>
      <c r="E305" s="20" t="n"/>
      <c r="F305" s="5" t="n"/>
      <c r="G305" s="5" t="inlineStr">
        <is>
          <t>Hindi cinema</t>
        </is>
      </c>
      <c r="H305" s="5" t="inlineStr">
        <is>
          <t>A director credited on one film in this filmography, with no Wikipedia article of their own.</t>
        </is>
      </c>
      <c r="I305" s="5" t="n"/>
      <c r="J305" s="5" t="inlineStr">
        <is>
          <t>With Khan: Always Kabhi Kabhi (2011).</t>
        </is>
      </c>
      <c r="K305" s="19" t="n"/>
      <c r="L305" s="19" t="n"/>
      <c r="M305" s="5" t="n"/>
      <c r="N305" s="19" t="n"/>
      <c r="O305" s="19" t="inlineStr">
        <is>
          <t>One film with Khan, credited as director: Always Kabhi Kabhi (2011), with Khan in a self appearance; verdict: Flop.</t>
        </is>
      </c>
      <c r="P305" s="17" t="n">
        <v>1</v>
      </c>
      <c r="Q305" s="5" t="inlineStr">
        <is>
          <t>FILM-073</t>
        </is>
      </c>
      <c r="R305" s="5" t="inlineStr">
        <is>
          <t>Always Kabhi Kabhi (2011)</t>
        </is>
      </c>
      <c r="S305" s="5" t="inlineStr">
        <is>
          <t>Roshan Abbas is credited as director on Always Kabhi Kabhi (2011). No Wikipedia article or other independent biography was located; this row is built from the film credit alone.</t>
        </is>
      </c>
      <c r="T305" s="5" t="inlineStr">
        <is>
          <t>SOURCE-076</t>
        </is>
      </c>
      <c r="U305" s="5" t="inlineStr">
        <is>
          <t>Low</t>
        </is>
      </c>
    </row>
    <row r="306" ht="49" customHeight="1">
      <c r="A306" s="15" t="inlineStr">
        <is>
          <t>PERSON-305</t>
        </is>
      </c>
      <c r="B306" s="5" t="inlineStr">
        <is>
          <t>S. Ramanagirivasan</t>
        </is>
      </c>
      <c r="C306" s="5" t="inlineStr">
        <is>
          <t>Writer</t>
        </is>
      </c>
      <c r="D306" s="20" t="n"/>
      <c r="E306" s="20" t="n"/>
      <c r="F306" s="5" t="n"/>
      <c r="G306" s="5" t="inlineStr">
        <is>
          <t>Hindi cinema</t>
        </is>
      </c>
      <c r="H306" s="5" t="inlineStr">
        <is>
          <t>A writer credited on one film in this filmography, with no Wikipedia article of their own.</t>
        </is>
      </c>
      <c r="I306" s="5" t="n"/>
      <c r="J306" s="5" t="inlineStr">
        <is>
          <t>With Khan: Jawan (2023).</t>
        </is>
      </c>
      <c r="K306" s="19" t="n"/>
      <c r="L306" s="19" t="n"/>
      <c r="M306" s="5" t="n"/>
      <c r="N306" s="19" t="n"/>
      <c r="O306" s="19" t="inlineStr">
        <is>
          <t>One film with Khan, credited as writer: Jawan (2023), directed by Atlee, with Khan in the lead as Azad Rathore.</t>
        </is>
      </c>
      <c r="P306" s="17" t="n">
        <v>1</v>
      </c>
      <c r="Q306" s="5" t="inlineStr">
        <is>
          <t>FILM-095</t>
        </is>
      </c>
      <c r="R306" s="5" t="inlineStr">
        <is>
          <t>Jawan (2023)</t>
        </is>
      </c>
      <c r="S306" s="5" t="inlineStr">
        <is>
          <t>S. Ramanagirivasan is credited as writer on Jawan (2023). No Wikipedia article or other independent biography was located; this row is built from the film credit alone.</t>
        </is>
      </c>
      <c r="T306" s="5" t="inlineStr">
        <is>
          <t>SOURCE-098</t>
        </is>
      </c>
      <c r="U306" s="5" t="inlineStr">
        <is>
          <t>Low</t>
        </is>
      </c>
    </row>
    <row r="307" ht="64" customHeight="1">
      <c r="A307" s="15" t="inlineStr">
        <is>
          <t>PERSON-306</t>
        </is>
      </c>
      <c r="B307" s="5" t="inlineStr">
        <is>
          <t>Sagar Sarhadi</t>
        </is>
      </c>
      <c r="C307" s="5" t="inlineStr">
        <is>
          <t>Writer</t>
        </is>
      </c>
      <c r="D307" s="17" t="n">
        <v>1933</v>
      </c>
      <c r="E307" s="17" t="n">
        <v>2021</v>
      </c>
      <c r="F307" s="5" t="n"/>
      <c r="G307" s="5" t="inlineStr">
        <is>
          <t>Hindi cinema</t>
        </is>
      </c>
      <c r="H307" s="5" t="inlineStr">
        <is>
          <t>An Urdu short-story writer and playwright born in Baffa, now in Pakistan, who became a scriptwriter, director and producer in Hindi film.</t>
        </is>
      </c>
      <c r="I307" s="5" t="inlineStr">
        <is>
          <t>Kabhi Kabhie (1976), as writer for Yash Chopra.</t>
        </is>
      </c>
      <c r="J307" s="5" t="inlineStr">
        <is>
          <t>With Khan: Deewana (1992). Wider work: Kabhi Kabhie, Noorie, Silsila, Chandni, Kaho Naa... Pyaar Hai; directed Bazaar (1982).</t>
        </is>
      </c>
      <c r="K307" s="19" t="inlineStr">
        <is>
          <t>Romantic melodrama and Urdu poetic dialogue.</t>
        </is>
      </c>
      <c r="L307" s="19" t="n"/>
      <c r="M307" s="5" t="n"/>
      <c r="N307" s="19" t="n"/>
      <c r="O307" s="19" t="inlineStr">
        <is>
          <t>One film: Raj Kanwar's Deewana, which he co-wrote, Khan's first release.</t>
        </is>
      </c>
      <c r="P307" s="17" t="n">
        <v>1</v>
      </c>
      <c r="Q307" s="5" t="inlineStr">
        <is>
          <t>FILM-001</t>
        </is>
      </c>
      <c r="R307" s="5" t="inlineStr">
        <is>
          <t>Deewana (1992)</t>
        </is>
      </c>
      <c r="S307" s="5" t="inlineStr">
        <is>
          <t>Sagar Sarhadi wrote Urdu stories and plays before Yash Chopra brought him into film with Kabhi Kabhie (1976); he went on to write Silsila and Chandni for Chopra and directed Bazaar (1982). He co-wrote Deewana (1992), the romance with Rishi Kapoor, Divya Bharti and Shah Rukh Khan that marked Khan's arrival in cinema. Sarhadi died on 22 March 2021.</t>
        </is>
      </c>
      <c r="T307" s="5" t="inlineStr">
        <is>
          <t>SOURCE-312; SOURCE-004</t>
        </is>
      </c>
      <c r="U307" s="5" t="inlineStr">
        <is>
          <t>Medium</t>
        </is>
      </c>
    </row>
    <row r="308" ht="64" customHeight="1">
      <c r="A308" s="15" t="inlineStr">
        <is>
          <t>PERSON-307</t>
        </is>
      </c>
      <c r="B308" s="5" t="inlineStr">
        <is>
          <t>Sahara Motion Pictures</t>
        </is>
      </c>
      <c r="C308" s="5" t="inlineStr">
        <is>
          <t>Production banner</t>
        </is>
      </c>
      <c r="D308" s="20" t="n"/>
      <c r="E308" s="20" t="n"/>
      <c r="F308" s="5" t="n"/>
      <c r="G308" s="5" t="inlineStr">
        <is>
          <t>Hindi cinema</t>
        </is>
      </c>
      <c r="H308" s="5" t="inlineStr">
        <is>
          <t>A production banner credited on one film in this filmography, with no Wikipedia article of its own.</t>
        </is>
      </c>
      <c r="I308" s="5" t="n"/>
      <c r="J308" s="5" t="inlineStr">
        <is>
          <t>With Khan: Love Breakups Zindagi (2011).</t>
        </is>
      </c>
      <c r="K308" s="19" t="n"/>
      <c r="L308" s="19" t="n"/>
      <c r="M308" s="5" t="n"/>
      <c r="N308" s="19" t="n"/>
      <c r="O308" s="19" t="inlineStr">
        <is>
          <t>One film with Khan, credited as production banner: Love Breakups Zindagi (2011), directed by Sahil Sangha, with Khan in a self appearance.</t>
        </is>
      </c>
      <c r="P308" s="17" t="n">
        <v>1</v>
      </c>
      <c r="Q308" s="5" t="inlineStr">
        <is>
          <t>FILM-074</t>
        </is>
      </c>
      <c r="R308" s="5" t="inlineStr">
        <is>
          <t>Love Breakups Zindagi (2011)</t>
        </is>
      </c>
      <c r="S308" s="5" t="inlineStr">
        <is>
          <t>Sahara Motion Pictures is credited as production banner on Love Breakups Zindagi (2011). No Wikipedia article or other independent biography was located for the company; this row is built from the film credit alone.</t>
        </is>
      </c>
      <c r="T308" s="5" t="inlineStr">
        <is>
          <t>SOURCE-077</t>
        </is>
      </c>
      <c r="U308" s="5" t="inlineStr">
        <is>
          <t>Low</t>
        </is>
      </c>
    </row>
    <row r="309" ht="49" customHeight="1">
      <c r="A309" s="15" t="inlineStr">
        <is>
          <t>PERSON-308</t>
        </is>
      </c>
      <c r="B309" s="5" t="inlineStr">
        <is>
          <t>Sahil Sangha</t>
        </is>
      </c>
      <c r="C309" s="5" t="inlineStr">
        <is>
          <t>Director; Writer</t>
        </is>
      </c>
      <c r="D309" s="20" t="n"/>
      <c r="E309" s="20" t="n"/>
      <c r="F309" s="5" t="n"/>
      <c r="G309" s="5" t="inlineStr">
        <is>
          <t>Hindi cinema</t>
        </is>
      </c>
      <c r="H309" s="5" t="inlineStr">
        <is>
          <t>A director and writer credited on one film in this filmography, with no Wikipedia article of their own.</t>
        </is>
      </c>
      <c r="I309" s="5" t="n"/>
      <c r="J309" s="5" t="inlineStr">
        <is>
          <t>With Khan: Love Breakups Zindagi (2011).</t>
        </is>
      </c>
      <c r="K309" s="19" t="n"/>
      <c r="L309" s="19" t="n"/>
      <c r="M309" s="5" t="n"/>
      <c r="N309" s="19" t="n"/>
      <c r="O309" s="19" t="inlineStr">
        <is>
          <t>One film with Khan, credited as director and writer: Love Breakups Zindagi (2011), with Khan in a self appearance.</t>
        </is>
      </c>
      <c r="P309" s="17" t="n">
        <v>1</v>
      </c>
      <c r="Q309" s="5" t="inlineStr">
        <is>
          <t>FILM-074</t>
        </is>
      </c>
      <c r="R309" s="5" t="inlineStr">
        <is>
          <t>Love Breakups Zindagi (2011)</t>
        </is>
      </c>
      <c r="S309" s="5" t="inlineStr">
        <is>
          <t>Sahil Sangha is credited as director and writer on Love Breakups Zindagi (2011). No Wikipedia article or other independent biography was located; this row is built from the film credit alone.</t>
        </is>
      </c>
      <c r="T309" s="5" t="inlineStr">
        <is>
          <t>SOURCE-077</t>
        </is>
      </c>
      <c r="U309" s="5" t="inlineStr">
        <is>
          <t>Low</t>
        </is>
      </c>
    </row>
    <row r="310" ht="49" customHeight="1">
      <c r="A310" s="15" t="inlineStr">
        <is>
          <t>PERSON-309</t>
        </is>
      </c>
      <c r="B310" s="5" t="inlineStr">
        <is>
          <t>Sai Kabir</t>
        </is>
      </c>
      <c r="C310" s="5" t="inlineStr">
        <is>
          <t>Writer</t>
        </is>
      </c>
      <c r="D310" s="20" t="n"/>
      <c r="E310" s="20" t="n"/>
      <c r="F310" s="5" t="n"/>
      <c r="G310" s="5" t="inlineStr">
        <is>
          <t>Hindi cinema</t>
        </is>
      </c>
      <c r="H310" s="5" t="inlineStr">
        <is>
          <t>A writer credited on one film in this filmography, with no Wikipedia article of their own.</t>
        </is>
      </c>
      <c r="I310" s="5" t="n"/>
      <c r="J310" s="5" t="inlineStr">
        <is>
          <t>With Khan: Kismat Konnection (2008).</t>
        </is>
      </c>
      <c r="K310" s="19" t="n"/>
      <c r="L310" s="19" t="n"/>
      <c r="M310" s="5" t="n"/>
      <c r="N310" s="19" t="n"/>
      <c r="O310" s="19" t="inlineStr">
        <is>
          <t>One film with Khan, credited as writer: Kismat Konnection (2008), directed by Aziz Mirza, with Khan in the narration.</t>
        </is>
      </c>
      <c r="P310" s="17" t="n">
        <v>1</v>
      </c>
      <c r="Q310" s="5" t="inlineStr">
        <is>
          <t>FILM-066</t>
        </is>
      </c>
      <c r="R310" s="5" t="inlineStr">
        <is>
          <t>Kismat Konnection (2008)</t>
        </is>
      </c>
      <c r="S310" s="5" t="inlineStr">
        <is>
          <t>Sai Kabir is credited as writer on Kismat Konnection (2008). No Wikipedia article or other independent biography was located; this row is built from the film credit alone.</t>
        </is>
      </c>
      <c r="T310" s="5" t="inlineStr">
        <is>
          <t>SOURCE-069</t>
        </is>
      </c>
      <c r="U310" s="5" t="inlineStr">
        <is>
          <t>Low</t>
        </is>
      </c>
    </row>
    <row r="311" ht="79" customHeight="1">
      <c r="A311" s="15" t="inlineStr">
        <is>
          <t>PERSON-310</t>
        </is>
      </c>
      <c r="B311" s="5" t="inlineStr">
        <is>
          <t>Sajid Khan</t>
        </is>
      </c>
      <c r="C311" s="5" t="inlineStr">
        <is>
          <t>Director; Writer</t>
        </is>
      </c>
      <c r="D311" s="17" t="n">
        <v>1970</v>
      </c>
      <c r="E311" s="20" t="n"/>
      <c r="F311" s="5" t="n"/>
      <c r="G311" s="5" t="inlineStr">
        <is>
          <t>Hindi cinema</t>
        </is>
      </c>
      <c r="H311" s="5" t="inlineStr">
        <is>
          <t>A Mumbai-born director, television presenter, comedian and actor, son of the stunt director Kamran Khan and brother of Farah Khan.</t>
        </is>
      </c>
      <c r="I311" s="5" t="inlineStr">
        <is>
          <t>Darna Zaroori Hai (2006, segment); first feature Heyy Babyy (2007).</t>
        </is>
      </c>
      <c r="J311" s="5" t="inlineStr">
        <is>
          <t>With Khan: Heyy Babyy (2007). Wider work: Housefull and Housefull 2, Himmatwala (2013), Humshakals.</t>
        </is>
      </c>
      <c r="K311" s="19" t="inlineStr">
        <is>
          <t>Broad slapstick comedy.</t>
        </is>
      </c>
      <c r="L311" s="19" t="n"/>
      <c r="M311" s="5" t="n"/>
      <c r="N311" s="19" t="n"/>
      <c r="O311" s="19" t="inlineStr">
        <is>
          <t>Wrote and directed Heyy Babyy, a super hit, in which Khan makes a cameo; he is the brother of Farah Khan, one of Khan's closest collaborators.</t>
        </is>
      </c>
      <c r="P311" s="17" t="n">
        <v>1</v>
      </c>
      <c r="Q311" s="5" t="inlineStr">
        <is>
          <t>FILM-061</t>
        </is>
      </c>
      <c r="R311" s="5" t="inlineStr">
        <is>
          <t>Heyy Babyy (2007)</t>
        </is>
      </c>
      <c r="S311" s="5" t="inlineStr">
        <is>
          <t>Sajid Khan presented television comedy before directing Heyy Babyy (2007), a remake of Three Men and a Baby with Akshay Kumar, Riteish Deshmukh and Fardeen Khan, in which Shah Rukh Khan appears in a cameo; it was a super hit. He followed it with Housefull and Housefull 2 and the less successful Himmatwala and Humshakals, and appeared on Bigg Boss 16. He is the brother of Farah Khan, the choreographer and director of Main Hoon Na and Om Shanti Om.</t>
        </is>
      </c>
      <c r="T311" s="5" t="inlineStr">
        <is>
          <t>SOURCE-342; SOURCE-064</t>
        </is>
      </c>
      <c r="U311" s="5" t="inlineStr">
        <is>
          <t>Medium</t>
        </is>
      </c>
    </row>
    <row r="312" ht="64" customHeight="1">
      <c r="A312" s="15" t="inlineStr">
        <is>
          <t>PERSON-311</t>
        </is>
      </c>
      <c r="B312" s="5" t="inlineStr">
        <is>
          <t>Saket Chaudhary</t>
        </is>
      </c>
      <c r="C312" s="5" t="inlineStr">
        <is>
          <t>Writer</t>
        </is>
      </c>
      <c r="D312" s="20" t="n"/>
      <c r="E312" s="20" t="n"/>
      <c r="F312" s="5" t="n"/>
      <c r="G312" s="5" t="inlineStr">
        <is>
          <t>Hindi cinema</t>
        </is>
      </c>
      <c r="H312" s="5" t="inlineStr">
        <is>
          <t>An Indian screenwriter and director who studied media at Pune University, wrote television and assisted Aziz Mirza on Phir Bhi Dil Hai Hindustani.</t>
        </is>
      </c>
      <c r="I312" s="5" t="inlineStr">
        <is>
          <t>Co-writer of Aśoka (2001); directorial debut Pyaar Ke Side Effects (2006).</t>
        </is>
      </c>
      <c r="J312" s="5" t="inlineStr">
        <is>
          <t>With Khan: Aśoka (2001). Wider work: Pyaar Ke Side Effects, Shaadi Ke Side Effects, Hindi Medium.</t>
        </is>
      </c>
      <c r="K312" s="19" t="inlineStr">
        <is>
          <t>Urban relationship comedy.</t>
        </is>
      </c>
      <c r="L312" s="19" t="n"/>
      <c r="M312" s="5" t="n"/>
      <c r="N312" s="19" t="n"/>
      <c r="O312" s="19" t="inlineStr">
        <is>
          <t>Co-wrote Santosh Sivan's Aśoka, on which Sivan invited him to help after they met on Phir Bhi Dil Hai Hindustani; Khan plays the emperor.</t>
        </is>
      </c>
      <c r="P312" s="17" t="n">
        <v>1</v>
      </c>
      <c r="Q312" s="5" t="inlineStr">
        <is>
          <t>FILM-040</t>
        </is>
      </c>
      <c r="R312" s="5" t="inlineStr">
        <is>
          <t>Aśoka (2001)</t>
        </is>
      </c>
      <c r="S312" s="5" t="inlineStr">
        <is>
          <t>Saket Chaudhary assisted Aziz Mirza on Phir Bhi Dil Hai Hindustani (2000), the first production of Shah Rukh Khan's Dreamz Unlimited, where Santosh Sivan, its cinematographer, asked him to help write Aśoka (2001), Sivan's film about the young Mauryan prince starring Khan. Chaudhary later directed Pyaar Ke Side Effects, its sequel, and the sleeper hit Hindi Medium (2017) with Irrfan Khan.</t>
        </is>
      </c>
      <c r="T312" s="5" t="inlineStr">
        <is>
          <t>SOURCE-313; SOURCE-043</t>
        </is>
      </c>
      <c r="U312" s="5" t="inlineStr">
        <is>
          <t>Medium</t>
        </is>
      </c>
    </row>
    <row r="313" ht="79" customHeight="1">
      <c r="A313" s="15" t="inlineStr">
        <is>
          <t>PERSON-312</t>
        </is>
      </c>
      <c r="B313" s="5" t="inlineStr">
        <is>
          <t>Salim Khan</t>
        </is>
      </c>
      <c r="C313" s="5" t="inlineStr">
        <is>
          <t>Writer (original story)</t>
        </is>
      </c>
      <c r="D313" s="17" t="n">
        <v>1935</v>
      </c>
      <c r="E313" s="20" t="n"/>
      <c r="F313" s="5" t="n"/>
      <c r="G313" s="5" t="inlineStr">
        <is>
          <t>Hindi cinema</t>
        </is>
      </c>
      <c r="H313" s="5" t="inlineStr">
        <is>
          <t>A screenwriter, actor and producer, one half of Salim–Javed with Javed Akhtar, who created the 'angry young man' and the 1970s masala blockbuster; father of Salman Khan.</t>
        </is>
      </c>
      <c r="I313" s="5" t="inlineStr">
        <is>
          <t>As actor from the late 1950s; as writer with Javed Akhtar from Andaz (1971) and Haathi Mere Saathi.</t>
        </is>
      </c>
      <c r="J313" s="5" t="inlineStr">
        <is>
          <t>With Khan: Don: The Chase Begins Again (2006), credited for the original. Wider work: Seeta Aur Geeta, Zanjeer, Deewaar, Sholay, Trishul, Don (1978).</t>
        </is>
      </c>
      <c r="K313" s="19" t="inlineStr">
        <is>
          <t>Masala action, revenge and the urban outsider hero.</t>
        </is>
      </c>
      <c r="L313" s="19" t="n"/>
      <c r="M313" s="5" t="n"/>
      <c r="N313" s="19" t="inlineStr">
        <is>
          <t>Among the most influential screenwriters in Indian film history.</t>
        </is>
      </c>
      <c r="O313" s="19" t="inlineStr">
        <is>
          <t>Credited as writer of the original on Farhan Akhtar's Don, the remake of Salim–Javed's 1978 thriller, with Khan in the title role. It was a hit in India and a blockbuster overseas.</t>
        </is>
      </c>
      <c r="P313" s="17" t="n">
        <v>1</v>
      </c>
      <c r="Q313" s="5" t="inlineStr">
        <is>
          <t>FILM-058</t>
        </is>
      </c>
      <c r="R313" s="5" t="inlineStr">
        <is>
          <t>Don: The Chase Begins Again (2006)</t>
        </is>
      </c>
      <c r="S313" s="5" t="inlineStr">
        <is>
          <t>Salim Khan and Javed Akhtar wrote the most influential Hindi screenplays of the 1970s — Zanjeer, Deewaar, Sholay and Trishul among them — with Salim mainly devising stories and characters. Their Don (1978), starring Amitabh Bachchan, was remade by Akhtar's son Farhan in 2006 with Shah Rukh Khan as the gangster and his lookalike, with a new twist ending; Salim–Javed are credited for the original. Salim Khan is the father of Salman, Arbaaz and Sohail Khan.</t>
        </is>
      </c>
      <c r="T313" s="5" t="inlineStr">
        <is>
          <t>SOURCE-314; SOURCE-061</t>
        </is>
      </c>
      <c r="U313" s="5" t="inlineStr">
        <is>
          <t>Medium</t>
        </is>
      </c>
    </row>
    <row r="314" ht="49" customHeight="1">
      <c r="A314" s="15" t="inlineStr">
        <is>
          <t>PERSON-313</t>
        </is>
      </c>
      <c r="B314" s="5" t="inlineStr">
        <is>
          <t>Salma Khan</t>
        </is>
      </c>
      <c r="C314" s="5" t="inlineStr">
        <is>
          <t>Producer</t>
        </is>
      </c>
      <c r="D314" s="20" t="n"/>
      <c r="E314" s="20" t="n"/>
      <c r="F314" s="5" t="n"/>
      <c r="G314" s="5" t="inlineStr">
        <is>
          <t>Hindi cinema</t>
        </is>
      </c>
      <c r="H314" s="5" t="inlineStr">
        <is>
          <t>A producer credited on one film in this filmography, with no Wikipedia article of their own.</t>
        </is>
      </c>
      <c r="I314" s="5" t="n"/>
      <c r="J314" s="5" t="inlineStr">
        <is>
          <t>With Khan: Tubelight (2017).</t>
        </is>
      </c>
      <c r="K314" s="19" t="n"/>
      <c r="L314" s="19" t="n"/>
      <c r="M314" s="5" t="n"/>
      <c r="N314" s="19" t="n"/>
      <c r="O314" s="19" t="inlineStr">
        <is>
          <t>One film with Khan, credited as producer: Tubelight (2017), directed by Kabir Khan, with Khan in a cameo as Gogo Pasha.</t>
        </is>
      </c>
      <c r="P314" s="17" t="n">
        <v>1</v>
      </c>
      <c r="Q314" s="5" t="inlineStr">
        <is>
          <t>FILM-087</t>
        </is>
      </c>
      <c r="R314" s="5" t="inlineStr">
        <is>
          <t>Tubelight (2017)</t>
        </is>
      </c>
      <c r="S314" s="5" t="inlineStr">
        <is>
          <t>Salma Khan is credited as producer on Tubelight (2017). No Wikipedia article or other independent biography was located; this row is built from the film credit alone.</t>
        </is>
      </c>
      <c r="T314" s="5" t="inlineStr">
        <is>
          <t>SOURCE-090</t>
        </is>
      </c>
      <c r="U314" s="5" t="inlineStr">
        <is>
          <t>Low</t>
        </is>
      </c>
    </row>
    <row r="315" ht="94" customHeight="1">
      <c r="A315" s="15" t="inlineStr">
        <is>
          <t>PERSON-314</t>
        </is>
      </c>
      <c r="B315" s="5" t="inlineStr">
        <is>
          <t>Salman Khan</t>
        </is>
      </c>
      <c r="C315" s="5" t="inlineStr">
        <is>
          <t>Producer; actor</t>
        </is>
      </c>
      <c r="D315" s="17" t="n">
        <v>1965</v>
      </c>
      <c r="E315" s="20" t="n"/>
      <c r="F315" s="5" t="inlineStr">
        <is>
          <t>1988–present</t>
        </is>
      </c>
      <c r="G315" s="5" t="inlineStr">
        <is>
          <t>Hindi cinema</t>
        </is>
      </c>
      <c r="H315" s="5" t="inlineStr">
        <is>
          <t>One of the most commercially successful stars of Hindi cinema, son of the writer Salim Khan, who produces through Salman Khan Films.</t>
        </is>
      </c>
      <c r="I315" s="5" t="inlineStr">
        <is>
          <t>Biwi Ho To Aisi (1988); breakthrough Maine Pyar Kiya (1989), which won him the Filmfare Best Male Debut award.</t>
        </is>
      </c>
      <c r="J315" s="5" t="inlineStr">
        <is>
          <t>With Khan: Tubelight (2017), as producer and star. Wider work: Hum Aapke Hain Koun..!, Wanted, Dabangg, Ek Tha Tiger, Bajrangi Bhaijaan, Sultan.</t>
        </is>
      </c>
      <c r="K315" s="19" t="n"/>
      <c r="L315" s="19" t="n"/>
      <c r="M315" s="5" t="inlineStr">
        <is>
          <t>Two National Film Awards as producer; two Filmfare Awards as actor.</t>
        </is>
      </c>
      <c r="N315" s="19" t="inlineStr">
        <is>
          <t>With Shah Rukh and Aamir Khan, one of the three Khans who defined Hindi stardom from the 1990s.</t>
        </is>
      </c>
      <c r="O315" s="19" t="inlineStr">
        <is>
          <t>Produced and starred in Tubelight, in which Shah Rukh Khan has a cameo. The two have repeatedly made cameos in each other's films and co-starred in Karan Arjun and Hum Tumhare Hain Sanam, recorded elsewhere in this workbook.</t>
        </is>
      </c>
      <c r="P315" s="17" t="n">
        <v>1</v>
      </c>
      <c r="Q315" s="5" t="inlineStr">
        <is>
          <t>FILM-087</t>
        </is>
      </c>
      <c r="R315" s="5" t="inlineStr">
        <is>
          <t>Tubelight (2017)</t>
        </is>
      </c>
      <c r="S315" s="5" t="inlineStr">
        <is>
          <t>Salman Khan broke through with Maine Pyar Kiya (1989) and has remained one of the biggest draws in Hindi cinema, particularly since Wanted (2009), Dabangg and the Tiger films. He and Shah Rukh Khan co-starred as reincarnated brothers in Karan Arjun (1995) and have appeared in each other's films repeatedly since. Tubelight (2017), which Salman produced through Salman Khan Films and starred in, gave Shah Rukh a cameo as a magician; Salman in turn appears as Tiger in Pathaan.</t>
        </is>
      </c>
      <c r="T315" s="5" t="inlineStr">
        <is>
          <t>SOURCE-315; SOURCE-090</t>
        </is>
      </c>
      <c r="U315" s="5" t="inlineStr">
        <is>
          <t>Medium</t>
        </is>
      </c>
    </row>
    <row r="316" ht="64" customHeight="1">
      <c r="A316" s="15" t="inlineStr">
        <is>
          <t>PERSON-315</t>
        </is>
      </c>
      <c r="B316" s="5" t="inlineStr">
        <is>
          <t>Salman Khan Films</t>
        </is>
      </c>
      <c r="C316" s="5" t="inlineStr">
        <is>
          <t>Production banner</t>
        </is>
      </c>
      <c r="D316" s="20" t="n"/>
      <c r="E316" s="20" t="n"/>
      <c r="F316" s="5" t="n"/>
      <c r="G316" s="5" t="inlineStr">
        <is>
          <t>Hindi cinema</t>
        </is>
      </c>
      <c r="H316" s="5" t="inlineStr">
        <is>
          <t>Salman Khan's production company. It has no Wikipedia article of its own; this profile uses the Salman Khan article.</t>
        </is>
      </c>
      <c r="I316" s="5" t="n"/>
      <c r="J316" s="5" t="inlineStr">
        <is>
          <t>With Khan: Tubelight (2017). Wider work: Chillar Party, Bajrangi Bhaijaan, Tubelight.</t>
        </is>
      </c>
      <c r="K316" s="19" t="n"/>
      <c r="L316" s="19" t="n"/>
      <c r="M316" s="5" t="n"/>
      <c r="N316" s="19" t="n"/>
      <c r="O316" s="19" t="inlineStr">
        <is>
          <t>One film: Tubelight, in which Khan has a cameo.</t>
        </is>
      </c>
      <c r="P316" s="17" t="n">
        <v>1</v>
      </c>
      <c r="Q316" s="5" t="inlineStr">
        <is>
          <t>FILM-087</t>
        </is>
      </c>
      <c r="R316" s="5" t="inlineStr">
        <is>
          <t>Tubelight (2017)</t>
        </is>
      </c>
      <c r="S316" s="5" t="inlineStr">
        <is>
          <t>Salman Khan Films is the production company through which Salman Khan has produced films including Chillar Party, which won a National Award, and Bajrangi Bhaijaan. It produced Tubelight (2017), Kabir Khan's fable starring Salman, in which Shah Rukh Khan appears as a magician. The company has no separate documentation, so this row records only the credit.</t>
        </is>
      </c>
      <c r="T316" s="5" t="inlineStr">
        <is>
          <t>SOURCE-315; SOURCE-090</t>
        </is>
      </c>
      <c r="U316" s="5" t="inlineStr">
        <is>
          <t>Low</t>
        </is>
      </c>
    </row>
    <row r="317" ht="49" customHeight="1">
      <c r="A317" s="15" t="inlineStr">
        <is>
          <t>PERSON-316</t>
        </is>
      </c>
      <c r="B317" s="5" t="inlineStr">
        <is>
          <t>Sam Abbas</t>
        </is>
      </c>
      <c r="C317" s="5" t="inlineStr">
        <is>
          <t>Producer</t>
        </is>
      </c>
      <c r="D317" s="20" t="n"/>
      <c r="E317" s="20" t="n"/>
      <c r="F317" s="5" t="n"/>
      <c r="G317" s="5" t="inlineStr">
        <is>
          <t>Hindi cinema</t>
        </is>
      </c>
      <c r="H317" s="5" t="inlineStr">
        <is>
          <t>A producer credited on one film in this filmography, with no Wikipedia article of their own.</t>
        </is>
      </c>
      <c r="I317" s="5" t="n"/>
      <c r="J317" s="5" t="inlineStr">
        <is>
          <t>With Khan: Kismat Konnection (2008).</t>
        </is>
      </c>
      <c r="K317" s="19" t="n"/>
      <c r="L317" s="19" t="n"/>
      <c r="M317" s="5" t="n"/>
      <c r="N317" s="19" t="n"/>
      <c r="O317" s="19" t="inlineStr">
        <is>
          <t>One film with Khan, credited as producer: Kismat Konnection (2008), directed by Aziz Mirza, with Khan in the narration.</t>
        </is>
      </c>
      <c r="P317" s="17" t="n">
        <v>1</v>
      </c>
      <c r="Q317" s="5" t="inlineStr">
        <is>
          <t>FILM-066</t>
        </is>
      </c>
      <c r="R317" s="5" t="inlineStr">
        <is>
          <t>Kismat Konnection (2008)</t>
        </is>
      </c>
      <c r="S317" s="5" t="inlineStr">
        <is>
          <t>Sam Abbas is credited as producer on Kismat Konnection (2008). No Wikipedia article or other independent biography was located; this row is built from the film credit alone.</t>
        </is>
      </c>
      <c r="T317" s="5" t="inlineStr">
        <is>
          <t>SOURCE-069</t>
        </is>
      </c>
      <c r="U317" s="5" t="inlineStr">
        <is>
          <t>Low</t>
        </is>
      </c>
    </row>
    <row r="318" ht="64" customHeight="1">
      <c r="A318" s="15" t="inlineStr">
        <is>
          <t>PERSON-317</t>
        </is>
      </c>
      <c r="B318" s="5" t="inlineStr">
        <is>
          <t>Sam C. S.</t>
        </is>
      </c>
      <c r="C318" s="5" t="inlineStr">
        <is>
          <t>Song composer</t>
        </is>
      </c>
      <c r="D318" s="17" t="n">
        <v>1987</v>
      </c>
      <c r="E318" s="20" t="n"/>
      <c r="F318" s="5" t="inlineStr">
        <is>
          <t>2010–present</t>
        </is>
      </c>
      <c r="G318" s="5" t="inlineStr">
        <is>
          <t>Tamil, Telugu and Malayalam cinema</t>
        </is>
      </c>
      <c r="H318" s="5" t="inlineStr">
        <is>
          <t>A composer, producer, lyricist and singer from Munnar who studied for an MCA and MBA, worked in software and composed jingles before film scoring.</t>
        </is>
      </c>
      <c r="I318" s="5" t="inlineStr">
        <is>
          <t>Orr Eravuu (2010).</t>
        </is>
      </c>
      <c r="J318" s="5" t="inlineStr">
        <is>
          <t>With Khan: Rocketry: The Nambi Effect (2022). Wider work: Vikram Vedha, Kaithi, NOTA, RDX, Pushpa 2 (background score).</t>
        </is>
      </c>
      <c r="K318" s="19" t="inlineStr">
        <is>
          <t>Atmospheric thriller scores.</t>
        </is>
      </c>
      <c r="L318" s="19" t="n"/>
      <c r="M318" s="5" t="n"/>
      <c r="N318" s="19" t="n"/>
      <c r="O318" s="19" t="inlineStr">
        <is>
          <t>One film: Rocketry, for which he composed the songs; Khan appears as himself.</t>
        </is>
      </c>
      <c r="P318" s="17" t="n">
        <v>1</v>
      </c>
      <c r="Q318" s="5" t="inlineStr">
        <is>
          <t>FILM-091</t>
        </is>
      </c>
      <c r="R318" s="5" t="inlineStr">
        <is>
          <t>Rocketry: The Nambi Effect (2022)</t>
        </is>
      </c>
      <c r="S318" s="5" t="inlineStr">
        <is>
          <t>Sam C. S. worked in software and composed advertising jingles before Pushkar–Gayathri hired him for Vikram Vedha (2017), the score that made his name; he has since written music for Kaithi, RDX and part of Pushpa 2. He composed the songs for R. Madhavan's Rocketry: The Nambi Effect (2022), in which Shah Rukh Khan appears as himself.</t>
        </is>
      </c>
      <c r="T318" s="5" t="inlineStr">
        <is>
          <t>SOURCE-316; SOURCE-094</t>
        </is>
      </c>
      <c r="U318" s="5" t="inlineStr">
        <is>
          <t>Medium</t>
        </is>
      </c>
    </row>
    <row r="319" ht="79" customHeight="1">
      <c r="A319" s="15" t="inlineStr">
        <is>
          <t>PERSON-318</t>
        </is>
      </c>
      <c r="B319" s="5" t="inlineStr">
        <is>
          <t>Sanchit Balhara</t>
        </is>
      </c>
      <c r="C319" s="5" t="inlineStr">
        <is>
          <t>Background-score composer (with Ankit Balhara)</t>
        </is>
      </c>
      <c r="D319" s="20" t="n"/>
      <c r="E319" s="20" t="n"/>
      <c r="F319" s="5" t="n"/>
      <c r="G319" s="5" t="inlineStr">
        <is>
          <t>Hindi cinema</t>
        </is>
      </c>
      <c r="H319" s="5" t="inlineStr">
        <is>
          <t>The younger of the Balhara brothers from Sonipat, who studied classical music in London and music production at Point Blank, and made his name as a solo composer on Bajirao Mastani before forming a duo with Ankit in 2018.</t>
        </is>
      </c>
      <c r="I319" s="5" t="inlineStr">
        <is>
          <t>Solo breakthrough with the score of Bajirao Mastani (2015).</t>
        </is>
      </c>
      <c r="J319" s="5" t="inlineStr">
        <is>
          <t>With Khan: Pathaan (2023). Wider work: Bajirao Mastani; with Ankit, Manikarnika.</t>
        </is>
      </c>
      <c r="K319" s="19" t="inlineStr">
        <is>
          <t>Orchestral period and action scores.</t>
        </is>
      </c>
      <c r="L319" s="19" t="n"/>
      <c r="M319" s="5" t="inlineStr">
        <is>
          <t>IIFA, Mirchi, GIMA and Zee Cine awards for Bajirao Mastani.</t>
        </is>
      </c>
      <c r="N319" s="19" t="n"/>
      <c r="O319" s="19" t="inlineStr">
        <is>
          <t>One film: Pathaan, scored with his brother Ankit.</t>
        </is>
      </c>
      <c r="P319" s="17" t="n">
        <v>1</v>
      </c>
      <c r="Q319" s="5" t="inlineStr">
        <is>
          <t>FILM-094</t>
        </is>
      </c>
      <c r="R319" s="5" t="inlineStr">
        <is>
          <t>Pathaan (2023)</t>
        </is>
      </c>
      <c r="S319" s="5" t="inlineStr">
        <is>
          <t>Sanchit Balhara won wide attention for his score for Sanjay Leela Bhansali's Bajirao Mastani (2015), which took IIFA and Zee Cine awards. He has worked with his elder brother Ankit since 2018. Their background score for Pathaan (2023), Shah Rukh Khan's comeback spy thriller, is their only Khan credit.</t>
        </is>
      </c>
      <c r="T319" s="5" t="inlineStr">
        <is>
          <t>SOURCE-219; SOURCE-097</t>
        </is>
      </c>
      <c r="U319" s="5" t="inlineStr">
        <is>
          <t>Medium</t>
        </is>
      </c>
    </row>
    <row r="320" ht="94" customHeight="1">
      <c r="A320" s="15" t="inlineStr">
        <is>
          <t>PERSON-319</t>
        </is>
      </c>
      <c r="B320" s="5" t="inlineStr">
        <is>
          <t>Sandesh Shandilya</t>
        </is>
      </c>
      <c r="C320" s="5" t="inlineStr">
        <is>
          <t>Song composer</t>
        </is>
      </c>
      <c r="D320" s="17" t="n">
        <v>1968</v>
      </c>
      <c r="E320" s="20" t="n"/>
      <c r="F320" s="5" t="inlineStr">
        <is>
          <t>2001–present</t>
        </is>
      </c>
      <c r="G320" s="5" t="inlineStr">
        <is>
          <t>Hindi cinema</t>
        </is>
      </c>
      <c r="H320" s="5" t="inlineStr">
        <is>
          <t>A Hindi-film composer, musician and singer trained by the sarangi master Ustad Sultan Khan, with over 20 film soundtracks.</t>
        </is>
      </c>
      <c r="I320" s="5" t="inlineStr">
        <is>
          <t>Kabhi Khushi Kabhie Gham (2001), alongside Jatin–Lalit and Aadesh Shrivastava.</t>
        </is>
      </c>
      <c r="J320" s="5" t="inlineStr">
        <is>
          <t>With Khan: Kabhi Khushi Kabhie Gham (2001). Wider work: Chameli, Socha Na Tha, Jab We Met; the album Piya Basanti.</t>
        </is>
      </c>
      <c r="K320" s="19" t="inlineStr">
        <is>
          <t>Melodic romantic songs with classical inflection.</t>
        </is>
      </c>
      <c r="L320" s="19" t="n"/>
      <c r="M320" s="5" t="inlineStr">
        <is>
          <t>MTV Video Music Awards International Viewers' Choice for Piya Basanti (2001).</t>
        </is>
      </c>
      <c r="N320" s="19" t="n"/>
      <c r="O320" s="19" t="inlineStr">
        <is>
          <t>Composed four songs for Karan Johar's family epic Kabhi Khushi Kabhie Gham, including 'Suraj Hua Maddham' and 'You Are My Soniya'; Khan plays the adopted elder son. The film was a blockbuster and its soundtrack sold 2.5 million units in a month.</t>
        </is>
      </c>
      <c r="P320" s="17" t="n">
        <v>1</v>
      </c>
      <c r="Q320" s="5" t="inlineStr">
        <is>
          <t>FILM-041</t>
        </is>
      </c>
      <c r="R320" s="5" t="inlineStr">
        <is>
          <t>Kabhi Khushi Kabhie Gham (2001)</t>
        </is>
      </c>
      <c r="S320" s="5" t="inlineStr">
        <is>
          <t>Sandesh Shandilya trained under Ustad Sultan Khan and had a hit with the album Piya Basanti before making his film debut on Kabhi Khushi Kabhie Gham (2001), where he shared composing duties with Jatin–Lalit and Aadesh Shrivastava. His four songs, including 'Suraj Hua Maddham', a duet picturised on Shah Rukh Khan and Kajol at the pyramids, became chartbusters on a soundtrack that sold 2.5 million units in its first month. He later scored Chameli, Socha Na Tha and Jab We Met.</t>
        </is>
      </c>
      <c r="T320" s="5" t="inlineStr">
        <is>
          <t>SOURCE-317; SOURCE-044</t>
        </is>
      </c>
      <c r="U320" s="5" t="inlineStr">
        <is>
          <t>Medium</t>
        </is>
      </c>
    </row>
    <row r="321" ht="64" customHeight="1">
      <c r="A321" s="15" t="inlineStr">
        <is>
          <t>PERSON-320</t>
        </is>
      </c>
      <c r="B321" s="5" t="inlineStr">
        <is>
          <t>Sandhya Gokhale</t>
        </is>
      </c>
      <c r="C321" s="5" t="inlineStr">
        <is>
          <t>Writer</t>
        </is>
      </c>
      <c r="D321" s="20" t="n"/>
      <c r="E321" s="20" t="n"/>
      <c r="F321" s="5" t="n"/>
      <c r="G321" s="5" t="inlineStr">
        <is>
          <t>Hindi cinema</t>
        </is>
      </c>
      <c r="H321" s="5" t="inlineStr">
        <is>
          <t>A writer credited on one film in this filmography, with no Wikipedia article of their own.</t>
        </is>
      </c>
      <c r="I321" s="5" t="n"/>
      <c r="J321" s="5" t="inlineStr">
        <is>
          <t>With Khan: Paheli (2005).</t>
        </is>
      </c>
      <c r="K321" s="19" t="n"/>
      <c r="L321" s="19" t="n"/>
      <c r="M321" s="5" t="n"/>
      <c r="N321" s="19" t="n"/>
      <c r="O321" s="19" t="inlineStr">
        <is>
          <t>One film with Khan, credited as writer: Paheli (2005), directed by Amol Palekar, with Khan in the lead as Kishanlal; verdict: Average in India; hit overseas.</t>
        </is>
      </c>
      <c r="P321" s="17" t="n">
        <v>1</v>
      </c>
      <c r="Q321" s="5" t="inlineStr">
        <is>
          <t>FILM-055</t>
        </is>
      </c>
      <c r="R321" s="5" t="inlineStr">
        <is>
          <t>Paheli (2005)</t>
        </is>
      </c>
      <c r="S321" s="5" t="inlineStr">
        <is>
          <t>Sandhya Gokhale is credited as writer on Paheli (2005). No Wikipedia article or other independent biography was located; this row is built from the film credit alone.</t>
        </is>
      </c>
      <c r="T321" s="5" t="inlineStr">
        <is>
          <t>SOURCE-058</t>
        </is>
      </c>
      <c r="U321" s="5" t="inlineStr">
        <is>
          <t>Low</t>
        </is>
      </c>
    </row>
    <row r="322" ht="184" customHeight="1">
      <c r="A322" s="15" t="inlineStr">
        <is>
          <t>PERSON-321</t>
        </is>
      </c>
      <c r="B322" s="5" t="inlineStr">
        <is>
          <t>Sanjay Leela Bhansali</t>
        </is>
      </c>
      <c r="C322" s="5" t="inlineStr">
        <is>
          <t>Director; screenwriter; producer; composer</t>
        </is>
      </c>
      <c r="D322" s="17" t="n">
        <v>1963</v>
      </c>
      <c r="E322" s="20" t="n"/>
      <c r="F322" s="5" t="inlineStr">
        <is>
          <t>1996–present</t>
        </is>
      </c>
      <c r="G322" s="5" t="inlineStr">
        <is>
          <t>Hindi</t>
        </is>
      </c>
      <c r="H322" s="5" t="inlineStr">
        <is>
          <t>Founded Bhansali Productions and later debuted as a music composer with Guzaarish.</t>
        </is>
      </c>
      <c r="I322" s="5" t="inlineStr">
        <is>
          <t>Khamoshi: The Musical (1996).</t>
        </is>
      </c>
      <c r="J322" s="5" t="inlineStr">
        <is>
          <t>Khamoshi: The Musical (1996); Hum Dil De Chuke Sanam (1999); Devdas (2002); Black (2005); Saawariya (2007); Guzaarish (2010); Goliyon Ki Raasleela Ram-Leela (2013); Bajirao Mastani (2015); Padmaavat (2018)</t>
        </is>
      </c>
      <c r="K322" s="19" t="inlineStr">
        <is>
          <t>Tragic romance and period drama.</t>
        </is>
      </c>
      <c r="L322" s="19" t="inlineStr">
        <is>
          <t>Opulent aesthetics and a strong musical vision.</t>
        </is>
      </c>
      <c r="M322" s="5" t="inlineStr">
        <is>
          <t>7 National Film Awards; 13 Filmfare Awards; Padma Shri (2015); BAFTA nomination for Devdas (Best Film Not in the English Language)</t>
        </is>
      </c>
      <c r="N322" s="19" t="inlineStr">
        <is>
          <t>One of Hindi cinema's foremost stylists; Devdas was the highest-grossing Indian film of 2002 and India's Academy Award submission.</t>
        </is>
      </c>
      <c r="O322" s="19" t="inlineStr">
        <is>
          <t>Directed Khan as the self-destructive lover in Devdas, which won Khan the Filmfare Award for Best Actor.</t>
        </is>
      </c>
      <c r="P322" s="17" t="n">
        <v>1</v>
      </c>
      <c r="Q322" s="5" t="inlineStr">
        <is>
          <t>FILM-043</t>
        </is>
      </c>
      <c r="R322" s="5" t="inlineStr">
        <is>
          <t>Devdas (2002)</t>
        </is>
      </c>
      <c r="S322" s="5" t="inlineStr">
        <is>
          <t>Sanjay Leela Bhansali, born on 24 February 1963, is a filmmaker and composer known for his aesthetics and musical vision, particularly in period dramas. His honours include seven National Film Awards, thirteen Filmfare Awards, a BAFTA nomination and the Padma Shri (2015). After his debut, Khamoshi: The Musical (1996), he achieved critical and commercial success with the romantic dramas Hum Dil De Chuke Sanam (1999) and Devdas (2002). He won the National Film Award for Best Hindi Film for Black (2005); after the failures of Saawariya and Guzaarish he returned with Goliyon Ki Raasleela Ram-Leela (2013), Bajirao Mastani (2015) and Padmaavat (2018). Devdas, his version of Sarat Chandra Chattopadhyay's novel, cast Shah Rukh Khan as the London-educated heir who abandons his childhood love Paro (Aishwarya Rai), turns to drink, finds refuge with the courtesan Chandramukhi (Madhuri Dixit) and dies at Paro's gates. Built on sets costing ₹200 million and premiered at Cannes, it was the highest-grossing Indian film of the year and India's Academy Award submission. It won the National Film Award for Best Popular Film and swept the major Filmfare awards, including Best Actor for Khan, although Indian reviews of the lead performances were divided.</t>
        </is>
      </c>
      <c r="T322" s="5" t="inlineStr">
        <is>
          <t>SOURCE-158; SOURCE-046</t>
        </is>
      </c>
      <c r="U322" s="5" t="inlineStr">
        <is>
          <t>Medium</t>
        </is>
      </c>
    </row>
    <row r="323" ht="49" customHeight="1">
      <c r="A323" s="15" t="inlineStr">
        <is>
          <t>PERSON-322</t>
        </is>
      </c>
      <c r="B323" s="5" t="inlineStr">
        <is>
          <t>Sanjay Masoom</t>
        </is>
      </c>
      <c r="C323" s="5" t="inlineStr">
        <is>
          <t>Writer</t>
        </is>
      </c>
      <c r="D323" s="20" t="n"/>
      <c r="E323" s="20" t="n"/>
      <c r="F323" s="5" t="n"/>
      <c r="G323" s="5" t="inlineStr">
        <is>
          <t>Hindi cinema</t>
        </is>
      </c>
      <c r="H323" s="5" t="inlineStr">
        <is>
          <t>A writer credited on one film in this filmography, with no Wikipedia article of their own.</t>
        </is>
      </c>
      <c r="I323" s="5" t="n"/>
      <c r="J323" s="5" t="inlineStr">
        <is>
          <t>With Khan: Alag (2006).</t>
        </is>
      </c>
      <c r="K323" s="19" t="n"/>
      <c r="L323" s="19" t="n"/>
      <c r="M323" s="5" t="n"/>
      <c r="N323" s="19" t="n"/>
      <c r="O323" s="19" t="inlineStr">
        <is>
          <t>One film with Khan, credited as writer: Alag (2006), directed by Ashu Trikha, with Khan in a self appearance.</t>
        </is>
      </c>
      <c r="P323" s="17" t="n">
        <v>1</v>
      </c>
      <c r="Q323" s="5" t="inlineStr">
        <is>
          <t>FILM-056</t>
        </is>
      </c>
      <c r="R323" s="5" t="inlineStr">
        <is>
          <t>Alag (2006)</t>
        </is>
      </c>
      <c r="S323" s="5" t="inlineStr">
        <is>
          <t>Sanjay Masoom is credited as writer on Alag (2006). No Wikipedia article or other independent biography was located; this row is built from the film credit alone.</t>
        </is>
      </c>
      <c r="T323" s="5" t="inlineStr">
        <is>
          <t>SOURCE-059</t>
        </is>
      </c>
      <c r="U323" s="5" t="inlineStr">
        <is>
          <t>Low</t>
        </is>
      </c>
    </row>
    <row r="324" ht="64" customHeight="1">
      <c r="A324" s="15" t="inlineStr">
        <is>
          <t>PERSON-323</t>
        </is>
      </c>
      <c r="B324" s="5" t="inlineStr">
        <is>
          <t>Sanjeev Kohli</t>
        </is>
      </c>
      <c r="C324" s="5" t="inlineStr">
        <is>
          <t>Song composer</t>
        </is>
      </c>
      <c r="D324" s="20" t="n"/>
      <c r="E324" s="20" t="n"/>
      <c r="F324" s="5" t="n"/>
      <c r="G324" s="5" t="inlineStr">
        <is>
          <t>Hindi cinema</t>
        </is>
      </c>
      <c r="H324" s="5" t="inlineStr">
        <is>
          <t>A song composer credited on one film in this filmography, with no Wikipedia article of their own.</t>
        </is>
      </c>
      <c r="I324" s="5" t="n"/>
      <c r="J324" s="5" t="inlineStr">
        <is>
          <t>With Khan: Veer-Zaara (2004).</t>
        </is>
      </c>
      <c r="K324" s="19" t="n"/>
      <c r="L324" s="19" t="n"/>
      <c r="M324" s="5" t="n"/>
      <c r="N324" s="19" t="n"/>
      <c r="O324" s="19" t="inlineStr">
        <is>
          <t>One film with Khan, credited as song composer: Veer-Zaara (2004), directed by Yash Chopra, with Khan in the lead as Veer Pratap Singh; verdict: Commercial success.</t>
        </is>
      </c>
      <c r="P324" s="17" t="n">
        <v>1</v>
      </c>
      <c r="Q324" s="5" t="inlineStr">
        <is>
          <t>FILM-050</t>
        </is>
      </c>
      <c r="R324" s="5" t="inlineStr">
        <is>
          <t>Veer-Zaara (2004)</t>
        </is>
      </c>
      <c r="S324" s="5" t="inlineStr">
        <is>
          <t>Sanjeev Kohli is credited as song composer on Veer-Zaara (2004). No Wikipedia article or other independent biography was located; this row is built from the film credit alone.</t>
        </is>
      </c>
      <c r="T324" s="5" t="inlineStr">
        <is>
          <t>SOURCE-053</t>
        </is>
      </c>
      <c r="U324" s="5" t="inlineStr">
        <is>
          <t>Low</t>
        </is>
      </c>
    </row>
    <row r="325" ht="169" customHeight="1">
      <c r="A325" s="15" t="inlineStr">
        <is>
          <t>PERSON-324</t>
        </is>
      </c>
      <c r="B325" s="5" t="inlineStr">
        <is>
          <t>Santosh Sivan</t>
        </is>
      </c>
      <c r="C325" s="5" t="inlineStr">
        <is>
          <t>Director; cinematographer; screenwriter</t>
        </is>
      </c>
      <c r="D325" s="17" t="n">
        <v>1964</v>
      </c>
      <c r="E325" s="20" t="n"/>
      <c r="F325" s="5" t="n"/>
      <c r="G325" s="5" t="inlineStr">
        <is>
          <t>Malayalam; Tamil; Hindi</t>
        </is>
      </c>
      <c r="H325" s="5" t="inlineStr">
        <is>
          <t>Graduate of the Film and Television Institute of India; son of the cinematographer Sivan and brother of Sangeeth and Sanjeev Sivan.</t>
        </is>
      </c>
      <c r="I325" s="5" t="n"/>
      <c r="J325" s="5" t="inlineStr">
        <is>
          <t>Halo; Dil Se.. (1998, cinematography); Aśoka (2001)</t>
        </is>
      </c>
      <c r="K325" s="19" t="inlineStr">
        <is>
          <t>Visually lyrical storytelling; Aśoka dramatises the early life of the Mauryan emperor.</t>
        </is>
      </c>
      <c r="L325" s="19" t="inlineStr">
        <is>
          <t>A cinematographer's eye for landscape and light.</t>
        </is>
      </c>
      <c r="M325" s="5" t="inlineStr">
        <is>
          <t>Twelve National Film Awards, including Best Cinematography for Dil Se..; six Filmfare Awards, including Best Cinematography for Dil Se.. and Aśoka; Pierre Angénieux Excellens in Cinematography</t>
        </is>
      </c>
      <c r="N325" s="19" t="inlineStr">
        <is>
          <t>Regarded as one of India's finest cinematographers, with 55 feature films and 50 documentaries.</t>
        </is>
      </c>
      <c r="O325" s="19" t="inlineStr">
        <is>
          <t>Shot Dil Se.. and directed and co-wrote the historical epic Aśoka, which Khan co-produced through Dreamz Unlimited.</t>
        </is>
      </c>
      <c r="P325" s="17" t="n">
        <v>1</v>
      </c>
      <c r="Q325" s="5" t="inlineStr">
        <is>
          <t>FILM-040</t>
        </is>
      </c>
      <c r="R325" s="5" t="inlineStr">
        <is>
          <t>Aśoka (2001)</t>
        </is>
      </c>
      <c r="S325" s="5" t="inlineStr">
        <is>
          <t>Santosh Sivan, born on 8 February 1964, is a cinematographer, director, producer and actor working in Malayalam, Tamil and Hindi cinema. A graduate of the Film and Television Institute of India, he has completed 55 feature films and 50 documentaries and is regarded as one of India's finest cinematographers. His honours include twelve National Film Awards, six Filmfare Awards and the Pierre Angénieux Excellens in Cinematography, and his directorial work Halo won the National Film Award for Best Children's Film. His cinematography for Mani Ratnam's Dil Se.. (1998), starring Shah Rukh Khan, won both the National Film Award and the Filmfare Award. He then directed and co-wrote Aśoka (2001), an epic about the early life of the Mauryan emperor, produced by Khan and Juhi Chawla's Dreamz Unlimited. Khan plays the prince who, travelling in disguise, marries a fugitive princess, becomes a brutal conqueror, and renounces violence after the Kalinga war. The film was acclaimed internationally, with Peter Bradshaw calling it 'a big, brash and deeply enjoyable Bollywood epic', and Sivan won Filmfare and IIFA awards for its cinematography.</t>
        </is>
      </c>
      <c r="T325" s="5" t="inlineStr">
        <is>
          <t>SOURCE-146; SOURCE-043</t>
        </is>
      </c>
      <c r="U325" s="5" t="inlineStr">
        <is>
          <t>Medium</t>
        </is>
      </c>
    </row>
    <row r="326" ht="64" customHeight="1">
      <c r="A326" s="15" t="inlineStr">
        <is>
          <t>PERSON-325</t>
        </is>
      </c>
      <c r="B326" s="5" t="inlineStr">
        <is>
          <t>Sarita Birje Madhavan</t>
        </is>
      </c>
      <c r="C326" s="5" t="inlineStr">
        <is>
          <t>Producer</t>
        </is>
      </c>
      <c r="D326" s="20" t="n"/>
      <c r="E326" s="20" t="n"/>
      <c r="F326" s="5" t="n"/>
      <c r="G326" s="5" t="inlineStr">
        <is>
          <t>Hindi cinema</t>
        </is>
      </c>
      <c r="H326" s="5" t="inlineStr">
        <is>
          <t>A producer credited on one film in this filmography, with no Wikipedia article of their own.</t>
        </is>
      </c>
      <c r="I326" s="5" t="n"/>
      <c r="J326" s="5" t="inlineStr">
        <is>
          <t>With Khan: Rocketry: The Nambi Effect (2022).</t>
        </is>
      </c>
      <c r="K326" s="19" t="n"/>
      <c r="L326" s="19" t="n"/>
      <c r="M326" s="5" t="n"/>
      <c r="N326" s="19" t="n"/>
      <c r="O326" s="19" t="inlineStr">
        <is>
          <t>One film with Khan, credited as producer: Rocketry: The Nambi Effect (2022), directed by R. Madhavan, with Khan in a self appearance.</t>
        </is>
      </c>
      <c r="P326" s="17" t="n">
        <v>1</v>
      </c>
      <c r="Q326" s="5" t="inlineStr">
        <is>
          <t>FILM-091</t>
        </is>
      </c>
      <c r="R326" s="5" t="inlineStr">
        <is>
          <t>Rocketry: The Nambi Effect (2022)</t>
        </is>
      </c>
      <c r="S326" s="5" t="inlineStr">
        <is>
          <t>Sarita Birje Madhavan is credited as producer on Rocketry: The Nambi Effect (2022). No Wikipedia article or other independent biography was located; this row is built from the film credit alone.</t>
        </is>
      </c>
      <c r="T326" s="5" t="inlineStr">
        <is>
          <t>SOURCE-094</t>
        </is>
      </c>
      <c r="U326" s="5" t="inlineStr">
        <is>
          <t>Low</t>
        </is>
      </c>
    </row>
    <row r="327" ht="49" customHeight="1">
      <c r="A327" s="15" t="inlineStr">
        <is>
          <t>PERSON-326</t>
        </is>
      </c>
      <c r="B327" s="5" t="inlineStr">
        <is>
          <t>Satish Panchariya</t>
        </is>
      </c>
      <c r="C327" s="5" t="inlineStr">
        <is>
          <t>Producer</t>
        </is>
      </c>
      <c r="D327" s="20" t="n"/>
      <c r="E327" s="20" t="n"/>
      <c r="F327" s="5" t="n"/>
      <c r="G327" s="5" t="inlineStr">
        <is>
          <t>Hindi cinema</t>
        </is>
      </c>
      <c r="H327" s="5" t="inlineStr">
        <is>
          <t>A producer credited on one film in this filmography, with no Wikipedia article of their own.</t>
        </is>
      </c>
      <c r="I327" s="5" t="n"/>
      <c r="J327" s="5" t="inlineStr">
        <is>
          <t>With Khan: I See You (2006).</t>
        </is>
      </c>
      <c r="K327" s="19" t="n"/>
      <c r="L327" s="19" t="n"/>
      <c r="M327" s="5" t="n"/>
      <c r="N327" s="19" t="n"/>
      <c r="O327" s="19" t="inlineStr">
        <is>
          <t>One film with Khan, credited as producer: I See You (2006), directed by Vivek Agrawal, with Khan in a self appearance.</t>
        </is>
      </c>
      <c r="P327" s="17" t="n">
        <v>1</v>
      </c>
      <c r="Q327" s="5" t="inlineStr">
        <is>
          <t>FILM-059</t>
        </is>
      </c>
      <c r="R327" s="5" t="inlineStr">
        <is>
          <t>I See You (2006)</t>
        </is>
      </c>
      <c r="S327" s="5" t="inlineStr">
        <is>
          <t>Satish Panchariya is credited as producer on I See You (2006). No Wikipedia article or other independent biography was located; this row is built from the film credit alone.</t>
        </is>
      </c>
      <c r="T327" s="5" t="inlineStr">
        <is>
          <t>SOURCE-062</t>
        </is>
      </c>
      <c r="U327" s="5" t="inlineStr">
        <is>
          <t>Low</t>
        </is>
      </c>
    </row>
    <row r="328" ht="79" customHeight="1">
      <c r="A328" s="15" t="inlineStr">
        <is>
          <t>PERSON-327</t>
        </is>
      </c>
      <c r="B328" s="5" t="inlineStr">
        <is>
          <t>Shaad Ali</t>
        </is>
      </c>
      <c r="C328" s="5" t="inlineStr">
        <is>
          <t>Director</t>
        </is>
      </c>
      <c r="D328" s="20" t="n"/>
      <c r="E328" s="20" t="n"/>
      <c r="F328" s="5" t="n"/>
      <c r="G328" s="5" t="inlineStr">
        <is>
          <t>Hindi cinema</t>
        </is>
      </c>
      <c r="H328" s="5" t="inlineStr">
        <is>
          <t>A Hindi-film director and screenwriter, son of the filmmaker Muzaffar Ali and the CPI(M) politician Subhashini Ali, who assisted Mani Ratnam on Dil Se...</t>
        </is>
      </c>
      <c r="I328" s="5" t="inlineStr">
        <is>
          <t>Saathiya (2002), for Yash Raj Films and Madras Talkies.</t>
        </is>
      </c>
      <c r="J328" s="5" t="inlineStr">
        <is>
          <t>With Khan: Saathiya (2002). Wider work: Bunty Aur Babli, Jhoom Barabar Jhoom, Kill Dil, Ok Jaanu, Soorma.</t>
        </is>
      </c>
      <c r="K328" s="19" t="inlineStr">
        <is>
          <t>Youthful romance and caper comedy.</t>
        </is>
      </c>
      <c r="L328" s="19" t="n"/>
      <c r="M328" s="5" t="n"/>
      <c r="N328" s="19" t="n"/>
      <c r="O328" s="19" t="inlineStr">
        <is>
          <t>Directed Saathiya, a remake of Mani Ratnam's Alai Payuthey written by Ratnam, in which Khan has a cameo. He had earlier assisted on Khan's Dil Se...</t>
        </is>
      </c>
      <c r="P328" s="17" t="n">
        <v>1</v>
      </c>
      <c r="Q328" s="5" t="inlineStr">
        <is>
          <t>FILM-045</t>
        </is>
      </c>
      <c r="R328" s="5" t="inlineStr">
        <is>
          <t>Saathiya (2002)</t>
        </is>
      </c>
      <c r="S328" s="5" t="inlineStr">
        <is>
          <t>Shaad Ali grew up in a political and artistic family in Lucknow and Delhi and learned filmmaking as Mani Ratnam's assistant on Dil Se.. (1998), starring Shah Rukh Khan. His debut, Saathiya (2002), remade Ratnam's Alai Payuthey from Ratnam's script with Vivek Oberoi and Rani Mukerji; Khan appears in a cameo as a senior officer, and the film was a commercial success. Ali followed it with Bunty Aur Babli (2005) and several later films for Yash Raj. His birth year is not given reliably and is left blank.</t>
        </is>
      </c>
      <c r="T328" s="5" t="inlineStr">
        <is>
          <t>SOURCE-318; SOURCE-048</t>
        </is>
      </c>
      <c r="U328" s="5" t="inlineStr">
        <is>
          <t>Medium</t>
        </is>
      </c>
    </row>
    <row r="329" ht="79" customHeight="1">
      <c r="A329" s="15" t="inlineStr">
        <is>
          <t>PERSON-328</t>
        </is>
      </c>
      <c r="B329" s="5" t="inlineStr">
        <is>
          <t>Shashilal K. Nair</t>
        </is>
      </c>
      <c r="C329" s="5" t="inlineStr">
        <is>
          <t>Director</t>
        </is>
      </c>
      <c r="D329" s="20" t="n"/>
      <c r="E329" s="20" t="n"/>
      <c r="F329" s="5" t="inlineStr">
        <is>
          <t>1981–2002</t>
        </is>
      </c>
      <c r="G329" s="5" t="inlineStr">
        <is>
          <t>Hindi cinema</t>
        </is>
      </c>
      <c r="H329" s="5" t="inlineStr">
        <is>
          <t>A Hindi-film director and producer who assisted K. Viswanath on Shankarabharanam, Sargam and Kaam Chor.</t>
        </is>
      </c>
      <c r="I329" s="5" t="inlineStr">
        <is>
          <t>Bahu Ki Awaaz (1985), described by the Directorate of Film Festivals as a strong comment on bride burning and dowry.</t>
        </is>
      </c>
      <c r="J329" s="5" t="inlineStr">
        <is>
          <t>With Khan: One 2 Ka 4 (2001). Wider work: Karamdaata, Parivaar, Kroadh, Angaar, Ek Chhotisi Love Story.</t>
        </is>
      </c>
      <c r="K329" s="19" t="inlineStr">
        <is>
          <t>Social melodrama and crime films.</t>
        </is>
      </c>
      <c r="L329" s="19" t="n"/>
      <c r="M329" s="5" t="inlineStr">
        <is>
          <t>National Film Award for Best Special Effects for Angaar.</t>
        </is>
      </c>
      <c r="N329" s="19" t="n"/>
      <c r="O329" s="19" t="inlineStr">
        <is>
          <t>One film: One 2 Ka 4, an action comedy with Khan as a police officer who adopts his dead colleague's children; it was a disaster.</t>
        </is>
      </c>
      <c r="P329" s="17" t="n">
        <v>1</v>
      </c>
      <c r="Q329" s="5" t="inlineStr">
        <is>
          <t>FILM-039</t>
        </is>
      </c>
      <c r="R329" s="5" t="inlineStr">
        <is>
          <t>One 2 Ka 4 (2001)</t>
        </is>
      </c>
      <c r="S329" s="5" t="inlineStr">
        <is>
          <t>Shashilal K. Nair trained under K. Viswanath and debuted with Bahu Ki Awaaz (1985), a film against dowry deaths, then directed eight features including Angaar (1992), for whose miniature work he won the National Award for special effects. He directed One 2 Ka 4 (2001), in which Shah Rukh Khan plays a policeman who takes charge of his murdered partner's four children while pursuing the killers; Juhi Chawla co-starred. The film was a box-office disaster.</t>
        </is>
      </c>
      <c r="T329" s="5" t="inlineStr">
        <is>
          <t>SOURCE-319; SOURCE-042</t>
        </is>
      </c>
      <c r="U329" s="5" t="inlineStr">
        <is>
          <t>Medium</t>
        </is>
      </c>
    </row>
    <row r="330" ht="64" customHeight="1">
      <c r="A330" s="15" t="inlineStr">
        <is>
          <t>PERSON-329</t>
        </is>
      </c>
      <c r="B330" s="5" t="inlineStr">
        <is>
          <t>Shaukat Baig</t>
        </is>
      </c>
      <c r="C330" s="5" t="inlineStr">
        <is>
          <t>Writer</t>
        </is>
      </c>
      <c r="D330" s="20" t="n"/>
      <c r="E330" s="20" t="n"/>
      <c r="F330" s="5" t="n"/>
      <c r="G330" s="5" t="inlineStr">
        <is>
          <t>Hindi cinema; television</t>
        </is>
      </c>
      <c r="H330" s="5" t="inlineStr">
        <is>
          <t>An Indian writer, actor and assistant director who began in theatre and has written more than 50 television serials and over 20 Hindi films.</t>
        </is>
      </c>
      <c r="I330" s="5" t="inlineStr">
        <is>
          <t>Chamatkar (1992), his first film as writer.</t>
        </is>
      </c>
      <c r="J330" s="5" t="inlineStr">
        <is>
          <t>With Khan: Chamatkar (1992). Television: Zaban Sambhal Ke (actor).</t>
        </is>
      </c>
      <c r="K330" s="19" t="inlineStr">
        <is>
          <t>Comedy for film and television.</t>
        </is>
      </c>
      <c r="L330" s="19" t="n"/>
      <c r="M330" s="5" t="n"/>
      <c r="N330" s="19" t="n"/>
      <c r="O330" s="19" t="inlineStr">
        <is>
          <t>One film: Rajiv Mehra's Chamatkar, his first film credit, in which Khan plays a young man helped by the ghost of a gangster (Naseeruddin Shah).</t>
        </is>
      </c>
      <c r="P330" s="17" t="n">
        <v>1</v>
      </c>
      <c r="Q330" s="5" t="inlineStr">
        <is>
          <t>FILM-002</t>
        </is>
      </c>
      <c r="R330" s="5" t="inlineStr">
        <is>
          <t>Chamatkar (1992)</t>
        </is>
      </c>
      <c r="S330" s="5" t="inlineStr">
        <is>
          <t>Shaukat Baig began in theatre as a writer and actor and made his film debut as a writer on Chamatkar (1992), the comedy in which Shah Rukh Khan plays Sunder, a small-town graduate cheated in Bombay who is helped by the ghost of a gangster played by Naseeruddin Shah. Baig has since written for more than 50 television serials and about 20 films and acted in shows such as Zaban Sambhal Ke.</t>
        </is>
      </c>
      <c r="T330" s="5" t="inlineStr">
        <is>
          <t>SOURCE-320; SOURCE-005</t>
        </is>
      </c>
      <c r="U330" s="5" t="inlineStr">
        <is>
          <t>Medium</t>
        </is>
      </c>
    </row>
    <row r="331" ht="64" customHeight="1">
      <c r="A331" s="15" t="inlineStr">
        <is>
          <t>PERSON-330</t>
        </is>
      </c>
      <c r="B331" s="5" t="inlineStr">
        <is>
          <t>Sheena Parikh</t>
        </is>
      </c>
      <c r="C331" s="5" t="inlineStr">
        <is>
          <t>Writer</t>
        </is>
      </c>
      <c r="D331" s="20" t="n"/>
      <c r="E331" s="20" t="n"/>
      <c r="F331" s="5" t="n"/>
      <c r="G331" s="5" t="inlineStr">
        <is>
          <t>Hindi cinema</t>
        </is>
      </c>
      <c r="H331" s="5" t="inlineStr">
        <is>
          <t>A writer credited on one film in this filmography, with no Wikipedia article of their own.</t>
        </is>
      </c>
      <c r="I331" s="5" t="n"/>
      <c r="J331" s="5" t="inlineStr">
        <is>
          <t>With Khan: Kabhi Khushi Kabhie Gham (2001).</t>
        </is>
      </c>
      <c r="K331" s="19" t="n"/>
      <c r="L331" s="19" t="n"/>
      <c r="M331" s="5" t="n"/>
      <c r="N331" s="19" t="n"/>
      <c r="O331" s="19" t="inlineStr">
        <is>
          <t>One film with Khan, credited as writer: Kabhi Khushi Kabhie Gham (2001), directed by Karan Johar, with Khan in a co-lead as Rahul Raichand; verdict: Blockbuster.</t>
        </is>
      </c>
      <c r="P331" s="17" t="n">
        <v>1</v>
      </c>
      <c r="Q331" s="5" t="inlineStr">
        <is>
          <t>FILM-041</t>
        </is>
      </c>
      <c r="R331" s="5" t="inlineStr">
        <is>
          <t>Kabhi Khushi Kabhie Gham (2001)</t>
        </is>
      </c>
      <c r="S331" s="5" t="inlineStr">
        <is>
          <t>Sheena Parikh is credited as writer on Kabhi Khushi Kabhie Gham (2001). No Wikipedia article or other independent biography was located; this row is built from the film credit alone.</t>
        </is>
      </c>
      <c r="T331" s="5" t="inlineStr">
        <is>
          <t>SOURCE-044</t>
        </is>
      </c>
      <c r="U331" s="5" t="inlineStr">
        <is>
          <t>Low</t>
        </is>
      </c>
    </row>
    <row r="332" ht="79" customHeight="1">
      <c r="A332" s="15" t="inlineStr">
        <is>
          <t>PERSON-331</t>
        </is>
      </c>
      <c r="B332" s="5" t="inlineStr">
        <is>
          <t>Shekhar Kapur</t>
        </is>
      </c>
      <c r="C332" s="5" t="inlineStr">
        <is>
          <t>Producer</t>
        </is>
      </c>
      <c r="D332" s="17" t="n">
        <v>1945</v>
      </c>
      <c r="E332" s="20" t="n"/>
      <c r="F332" s="5" t="inlineStr">
        <is>
          <t>1974–present</t>
        </is>
      </c>
      <c r="G332" s="5" t="inlineStr">
        <is>
          <t>Hindi cinema</t>
        </is>
      </c>
      <c r="H332" s="5" t="inlineStr">
        <is>
          <t>A filmmaker from the Anand-Sahni family who began as an actor in the television serial Khandaan and became known internationally for Bandit Queen and Elizabeth.</t>
        </is>
      </c>
      <c r="I332" s="5" t="inlineStr">
        <is>
          <t>Masoom (1983).</t>
        </is>
      </c>
      <c r="J332" s="5" t="inlineStr">
        <is>
          <t>With Khan: Dil Se.. (1998), as producer. Wider work: Masoom, Mr. India, Bandit Queen, Elizabeth, The Four Feathers, Elizabeth: The Golden Age.</t>
        </is>
      </c>
      <c r="K332" s="19" t="inlineStr">
        <is>
          <t>Character-driven drama and historical biography.</t>
        </is>
      </c>
      <c r="L332" s="19" t="n"/>
      <c r="M332" s="5" t="inlineStr">
        <is>
          <t>BAFTA, National Film Award, three Filmfare Awards; Golden Globe nomination.</t>
        </is>
      </c>
      <c r="N332" s="19" t="n"/>
      <c r="O332" s="19" t="inlineStr">
        <is>
          <t>Co-produced Mani Ratnam's Dil Se.., with Khan as a radio journalist; it was average in India and a major success overseas.</t>
        </is>
      </c>
      <c r="P332" s="17" t="n">
        <v>1</v>
      </c>
      <c r="Q332" s="5" t="inlineStr">
        <is>
          <t>FILM-030</t>
        </is>
      </c>
      <c r="R332" s="5" t="inlineStr">
        <is>
          <t>Dil Se.. (1998)</t>
        </is>
      </c>
      <c r="S332" s="5" t="inlineStr">
        <is>
          <t>Shekhar Kapur gave up a career in accountancy, acted in the television serial Khandaan and directed Masoom (1983) and Mr. India (1987) before Bandit Queen (1994) took him to Cannes. Elizabeth (1998) earned seven Academy Award nominations. The same year he was a co-producer of Dil Se.., Mani Ratnam's political romance with Shah Rukh Khan and Manisha Koirala, best known for 'Chaiyya Chaiyya'. Kapur has otherwise not worked with Khan.</t>
        </is>
      </c>
      <c r="T332" s="5" t="inlineStr">
        <is>
          <t>SOURCE-321; SOURCE-033</t>
        </is>
      </c>
      <c r="U332" s="5" t="inlineStr">
        <is>
          <t>Medium</t>
        </is>
      </c>
    </row>
    <row r="333" ht="79" customHeight="1">
      <c r="A333" s="15" t="inlineStr">
        <is>
          <t>PERSON-332</t>
        </is>
      </c>
      <c r="B333" s="5" t="inlineStr">
        <is>
          <t>Shemaroo Entertainment</t>
        </is>
      </c>
      <c r="C333" s="5" t="inlineStr">
        <is>
          <t>Production banner</t>
        </is>
      </c>
      <c r="D333" s="20" t="n"/>
      <c r="E333" s="20" t="n"/>
      <c r="F333" s="5" t="n"/>
      <c r="G333" s="5" t="inlineStr">
        <is>
          <t>Hindi cinema</t>
        </is>
      </c>
      <c r="H333" s="5" t="inlineStr">
        <is>
          <t>A Mumbai content aggregator and distributor founded in 1962 by Buddhichand Maroo as a lending library; it started India's first video-rental business in 1979 and holds rights to over 3,700 films.</t>
        </is>
      </c>
      <c r="I333" s="5" t="n"/>
      <c r="J333" s="5" t="inlineStr">
        <is>
          <t>With Khan: Kuchh Meetha Ho Jaye (2005).</t>
        </is>
      </c>
      <c r="K333" s="19" t="inlineStr">
        <is>
          <t>Home video and film rights.</t>
        </is>
      </c>
      <c r="L333" s="19" t="n"/>
      <c r="M333" s="5" t="n"/>
      <c r="N333" s="19" t="n"/>
      <c r="O333" s="19" t="inlineStr">
        <is>
          <t>One film: Samar Khan's ensemble comedy Kuchh Meetha Ho Jaye, in which Khan appears as himself.</t>
        </is>
      </c>
      <c r="P333" s="17" t="n">
        <v>1</v>
      </c>
      <c r="Q333" s="5" t="inlineStr">
        <is>
          <t>FILM-052</t>
        </is>
      </c>
      <c r="R333" s="5" t="inlineStr">
        <is>
          <t>Kuchh Meetha Ho Jaye (2005)</t>
        </is>
      </c>
      <c r="S333" s="5" t="inlineStr">
        <is>
          <t>Shemaroo began as a circulating library on Warden Road in Mumbai, became the first video-rental business in India in 1979 and moved into VHS distribution in 1987, building one of the country's largest film-rights libraries. It is credited as a production banner on Kuchh Meetha Ho Jaye (2005), an ensemble comedy directed by Samar Khan, in which Shah Rukh Khan makes a self appearance.</t>
        </is>
      </c>
      <c r="T333" s="5" t="inlineStr">
        <is>
          <t>SOURCE-322; SOURCE-055</t>
        </is>
      </c>
      <c r="U333" s="5" t="inlineStr">
        <is>
          <t>Medium</t>
        </is>
      </c>
    </row>
    <row r="334" ht="154" customHeight="1">
      <c r="A334" s="15" t="inlineStr">
        <is>
          <t>PERSON-333</t>
        </is>
      </c>
      <c r="B334" s="5" t="inlineStr">
        <is>
          <t>Shimit Amin</t>
        </is>
      </c>
      <c r="C334" s="5" t="inlineStr">
        <is>
          <t>Director; film editor</t>
        </is>
      </c>
      <c r="D334" s="17" t="n">
        <v>1975</v>
      </c>
      <c r="E334" s="20" t="n"/>
      <c r="F334" s="5" t="inlineStr">
        <is>
          <t>1994–present</t>
        </is>
      </c>
      <c r="G334" s="5" t="inlineStr">
        <is>
          <t>Hindi</t>
        </is>
      </c>
      <c r="H334" s="5" t="inlineStr">
        <is>
          <t>Born in Kampala, raised in Florida; mathematics graduate of the University of Florida who worked on independent films in Miami and California before editing Bhoot (2003) in India.</t>
        </is>
      </c>
      <c r="I334" s="5" t="inlineStr">
        <is>
          <t>Ab Tak Chhappan (2004).</t>
        </is>
      </c>
      <c r="J334" s="5" t="inlineStr">
        <is>
          <t>Bhoot (2003, editor); Ab Tak Chhappan (2004); Chak De! India (2007); Rocket Singh: Salesman of the Year (2009)</t>
        </is>
      </c>
      <c r="K334" s="19" t="inlineStr">
        <is>
          <t>Underdogs and institutions: police, sport and corporate life.</t>
        </is>
      </c>
      <c r="L334" s="19" t="inlineStr">
        <is>
          <t>Restrained, ensemble-driven realism; in Chak De! India the star does not take over the film.</t>
        </is>
      </c>
      <c r="M334" s="5" t="inlineStr">
        <is>
          <t>Chak De! India won the National Film Award for Best Popular Film Providing Wholesome Entertainment and the Filmfare Critics Award for Best Film.</t>
        </is>
      </c>
      <c r="N334" s="19" t="inlineStr">
        <is>
          <t>Chak De! India is ranked among the best Hindi sports films and was named one of India's 25 best films of the 21st century by The Hollywood Reporter India.</t>
        </is>
      </c>
      <c r="O334" s="19" t="inlineStr">
        <is>
          <t>Directed Khan as the disgraced hockey player turned coach Kabir Khan in Chak De! India, which won Khan the Filmfare Award for Best Actor.</t>
        </is>
      </c>
      <c r="P334" s="17" t="n">
        <v>1</v>
      </c>
      <c r="Q334" s="5" t="inlineStr">
        <is>
          <t>FILM-060</t>
        </is>
      </c>
      <c r="R334" s="5" t="inlineStr">
        <is>
          <t>Chak De! India (2007)</t>
        </is>
      </c>
      <c r="S334" s="5" t="inlineStr">
        <is>
          <t>Shimit Amin was born in 1975 in Kampala, Uganda, and grew up in Florida, where he graduated in mathematics from the University of Florida. He helped organise North Florida's first Asian and Asian American film festival in 1991, then worked on industrial and independent projects in Miami and California. He came to Indian cinema as editor of Bhoot (2003) and made his first film as director, the police thriller Ab Tak Chhappan (2004), a box-office success. His next film, Chak De! India (2007), written by Jaideep Sahni and produced by Aditya Chopra for Yash Raj Films, starred Shah Rukh Khan as Kabir Khan, a Muslim former hockey captain branded a traitor after a loss to Pakistan, who redeems himself by coaching the neglected women's national team to a World Cup. It was a critical and commercial success, winning the National Film Award for Best Popular Film and five Filmfare Awards, including Best Actor for Khan. Amin's third film was Rocket Singh: Salesman of the Year (2009) with Ranbir Kapoor.</t>
        </is>
      </c>
      <c r="T334" s="5" t="inlineStr">
        <is>
          <t>SOURCE-171; SOURCE-063</t>
        </is>
      </c>
      <c r="U334" s="5" t="inlineStr">
        <is>
          <t>Medium</t>
        </is>
      </c>
    </row>
    <row r="335" ht="49" customHeight="1">
      <c r="A335" s="15" t="inlineStr">
        <is>
          <t>PERSON-334</t>
        </is>
      </c>
      <c r="B335" s="5" t="inlineStr">
        <is>
          <t>Shiraz Siddique</t>
        </is>
      </c>
      <c r="C335" s="5" t="inlineStr">
        <is>
          <t>Writer</t>
        </is>
      </c>
      <c r="D335" s="20" t="n"/>
      <c r="E335" s="20" t="n"/>
      <c r="F335" s="5" t="n"/>
      <c r="G335" s="5" t="inlineStr">
        <is>
          <t>Hindi cinema</t>
        </is>
      </c>
      <c r="H335" s="5" t="inlineStr">
        <is>
          <t>A writer credited on one film in this filmography, with no Wikipedia article of their own.</t>
        </is>
      </c>
      <c r="I335" s="5" t="n"/>
      <c r="J335" s="5" t="inlineStr">
        <is>
          <t>With Khan: Silsiilay (2005).</t>
        </is>
      </c>
      <c r="K335" s="19" t="n"/>
      <c r="L335" s="19" t="n"/>
      <c r="M335" s="5" t="n"/>
      <c r="N335" s="19" t="n"/>
      <c r="O335" s="19" t="inlineStr">
        <is>
          <t>One film with Khan, credited as writer: Silsiilay (2005), directed by Khalid Mohamed, with Khan in the narration.</t>
        </is>
      </c>
      <c r="P335" s="17" t="n">
        <v>1</v>
      </c>
      <c r="Q335" s="5" t="inlineStr">
        <is>
          <t>FILM-054</t>
        </is>
      </c>
      <c r="R335" s="5" t="inlineStr">
        <is>
          <t>Silsiilay (2005)</t>
        </is>
      </c>
      <c r="S335" s="5" t="inlineStr">
        <is>
          <t>Shiraz Siddique is credited as writer on Silsiilay (2005). No Wikipedia article or other independent biography was located; this row is built from the film credit alone.</t>
        </is>
      </c>
      <c r="T335" s="5" t="inlineStr">
        <is>
          <t>SOURCE-057</t>
        </is>
      </c>
      <c r="U335" s="5" t="inlineStr">
        <is>
          <t>Low</t>
        </is>
      </c>
    </row>
    <row r="336" ht="64" customHeight="1">
      <c r="A336" s="15" t="inlineStr">
        <is>
          <t>PERSON-335</t>
        </is>
      </c>
      <c r="B336" s="5" t="inlineStr">
        <is>
          <t>Shiv-Bharat Films</t>
        </is>
      </c>
      <c r="C336" s="5" t="inlineStr">
        <is>
          <t>Production banner</t>
        </is>
      </c>
      <c r="D336" s="20" t="n"/>
      <c r="E336" s="20" t="n"/>
      <c r="F336" s="5" t="n"/>
      <c r="G336" s="5" t="inlineStr">
        <is>
          <t>Hindi cinema</t>
        </is>
      </c>
      <c r="H336" s="5" t="inlineStr">
        <is>
          <t>A production banner credited on one film in this filmography, with no Wikipedia article of its own.</t>
        </is>
      </c>
      <c r="I336" s="5" t="n"/>
      <c r="J336" s="5" t="inlineStr">
        <is>
          <t>With Khan: Anjaam (1994).</t>
        </is>
      </c>
      <c r="K336" s="19" t="n"/>
      <c r="L336" s="19" t="n"/>
      <c r="M336" s="5" t="n"/>
      <c r="N336" s="19" t="n"/>
      <c r="O336" s="19" t="inlineStr">
        <is>
          <t>One film with Khan, credited as production banner: Anjaam (1994), directed by Rahul Rawail, with Khan in the antagonist as Vijay Agnihotri.</t>
        </is>
      </c>
      <c r="P336" s="17" t="n">
        <v>1</v>
      </c>
      <c r="Q336" s="5" t="inlineStr">
        <is>
          <t>FILM-011</t>
        </is>
      </c>
      <c r="R336" s="5" t="inlineStr">
        <is>
          <t>Anjaam (1994)</t>
        </is>
      </c>
      <c r="S336" s="5" t="inlineStr">
        <is>
          <t>Shiv-Bharat Films is credited as production banner on Anjaam (1994). No Wikipedia article or other independent biography was located for the company; this row is built from the film credit alone.</t>
        </is>
      </c>
      <c r="T336" s="5" t="inlineStr">
        <is>
          <t>SOURCE-014</t>
        </is>
      </c>
      <c r="U336" s="5" t="inlineStr">
        <is>
          <t>Low</t>
        </is>
      </c>
    </row>
    <row r="337" ht="79" customHeight="1">
      <c r="A337" s="15" t="inlineStr">
        <is>
          <t>PERSON-336</t>
        </is>
      </c>
      <c r="B337" s="5" t="inlineStr">
        <is>
          <t>Shiv–Hari</t>
        </is>
      </c>
      <c r="C337" s="5" t="inlineStr">
        <is>
          <t>Song composer (composing duo)</t>
        </is>
      </c>
      <c r="D337" s="20" t="n"/>
      <c r="E337" s="20" t="n"/>
      <c r="F337" s="5" t="inlineStr">
        <is>
          <t>1967–2022</t>
        </is>
      </c>
      <c r="G337" s="5" t="inlineStr">
        <is>
          <t>Hindustani classical music; Hindi cinema</t>
        </is>
      </c>
      <c r="H337" s="5" t="inlineStr">
        <is>
          <t>A composing duo of the santoor player Shivkumar Sharma and the flautist Hariprasad Chaurasia, who worked chiefly for Yash Chopra.</t>
        </is>
      </c>
      <c r="I337" s="5" t="inlineStr">
        <is>
          <t>The album Call of the Valley (1967); film debut Silsila (1981).</t>
        </is>
      </c>
      <c r="J337" s="5" t="inlineStr">
        <is>
          <t>With Khan: Darr (1993). Wider work: Silsila, Faasle, Vijay, Chandni, Lamhe.</t>
        </is>
      </c>
      <c r="K337" s="19" t="inlineStr">
        <is>
          <t>Classical-instrument melody in romantic film.</t>
        </is>
      </c>
      <c r="L337" s="19" t="n"/>
      <c r="M337" s="5" t="n"/>
      <c r="N337" s="19" t="inlineStr">
        <is>
          <t>Call of the Valley is one of the most successful Indian classical albums ever recorded.</t>
        </is>
      </c>
      <c r="O337" s="19" t="inlineStr">
        <is>
          <t>One film: Yash Chopra's Darr, whose songs include 'Jaadu Teri Nazar', sung for Khan's obsessive Rahul; the film was a blockbuster.</t>
        </is>
      </c>
      <c r="P337" s="17" t="n">
        <v>1</v>
      </c>
      <c r="Q337" s="5" t="inlineStr">
        <is>
          <t>FILM-009</t>
        </is>
      </c>
      <c r="R337" s="5" t="inlineStr">
        <is>
          <t>Darr (1993)</t>
        </is>
      </c>
      <c r="S337" s="5" t="inlineStr">
        <is>
          <t>Shivkumar Sharma and Hariprasad Chaurasia, two of the best-known Hindustani instrumentalists, first worked together on the album Call of the Valley (1967) and later scored films for Yash Chopra as Shiv–Hari, from Silsila to Chandni and Lamhe. Darr (1993), their last major score for Chopra, gave Shah Rukh Khan's stalker Rahul the songs 'Jaadu Teri Nazar' and 'Tu Mere Saamne'; the film was a blockbuster. Shivkumar Sharma died on 10 May 2022.</t>
        </is>
      </c>
      <c r="T337" s="5" t="inlineStr">
        <is>
          <t>SOURCE-323; SOURCE-012</t>
        </is>
      </c>
      <c r="U337" s="5" t="inlineStr">
        <is>
          <t>Medium</t>
        </is>
      </c>
    </row>
    <row r="338" ht="64" customHeight="1">
      <c r="A338" s="15" t="inlineStr">
        <is>
          <t>PERSON-337</t>
        </is>
      </c>
      <c r="B338" s="5" t="inlineStr">
        <is>
          <t>Shree D</t>
        </is>
      </c>
      <c r="C338" s="5" t="inlineStr">
        <is>
          <t>Song composer</t>
        </is>
      </c>
      <c r="D338" s="20" t="n"/>
      <c r="E338" s="20" t="n"/>
      <c r="F338" s="5" t="n"/>
      <c r="G338" s="5" t="inlineStr">
        <is>
          <t>Hindi cinema</t>
        </is>
      </c>
      <c r="H338" s="5" t="inlineStr">
        <is>
          <t>A song composer credited on one film in this filmography, with no Wikipedia article of their own.</t>
        </is>
      </c>
      <c r="I338" s="5" t="n"/>
      <c r="J338" s="5" t="inlineStr">
        <is>
          <t>With Khan: Always Kabhi Kabhi (2011).</t>
        </is>
      </c>
      <c r="K338" s="19" t="n"/>
      <c r="L338" s="19" t="n"/>
      <c r="M338" s="5" t="n"/>
      <c r="N338" s="19" t="n"/>
      <c r="O338" s="19" t="inlineStr">
        <is>
          <t>One film with Khan, credited as song composer: Always Kabhi Kabhi (2011), directed by Roshan Abbas, with Khan in a self appearance; verdict: Flop.</t>
        </is>
      </c>
      <c r="P338" s="17" t="n">
        <v>1</v>
      </c>
      <c r="Q338" s="5" t="inlineStr">
        <is>
          <t>FILM-073</t>
        </is>
      </c>
      <c r="R338" s="5" t="inlineStr">
        <is>
          <t>Always Kabhi Kabhi (2011)</t>
        </is>
      </c>
      <c r="S338" s="5" t="inlineStr">
        <is>
          <t>Shree D is credited as song composer on Always Kabhi Kabhi (2011). No Wikipedia article or other independent biography was located; this row is built from the film credit alone.</t>
        </is>
      </c>
      <c r="T338" s="5" t="inlineStr">
        <is>
          <t>SOURCE-076</t>
        </is>
      </c>
      <c r="U338" s="5" t="inlineStr">
        <is>
          <t>Low</t>
        </is>
      </c>
    </row>
    <row r="339" ht="64" customHeight="1">
      <c r="A339" s="15" t="inlineStr">
        <is>
          <t>PERSON-338</t>
        </is>
      </c>
      <c r="B339" s="5" t="inlineStr">
        <is>
          <t>Shreyas Jain</t>
        </is>
      </c>
      <c r="C339" s="5" t="inlineStr">
        <is>
          <t>Writer</t>
        </is>
      </c>
      <c r="D339" s="20" t="n"/>
      <c r="E339" s="20" t="n"/>
      <c r="F339" s="5" t="n"/>
      <c r="G339" s="5" t="inlineStr">
        <is>
          <t>Hindi cinema</t>
        </is>
      </c>
      <c r="H339" s="5" t="inlineStr">
        <is>
          <t>A writer credited on one film in this filmography, with no Wikipedia article of their own.</t>
        </is>
      </c>
      <c r="I339" s="5" t="n"/>
      <c r="J339" s="5" t="inlineStr">
        <is>
          <t>With Khan: Bhoothnath Returns (2014).</t>
        </is>
      </c>
      <c r="K339" s="19" t="n"/>
      <c r="L339" s="19" t="n"/>
      <c r="M339" s="5" t="n"/>
      <c r="N339" s="19" t="n"/>
      <c r="O339" s="19" t="inlineStr">
        <is>
          <t>One film with Khan, credited as writer: Bhoothnath Returns (2014), directed by Nitesh Tiwari, with Khan in a cameo as Aditya "Adi" Sharma; verdict: Profitable.</t>
        </is>
      </c>
      <c r="P339" s="17" t="n">
        <v>1</v>
      </c>
      <c r="Q339" s="5" t="inlineStr">
        <is>
          <t>FILM-080</t>
        </is>
      </c>
      <c r="R339" s="5" t="inlineStr">
        <is>
          <t>Bhoothnath Returns (2014)</t>
        </is>
      </c>
      <c r="S339" s="5" t="inlineStr">
        <is>
          <t>Shreyas Jain is credited as writer on Bhoothnath Returns (2014). No Wikipedia article or other independent biography was located; this row is built from the film credit alone.</t>
        </is>
      </c>
      <c r="T339" s="5" t="inlineStr">
        <is>
          <t>SOURCE-083</t>
        </is>
      </c>
      <c r="U339" s="5" t="inlineStr">
        <is>
          <t>Low</t>
        </is>
      </c>
    </row>
    <row r="340" ht="64" customHeight="1">
      <c r="A340" s="15" t="inlineStr">
        <is>
          <t>PERSON-339</t>
        </is>
      </c>
      <c r="B340" s="5" t="inlineStr">
        <is>
          <t>Shyam Goel</t>
        </is>
      </c>
      <c r="C340" s="5" t="inlineStr">
        <is>
          <t>Writer</t>
        </is>
      </c>
      <c r="D340" s="20" t="n"/>
      <c r="E340" s="20" t="n"/>
      <c r="F340" s="5" t="n"/>
      <c r="G340" s="5" t="inlineStr">
        <is>
          <t>Hindi cinema</t>
        </is>
      </c>
      <c r="H340" s="5" t="inlineStr">
        <is>
          <t>An Indian screenwriter, nominated for Best Story at the 2005 IIFA awards for Aitraaz.</t>
        </is>
      </c>
      <c r="I340" s="5" t="n"/>
      <c r="J340" s="5" t="inlineStr">
        <is>
          <t>With Khan: Baadshah (1999). Wider work: Aitraaz.</t>
        </is>
      </c>
      <c r="K340" s="19" t="inlineStr">
        <is>
          <t>Thrillers for Abbas–Mustan.</t>
        </is>
      </c>
      <c r="L340" s="19" t="n"/>
      <c r="M340" s="5" t="n"/>
      <c r="N340" s="19" t="n"/>
      <c r="O340" s="19" t="inlineStr">
        <is>
          <t>One film: Abbas–Mustan's Baadshah, which he co-wrote; Khan plays a bumbling detective. It was an average grosser.</t>
        </is>
      </c>
      <c r="P340" s="17" t="n">
        <v>1</v>
      </c>
      <c r="Q340" s="5" t="inlineStr">
        <is>
          <t>FILM-032</t>
        </is>
      </c>
      <c r="R340" s="5" t="inlineStr">
        <is>
          <t>Baadshah (1999)</t>
        </is>
      </c>
      <c r="S340" s="5" t="inlineStr">
        <is>
          <t>Shyam Goel is a screenwriter whose Wikipedia entry records only an IIFA Best Story nomination for Aitraaz (2004), Abbas–Mustan's sexual-harassment thriller. He co-wrote the same directors' Baadshah (1999), a comic spy caper in which Shah Rukh Khan plays a small-time detective who gets caught up in a plot to assassinate a chief minister. The film did average business.</t>
        </is>
      </c>
      <c r="T340" s="5" t="inlineStr">
        <is>
          <t>SOURCE-324; SOURCE-035</t>
        </is>
      </c>
      <c r="U340" s="5" t="inlineStr">
        <is>
          <t>Low</t>
        </is>
      </c>
    </row>
    <row r="341" ht="79" customHeight="1">
      <c r="A341" s="15" t="inlineStr">
        <is>
          <t>PERSON-340</t>
        </is>
      </c>
      <c r="B341" s="5" t="inlineStr">
        <is>
          <t>Shyam–Surender</t>
        </is>
      </c>
      <c r="C341" s="5" t="inlineStr">
        <is>
          <t>Background-score composer</t>
        </is>
      </c>
      <c r="D341" s="20" t="n"/>
      <c r="E341" s="20" t="n"/>
      <c r="F341" s="5" t="n"/>
      <c r="G341" s="5" t="inlineStr">
        <is>
          <t>Hindi cinema</t>
        </is>
      </c>
      <c r="H341" s="5" t="inlineStr">
        <is>
          <t>A background-score composer credited on one film in this filmography, with no Wikipedia article of their own.</t>
        </is>
      </c>
      <c r="I341" s="5" t="n"/>
      <c r="J341" s="5" t="inlineStr">
        <is>
          <t>With Khan: Baazigar (1993).</t>
        </is>
      </c>
      <c r="K341" s="19" t="n"/>
      <c r="L341" s="19" t="n"/>
      <c r="M341" s="5" t="n"/>
      <c r="N341" s="19" t="n"/>
      <c r="O341" s="19" t="inlineStr">
        <is>
          <t>One film with Khan, credited as background-score composer: Baazigar (1993), directed by Abbas–Mustan, with Khan in the lead as Ajay Sharma; verdict: Major commercial success.</t>
        </is>
      </c>
      <c r="P341" s="17" t="n">
        <v>1</v>
      </c>
      <c r="Q341" s="5" t="inlineStr">
        <is>
          <t>FILM-008</t>
        </is>
      </c>
      <c r="R341" s="5" t="inlineStr">
        <is>
          <t>Baazigar (1993)</t>
        </is>
      </c>
      <c r="S341" s="5" t="inlineStr">
        <is>
          <t>Shyam–Surender is credited as background-score composer on Baazigar (1993). No Wikipedia article or other independent biography was located; this row is built from the film credit alone.</t>
        </is>
      </c>
      <c r="T341" s="5" t="inlineStr">
        <is>
          <t>SOURCE-011</t>
        </is>
      </c>
      <c r="U341" s="5" t="inlineStr">
        <is>
          <t>Low</t>
        </is>
      </c>
    </row>
    <row r="342" ht="139" customHeight="1">
      <c r="A342" s="15" t="inlineStr">
        <is>
          <t>PERSON-341</t>
        </is>
      </c>
      <c r="B342" s="5" t="inlineStr">
        <is>
          <t>Siddharth Anand</t>
        </is>
      </c>
      <c r="C342" s="5" t="inlineStr">
        <is>
          <t>Director; screenwriter; producer (Marflix Pictures)</t>
        </is>
      </c>
      <c r="D342" s="20" t="n"/>
      <c r="E342" s="20" t="n"/>
      <c r="F342" s="5" t="inlineStr">
        <is>
          <t>2001–present</t>
        </is>
      </c>
      <c r="G342" s="5" t="inlineStr">
        <is>
          <t>Hindi</t>
        </is>
      </c>
      <c r="H342" s="5" t="inlineStr">
        <is>
          <t>Grandson of the screenwriter Inder Raj Anand.</t>
        </is>
      </c>
      <c r="I342" s="5" t="n"/>
      <c r="J342" s="5" t="inlineStr">
        <is>
          <t>Salaam Namaste (2005); Ta Ra Rum Pum (2007); Bachna Ae Haseeno (2008); Anjaana Anjaani (2010); Bang Bang! (2014); War (2019); Pathaan (2023); Fighter (2024)</t>
        </is>
      </c>
      <c r="K342" s="19" t="inlineStr">
        <is>
          <t>Romantic comedy early on, then large-scale action and spy thrillers.</t>
        </is>
      </c>
      <c r="L342" s="19" t="inlineStr">
        <is>
          <t>Glossy, star-driven action spectacle.</t>
        </is>
      </c>
      <c r="M342" s="5" t="n"/>
      <c r="N342" s="19" t="inlineStr">
        <is>
          <t>Pathaan launched the crossover YRF Spy Universe and ranks among the highest-grossing Hindi films.</t>
        </is>
      </c>
      <c r="O342" s="19" t="inlineStr">
        <is>
          <t>Directed Pathaan, which gave Khan his biggest commercial comeback, and is directing and producing King, Khan's next film, with his daughter Suhana Khan.</t>
        </is>
      </c>
      <c r="P342" s="17" t="n">
        <v>1</v>
      </c>
      <c r="Q342" s="5" t="inlineStr">
        <is>
          <t>FILM-094</t>
        </is>
      </c>
      <c r="R342" s="5" t="inlineStr">
        <is>
          <t>Pathaan (2023)</t>
        </is>
      </c>
      <c r="S342" s="5" t="inlineStr">
        <is>
          <t>Siddharth Anand, the grandson of the screenwriter Inder Raj Anand, first gained recognition for romantic comedies such as Salaam Namaste (2005), Ta Ra Rum Pum (2007), Bachna Ae Haseeno (2008) and Anjaana Anjaani (2010), before turning to action with Bang Bang! (2014), War (2019) and Pathaan (2023). In 2021 he launched his production company Marflix Pictures, whose first release was Fighter (2024). Pathaan, produced by Aditya Chopra for Yash Raj Films, cast Shah Rukh Khan as an exiled RAW agent who stops a former colleague's plot to release a virus on India. It established crossovers in the YRF Spy Universe and broke box-office records, becoming the first Hindi film to gross ₹100 crore worldwide on its opening day. Anand's next project is King, which he is directing and producing with Khan, Suhana Khan in her theatrical debut, and Abhishek Bachchan; it is scheduled for release after the research cutoff.</t>
        </is>
      </c>
      <c r="T342" s="5" t="inlineStr">
        <is>
          <t>SOURCE-184; SOURCE-097</t>
        </is>
      </c>
      <c r="U342" s="5" t="inlineStr">
        <is>
          <t>Medium</t>
        </is>
      </c>
    </row>
    <row r="343" ht="79" customHeight="1">
      <c r="A343" s="15" t="inlineStr">
        <is>
          <t>PERSON-342</t>
        </is>
      </c>
      <c r="B343" s="5" t="inlineStr">
        <is>
          <t>Siddharth Roy Kapur</t>
        </is>
      </c>
      <c r="C343" s="5" t="inlineStr">
        <is>
          <t>Producer (UTV / Disney India)</t>
        </is>
      </c>
      <c r="D343" s="17" t="n">
        <v>1974</v>
      </c>
      <c r="E343" s="20" t="n"/>
      <c r="F343" s="5" t="inlineStr">
        <is>
          <t>1997–present</t>
        </is>
      </c>
      <c r="G343" s="5" t="inlineStr">
        <is>
          <t>Hindi cinema</t>
        </is>
      </c>
      <c r="H343" s="5" t="inlineStr">
        <is>
          <t>A Mumbai-born producer, founder of Roy Kapur Films, former managing director of The Walt Disney Company India and president of the Producers Guild of India for six terms (2016–22); an AMPAS member since 2023.</t>
        </is>
      </c>
      <c r="I343" s="5" t="n"/>
      <c r="J343" s="5" t="inlineStr">
        <is>
          <t>With Khan: Chennai Express (2013). Wider work: UTV and Disney India releases including Dangal; Roy Kapur Films productions.</t>
        </is>
      </c>
      <c r="K343" s="19" t="n"/>
      <c r="L343" s="19" t="n"/>
      <c r="M343" s="5" t="n"/>
      <c r="N343" s="19" t="inlineStr">
        <is>
          <t>On Variety's Top 500 list of influential people in global entertainment eight years running.</t>
        </is>
      </c>
      <c r="O343" s="19" t="inlineStr">
        <is>
          <t>One film: Chennai Express, co-produced by UTV during his tenure there; it was one of Khan's biggest hits.</t>
        </is>
      </c>
      <c r="P343" s="17" t="n">
        <v>1</v>
      </c>
      <c r="Q343" s="5" t="inlineStr">
        <is>
          <t>FILM-079</t>
        </is>
      </c>
      <c r="R343" s="5" t="inlineStr">
        <is>
          <t>Chennai Express (2013)</t>
        </is>
      </c>
      <c r="S343" s="5" t="inlineStr">
        <is>
          <t>Siddharth Roy Kapur ran UTV Motion Pictures and then The Walt Disney Company India after Disney acquired UTV, and later founded Roy Kapur Films. He is credited as a producer on Chennai Express (2013), Rohit Shetty's action comedy co-produced by UTV and Red Chillies, which set box-office records for a Hindi film on release. He served six terms as president of the Producers Guild of India and was invited to join the Academy in 2023.</t>
        </is>
      </c>
      <c r="T343" s="5" t="inlineStr">
        <is>
          <t>SOURCE-325; SOURCE-082</t>
        </is>
      </c>
      <c r="U343" s="5" t="inlineStr">
        <is>
          <t>Medium</t>
        </is>
      </c>
    </row>
    <row r="344" ht="64" customHeight="1">
      <c r="A344" s="15" t="inlineStr">
        <is>
          <t>PERSON-343</t>
        </is>
      </c>
      <c r="B344" s="5" t="inlineStr">
        <is>
          <t>Sitanshu Yashaschandra</t>
        </is>
      </c>
      <c r="C344" s="5" t="inlineStr">
        <is>
          <t>Writer (screenplay)</t>
        </is>
      </c>
      <c r="D344" s="17" t="n">
        <v>1941</v>
      </c>
      <c r="E344" s="20" t="n"/>
      <c r="F344" s="5" t="n"/>
      <c r="G344" s="5" t="inlineStr">
        <is>
          <t>Gujarati literature; Hindi cinema</t>
        </is>
      </c>
      <c r="H344" s="5" t="inlineStr">
        <is>
          <t>A Bhuj-born Gujarati poet, playwright, translator and academic, former president of the Gujarati Sahitya Parishad, educated at St. Xavier's College, Mumbai and Indiana University (Fulbright).</t>
        </is>
      </c>
      <c r="I344" s="5" t="n"/>
      <c r="J344" s="5" t="inlineStr">
        <is>
          <t>With Khan: Maya Memsaab (1993). Poetry: Jatayu.</t>
        </is>
      </c>
      <c r="K344" s="19" t="inlineStr">
        <is>
          <t>Modernist Gujarati poetry and drama.</t>
        </is>
      </c>
      <c r="L344" s="19" t="n"/>
      <c r="M344" s="5" t="inlineStr">
        <is>
          <t>Sahitya Akademi Award (1987, for Jatayu); Padma Shri (2006).</t>
        </is>
      </c>
      <c r="N344" s="19" t="n"/>
      <c r="O344" s="19" t="inlineStr">
        <is>
          <t>One film: Ketan Mehta's Maya Memsaab, whose screenplay he co-wrote; Khan has a supporting role.</t>
        </is>
      </c>
      <c r="P344" s="17" t="n">
        <v>1</v>
      </c>
      <c r="Q344" s="5" t="inlineStr">
        <is>
          <t>FILM-006</t>
        </is>
      </c>
      <c r="R344" s="5" t="inlineStr">
        <is>
          <t>Maya Memsaab (1993)</t>
        </is>
      </c>
      <c r="S344" s="5" t="inlineStr">
        <is>
          <t>Sitanshu Yashaschandra is one of the leading modern Gujarati poets, a Sahitya Akademi winner for Jatayu and a Padma Shri recipient, who studied aesthetics and comparative literature in the United States. He co-wrote the screenplay of Maya Memsaab (1993), Ketan Mehta's Madame Bovary adaptation, in which Shah Rukh Khan plays one of the lovers of a doctor's wife.</t>
        </is>
      </c>
      <c r="T344" s="5" t="inlineStr">
        <is>
          <t>SOURCE-326; SOURCE-009</t>
        </is>
      </c>
      <c r="U344" s="5" t="inlineStr">
        <is>
          <t>Medium</t>
        </is>
      </c>
    </row>
    <row r="345" ht="64" customHeight="1">
      <c r="A345" s="15" t="inlineStr">
        <is>
          <t>PERSON-344</t>
        </is>
      </c>
      <c r="B345" s="5" t="inlineStr">
        <is>
          <t>Soham Shah</t>
        </is>
      </c>
      <c r="C345" s="5" t="inlineStr">
        <is>
          <t>Director; Writer</t>
        </is>
      </c>
      <c r="D345" s="20" t="n"/>
      <c r="E345" s="20" t="n"/>
      <c r="F345" s="5" t="n"/>
      <c r="G345" s="5" t="inlineStr">
        <is>
          <t>Hindi cinema</t>
        </is>
      </c>
      <c r="H345" s="5" t="inlineStr">
        <is>
          <t>An Indian film director who worked for Dharma Productions and Karan Johar and later for Kumar Mangat.</t>
        </is>
      </c>
      <c r="I345" s="5" t="inlineStr">
        <is>
          <t>Kaal (2005).</t>
        </is>
      </c>
      <c r="J345" s="5" t="inlineStr">
        <is>
          <t>With Khan: Kaal (2005). Wider work: Luck (2009).</t>
        </is>
      </c>
      <c r="K345" s="19" t="inlineStr">
        <is>
          <t>Thrillers and horror.</t>
        </is>
      </c>
      <c r="L345" s="19" t="n"/>
      <c r="M345" s="5" t="n"/>
      <c r="N345" s="19" t="n"/>
      <c r="O345" s="19" t="inlineStr">
        <is>
          <t>Wrote and directed Kaal, a Dharma–Red Chillies co-production, in which Khan appears as himself in a song. It was an average grosser.</t>
        </is>
      </c>
      <c r="P345" s="17" t="n">
        <v>1</v>
      </c>
      <c r="Q345" s="5" t="inlineStr">
        <is>
          <t>FILM-053</t>
        </is>
      </c>
      <c r="R345" s="5" t="inlineStr">
        <is>
          <t>Kaal (2005)</t>
        </is>
      </c>
      <c r="S345" s="5" t="inlineStr">
        <is>
          <t>Soham Shah worked at Dharma Productions before making his debut with Kaal (2005), a horror film set in Corbett National Park, produced by Karan Johar and Shah Rukh Khan's Red Chillies; Khan appears in the opening song alongside Malaika Arora. Shah later directed Luck (2009) and moved to Kumar Mangat's company.</t>
        </is>
      </c>
      <c r="T345" s="5" t="inlineStr">
        <is>
          <t>SOURCE-327; SOURCE-056</t>
        </is>
      </c>
      <c r="U345" s="5" t="inlineStr">
        <is>
          <t>Medium</t>
        </is>
      </c>
    </row>
    <row r="346" ht="79" customHeight="1">
      <c r="A346" s="15" t="inlineStr">
        <is>
          <t>PERSON-345</t>
        </is>
      </c>
      <c r="B346" s="5" t="inlineStr">
        <is>
          <t>Sreenivasan</t>
        </is>
      </c>
      <c r="C346" s="5" t="inlineStr">
        <is>
          <t>Writer</t>
        </is>
      </c>
      <c r="D346" s="17" t="n">
        <v>1950</v>
      </c>
      <c r="E346" s="17" t="n">
        <v>2025</v>
      </c>
      <c r="F346" s="5" t="inlineStr">
        <is>
          <t>1977–2025</t>
        </is>
      </c>
      <c r="G346" s="5" t="inlineStr">
        <is>
          <t>Malayalam cinema</t>
        </is>
      </c>
      <c r="H346" s="5" t="inlineStr">
        <is>
          <t>A Malayalam actor, screenwriter, director and producer who appeared in more than 225 films and wrote many of the best-known Malayalam comedies of the 1980s and 1990s, often for Priyadarshan and Sathyan Anthikad.</t>
        </is>
      </c>
      <c r="I346" s="5" t="n"/>
      <c r="J346" s="5" t="inlineStr">
        <is>
          <t>With Khan: Billu (2009), credited for the original story. Wider work: Nadodikkattu, Varavelpu, Sandesam, Midhunam, Vadakkunokkiyanthram, Chinthavishtayaya Shyamala, Katha Parayumpol, Njan Prakashan.</t>
        </is>
      </c>
      <c r="K346" s="19" t="inlineStr">
        <is>
          <t>Satire of middle-class Kerala life.</t>
        </is>
      </c>
      <c r="L346" s="19" t="n"/>
      <c r="M346" s="5" t="inlineStr">
        <is>
          <t>A National Film Award; two Kerala State awards for Best Screenplay.</t>
        </is>
      </c>
      <c r="N346" s="19" t="n"/>
      <c r="O346" s="19" t="inlineStr">
        <is>
          <t>Wrote Katha Parayumpol, the Malayalam film that Priyadarshan remade as Billu; Khan plays the superstar whose childhood friend is a village barber. Sreenivasan is credited as writer of the Hindi version.</t>
        </is>
      </c>
      <c r="P346" s="17" t="n">
        <v>1</v>
      </c>
      <c r="Q346" s="5" t="inlineStr">
        <is>
          <t>FILM-069</t>
        </is>
      </c>
      <c r="R346" s="5" t="inlineStr">
        <is>
          <t>Billu (2009)</t>
        </is>
      </c>
      <c r="S346" s="5" t="inlineStr">
        <is>
          <t>Sreenivasan was one of Malayalam cinema's most loved writer-actors, the author of the satires Sandesam and Nadodikkattu and the director of Vadakkunokkiyanthram. His 2007 film Katha Parayumpol, about a poor barber whose childhood friend has become a film star, was remade by Priyadarshan as Billu (2009), with Irrfan Khan as the barber and Shah Rukh Khan as the star; Red Chillies co-produced it. Sreenivasan died on 20 December 2025.</t>
        </is>
      </c>
      <c r="T346" s="5" t="inlineStr">
        <is>
          <t>SOURCE-328; SOURCE-072</t>
        </is>
      </c>
      <c r="U346" s="5" t="inlineStr">
        <is>
          <t>Medium</t>
        </is>
      </c>
    </row>
    <row r="347" ht="79" customHeight="1">
      <c r="A347" s="15" t="inlineStr">
        <is>
          <t>PERSON-346</t>
        </is>
      </c>
      <c r="B347" s="5" t="inlineStr">
        <is>
          <t>Sridevi Kapoor</t>
        </is>
      </c>
      <c r="C347" s="5" t="inlineStr">
        <is>
          <t>Producer; actress</t>
        </is>
      </c>
      <c r="D347" s="17" t="n">
        <v>1963</v>
      </c>
      <c r="E347" s="17" t="n">
        <v>2018</v>
      </c>
      <c r="F347" s="5" t="inlineStr">
        <is>
          <t>1967–2018</t>
        </is>
      </c>
      <c r="G347" s="5" t="inlineStr">
        <is>
          <t>Hindi, Tamil and Telugu cinema</t>
        </is>
      </c>
      <c r="H347" s="5" t="inlineStr">
        <is>
          <t>An actress across Telugu, Tamil, Hindi, Malayalam and Kannada cinema, often called the first female superstar of Indian cinema, married to the producer Boney Kapoor.</t>
        </is>
      </c>
      <c r="I347" s="5" t="inlineStr">
        <is>
          <t>Child role in Kandhan Karunai (1967).</t>
        </is>
      </c>
      <c r="J347" s="5" t="inlineStr">
        <is>
          <t>With Khan: Shakti: The Power (2002), as producer. As actress: Moondram Pirai/Sadma, Mr. India, ChaalBaaz, Chandni, Lamhe, English Vinglish, Mom.</t>
        </is>
      </c>
      <c r="K347" s="19" t="n"/>
      <c r="L347" s="19" t="n"/>
      <c r="M347" s="5" t="inlineStr">
        <is>
          <t>A National Film Award; seven Filmfare Awards; Padma Shri (2013).</t>
        </is>
      </c>
      <c r="N347" s="19" t="inlineStr">
        <is>
          <t>The leading female star of Hindi cinema in the late 1980s.</t>
        </is>
      </c>
      <c r="O347" s="19" t="inlineStr">
        <is>
          <t>Co-produced Shakti: The Power with Boney Kapoor; Khan has a supporting role. It flopped.</t>
        </is>
      </c>
      <c r="P347" s="17" t="n">
        <v>1</v>
      </c>
      <c r="Q347" s="5" t="inlineStr">
        <is>
          <t>FILM-044</t>
        </is>
      </c>
      <c r="R347" s="5" t="inlineStr">
        <is>
          <t>Shakti: The Power (2002)</t>
        </is>
      </c>
      <c r="S347" s="5" t="inlineStr">
        <is>
          <t>Sridevi began acting at four in Tamil cinema and became the biggest female star in Hindi films in the late 1980s with Mr. India, ChaalBaaz, Chandni and Lamhe. While on a break from acting after marrying Boney Kapoor she was credited as a producer on Shakti: The Power (2002), Krishna Vamsi's remake of Antahpuram, with Shah Rukh Khan in a supporting role. She returned to acting with English Vinglish (2012) and died on 24 February 2018.</t>
        </is>
      </c>
      <c r="T347" s="5" t="inlineStr">
        <is>
          <t>SOURCE-329; SOURCE-047</t>
        </is>
      </c>
      <c r="U347" s="5" t="inlineStr">
        <is>
          <t>Medium</t>
        </is>
      </c>
    </row>
    <row r="348" ht="64" customHeight="1">
      <c r="A348" s="15" t="inlineStr">
        <is>
          <t>PERSON-347</t>
        </is>
      </c>
      <c r="B348" s="5" t="inlineStr">
        <is>
          <t>Sridevi Productions</t>
        </is>
      </c>
      <c r="C348" s="5" t="inlineStr">
        <is>
          <t>Production banner</t>
        </is>
      </c>
      <c r="D348" s="20" t="n"/>
      <c r="E348" s="20" t="n"/>
      <c r="F348" s="5" t="n"/>
      <c r="G348" s="5" t="inlineStr">
        <is>
          <t>Hindi cinema</t>
        </is>
      </c>
      <c r="H348" s="5" t="inlineStr">
        <is>
          <t>A production banner credited on one film in this filmography, with no Wikipedia article of its own.</t>
        </is>
      </c>
      <c r="I348" s="5" t="n"/>
      <c r="J348" s="5" t="inlineStr">
        <is>
          <t>With Khan: Shakti: The Power (2002).</t>
        </is>
      </c>
      <c r="K348" s="19" t="n"/>
      <c r="L348" s="19" t="n"/>
      <c r="M348" s="5" t="n"/>
      <c r="N348" s="19" t="n"/>
      <c r="O348" s="19" t="inlineStr">
        <is>
          <t>One film with Khan, credited as production banner: Shakti: The Power (2002), directed by Krishna Vamsi, with Khan in a supporting role as Jai Singh; verdict: Flop.</t>
        </is>
      </c>
      <c r="P348" s="17" t="n">
        <v>1</v>
      </c>
      <c r="Q348" s="5" t="inlineStr">
        <is>
          <t>FILM-044</t>
        </is>
      </c>
      <c r="R348" s="5" t="inlineStr">
        <is>
          <t>Shakti: The Power (2002)</t>
        </is>
      </c>
      <c r="S348" s="5" t="inlineStr">
        <is>
          <t>Sridevi Productions is credited as production banner on Shakti: The Power (2002). No Wikipedia article or other independent biography was located for the company; this row is built from the film credit alone.</t>
        </is>
      </c>
      <c r="T348" s="5" t="inlineStr">
        <is>
          <t>SOURCE-047</t>
        </is>
      </c>
      <c r="U348" s="5" t="inlineStr">
        <is>
          <t>Low</t>
        </is>
      </c>
    </row>
    <row r="349" ht="79" customHeight="1">
      <c r="A349" s="15" t="inlineStr">
        <is>
          <t>PERSON-348</t>
        </is>
      </c>
      <c r="B349" s="5" t="inlineStr">
        <is>
          <t>Starlight Pictures</t>
        </is>
      </c>
      <c r="C349" s="5" t="inlineStr">
        <is>
          <t>Production banner</t>
        </is>
      </c>
      <c r="D349" s="20" t="n"/>
      <c r="E349" s="20" t="n"/>
      <c r="F349" s="5" t="n"/>
      <c r="G349" s="5" t="inlineStr">
        <is>
          <t>Hindi cinema</t>
        </is>
      </c>
      <c r="H349" s="5" t="inlineStr">
        <is>
          <t>A production banner credited on one film in this filmography, with no Wikipedia article of its own.</t>
        </is>
      </c>
      <c r="I349" s="5" t="n"/>
      <c r="J349" s="5" t="inlineStr">
        <is>
          <t>With Khan: Brahmāstra: Part One – Shiva (2022).</t>
        </is>
      </c>
      <c r="K349" s="19" t="n"/>
      <c r="L349" s="19" t="n"/>
      <c r="M349" s="5" t="n"/>
      <c r="N349" s="19" t="n"/>
      <c r="O349" s="19" t="inlineStr">
        <is>
          <t>One film with Khan, credited as production banner: Brahmāstra: Part One – Shiva (2022), directed by Ayan Mukerji, with Khan in an extended special appearance as Mohan Bhargav; verdict: Hit (Box Office India).</t>
        </is>
      </c>
      <c r="P349" s="17" t="n">
        <v>1</v>
      </c>
      <c r="Q349" s="5" t="inlineStr">
        <is>
          <t>FILM-093</t>
        </is>
      </c>
      <c r="R349" s="5" t="inlineStr">
        <is>
          <t>Brahmāstra: Part One – Shiva (2022)</t>
        </is>
      </c>
      <c r="S349" s="5" t="inlineStr">
        <is>
          <t>Starlight Pictures is credited as production banner on Brahmāstra: Part One – Shiva (2022). No Wikipedia article or other independent biography was located for the company; this row is built from the film credit alone.</t>
        </is>
      </c>
      <c r="T349" s="5" t="inlineStr">
        <is>
          <t>SOURCE-096</t>
        </is>
      </c>
      <c r="U349" s="5" t="inlineStr">
        <is>
          <t>Low</t>
        </is>
      </c>
    </row>
    <row r="350" ht="49" customHeight="1">
      <c r="A350" s="15" t="inlineStr">
        <is>
          <t>PERSON-349</t>
        </is>
      </c>
      <c r="B350" s="5" t="inlineStr">
        <is>
          <t>Subi Samuel</t>
        </is>
      </c>
      <c r="C350" s="5" t="inlineStr">
        <is>
          <t>Producer</t>
        </is>
      </c>
      <c r="D350" s="20" t="n"/>
      <c r="E350" s="20" t="n"/>
      <c r="F350" s="5" t="n"/>
      <c r="G350" s="5" t="inlineStr">
        <is>
          <t>Hindi cinema</t>
        </is>
      </c>
      <c r="H350" s="5" t="inlineStr">
        <is>
          <t>A producer credited on one film in this filmography, with no Wikipedia article of their own.</t>
        </is>
      </c>
      <c r="I350" s="5" t="n"/>
      <c r="J350" s="5" t="inlineStr">
        <is>
          <t>With Khan: Alag (2006).</t>
        </is>
      </c>
      <c r="K350" s="19" t="n"/>
      <c r="L350" s="19" t="n"/>
      <c r="M350" s="5" t="n"/>
      <c r="N350" s="19" t="n"/>
      <c r="O350" s="19" t="inlineStr">
        <is>
          <t>One film with Khan, credited as producer: Alag (2006), directed by Ashu Trikha, with Khan in a self appearance.</t>
        </is>
      </c>
      <c r="P350" s="17" t="n">
        <v>1</v>
      </c>
      <c r="Q350" s="5" t="inlineStr">
        <is>
          <t>FILM-056</t>
        </is>
      </c>
      <c r="R350" s="5" t="inlineStr">
        <is>
          <t>Alag (2006)</t>
        </is>
      </c>
      <c r="S350" s="5" t="inlineStr">
        <is>
          <t>Subi Samuel is credited as producer on Alag (2006). No Wikipedia article or other independent biography was located; this row is built from the film credit alone.</t>
        </is>
      </c>
      <c r="T350" s="5" t="inlineStr">
        <is>
          <t>SOURCE-059</t>
        </is>
      </c>
      <c r="U350" s="5" t="inlineStr">
        <is>
          <t>Low</t>
        </is>
      </c>
    </row>
    <row r="351" ht="49" customHeight="1">
      <c r="A351" s="15" t="inlineStr">
        <is>
          <t>PERSON-350</t>
        </is>
      </c>
      <c r="B351" s="5" t="inlineStr">
        <is>
          <t>Subi Samuel Movies</t>
        </is>
      </c>
      <c r="C351" s="5" t="inlineStr">
        <is>
          <t>Production banner</t>
        </is>
      </c>
      <c r="D351" s="20" t="n"/>
      <c r="E351" s="20" t="n"/>
      <c r="F351" s="5" t="n"/>
      <c r="G351" s="5" t="inlineStr">
        <is>
          <t>Hindi cinema</t>
        </is>
      </c>
      <c r="H351" s="5" t="inlineStr">
        <is>
          <t>A production banner credited on one film in this filmography, with no Wikipedia article of its own.</t>
        </is>
      </c>
      <c r="I351" s="5" t="n"/>
      <c r="J351" s="5" t="inlineStr">
        <is>
          <t>With Khan: Alag (2006).</t>
        </is>
      </c>
      <c r="K351" s="19" t="n"/>
      <c r="L351" s="19" t="n"/>
      <c r="M351" s="5" t="n"/>
      <c r="N351" s="19" t="n"/>
      <c r="O351" s="19" t="inlineStr">
        <is>
          <t>One film with Khan, credited as production banner: Alag (2006), directed by Ashu Trikha, with Khan in a self appearance.</t>
        </is>
      </c>
      <c r="P351" s="17" t="n">
        <v>1</v>
      </c>
      <c r="Q351" s="5" t="inlineStr">
        <is>
          <t>FILM-056</t>
        </is>
      </c>
      <c r="R351" s="5" t="inlineStr">
        <is>
          <t>Alag (2006)</t>
        </is>
      </c>
      <c r="S351" s="5" t="inlineStr">
        <is>
          <t>Subi Samuel Movies is credited as production banner on Alag (2006). No Wikipedia article or other independent biography was located for the company; this row is built from the film credit alone.</t>
        </is>
      </c>
      <c r="T351" s="5" t="inlineStr">
        <is>
          <t>SOURCE-059</t>
        </is>
      </c>
      <c r="U351" s="5" t="inlineStr">
        <is>
          <t>Low</t>
        </is>
      </c>
    </row>
    <row r="352" ht="64" customHeight="1">
      <c r="A352" s="15" t="inlineStr">
        <is>
          <t>PERSON-351</t>
        </is>
      </c>
      <c r="B352" s="5" t="inlineStr">
        <is>
          <t>Sudhanshu Dube</t>
        </is>
      </c>
      <c r="C352" s="5" t="inlineStr">
        <is>
          <t>Writer</t>
        </is>
      </c>
      <c r="D352" s="20" t="n"/>
      <c r="E352" s="20" t="n"/>
      <c r="F352" s="5" t="n"/>
      <c r="G352" s="5" t="inlineStr">
        <is>
          <t>Hindi cinema</t>
        </is>
      </c>
      <c r="H352" s="5" t="inlineStr">
        <is>
          <t>A writer credited on one film in this filmography, with no Wikipedia article of their own.</t>
        </is>
      </c>
      <c r="I352" s="5" t="n"/>
      <c r="J352" s="5" t="inlineStr">
        <is>
          <t>With Khan: Bhoothnath (2008).</t>
        </is>
      </c>
      <c r="K352" s="19" t="n"/>
      <c r="L352" s="19" t="n"/>
      <c r="M352" s="5" t="n"/>
      <c r="N352" s="19" t="n"/>
      <c r="O352" s="19" t="inlineStr">
        <is>
          <t>One film with Khan, credited as writer: Bhoothnath (2008), directed by Vivek Sharma, with Khan in an extended special appearance as Aditya "Adi" Sharma; verdict: Semi-hit.</t>
        </is>
      </c>
      <c r="P352" s="17" t="n">
        <v>1</v>
      </c>
      <c r="Q352" s="5" t="inlineStr">
        <is>
          <t>FILM-065</t>
        </is>
      </c>
      <c r="R352" s="5" t="inlineStr">
        <is>
          <t>Bhoothnath (2008)</t>
        </is>
      </c>
      <c r="S352" s="5" t="inlineStr">
        <is>
          <t>Sudhanshu Dube is credited as writer on Bhoothnath (2008). No Wikipedia article or other independent biography was located; this row is built from the film credit alone.</t>
        </is>
      </c>
      <c r="T352" s="5" t="inlineStr">
        <is>
          <t>SOURCE-068</t>
        </is>
      </c>
      <c r="U352" s="5" t="inlineStr">
        <is>
          <t>Low</t>
        </is>
      </c>
    </row>
    <row r="353" ht="49" customHeight="1">
      <c r="A353" s="15" t="inlineStr">
        <is>
          <t>PERSON-352</t>
        </is>
      </c>
      <c r="B353" s="5" t="inlineStr">
        <is>
          <t>Suraj Sanim</t>
        </is>
      </c>
      <c r="C353" s="5" t="inlineStr">
        <is>
          <t>Writer</t>
        </is>
      </c>
      <c r="D353" s="20" t="n"/>
      <c r="E353" s="20" t="n"/>
      <c r="F353" s="5" t="n"/>
      <c r="G353" s="5" t="inlineStr">
        <is>
          <t>Hindi and Punjabi cinema</t>
        </is>
      </c>
      <c r="H353" s="5" t="inlineStr">
        <is>
          <t>An Indian screenwriter of Hindi and Punjabi films.</t>
        </is>
      </c>
      <c r="I353" s="5" t="n"/>
      <c r="J353" s="5" t="inlineStr">
        <is>
          <t>With Khan: Dil Aashna Hai (1992). Wider work: Shaheed-E-Mohabbat Boota Singh, Sukhmani: Hope for Life.</t>
        </is>
      </c>
      <c r="K353" s="19" t="n"/>
      <c r="L353" s="19" t="n"/>
      <c r="M353" s="5" t="n"/>
      <c r="N353" s="19" t="n"/>
      <c r="O353" s="19" t="inlineStr">
        <is>
          <t>One film: Hema Malini's Dil Aashna Hai, which he co-wrote; Khan plays a co-lead.</t>
        </is>
      </c>
      <c r="P353" s="17" t="n">
        <v>1</v>
      </c>
      <c r="Q353" s="5" t="inlineStr">
        <is>
          <t>FILM-004</t>
        </is>
      </c>
      <c r="R353" s="5" t="inlineStr">
        <is>
          <t>Dil Aashna Hai (1992)</t>
        </is>
      </c>
      <c r="S353" s="5" t="inlineStr">
        <is>
          <t>Suraj Sanim writes screenplays, dialogue and stories for Hindi and Punjabi cinema; his Punjabi work includes Shaheed-E-Mohabbat Boota Singh (1999). He co-wrote Dil Aashna Hai (1992), Hema Malini's first film as director, one of Shah Rukh Khan's first films. His Wikipedia entry is very short.</t>
        </is>
      </c>
      <c r="T353" s="5" t="inlineStr">
        <is>
          <t>SOURCE-330; SOURCE-007</t>
        </is>
      </c>
      <c r="U353" s="5" t="inlineStr">
        <is>
          <t>Low</t>
        </is>
      </c>
    </row>
    <row r="354" ht="49" customHeight="1">
      <c r="A354" s="15" t="inlineStr">
        <is>
          <t>PERSON-353</t>
        </is>
      </c>
      <c r="B354" s="5" t="inlineStr">
        <is>
          <t>Suresh Nair</t>
        </is>
      </c>
      <c r="C354" s="5" t="inlineStr">
        <is>
          <t>Writer</t>
        </is>
      </c>
      <c r="D354" s="20" t="n"/>
      <c r="E354" s="20" t="n"/>
      <c r="F354" s="5" t="n"/>
      <c r="G354" s="5" t="inlineStr">
        <is>
          <t>Hindi cinema</t>
        </is>
      </c>
      <c r="H354" s="5" t="inlineStr">
        <is>
          <t>A writer credited on one film in this filmography, with no Wikipedia article of their own.</t>
        </is>
      </c>
      <c r="I354" s="5" t="n"/>
      <c r="J354" s="5" t="inlineStr">
        <is>
          <t>With Khan: I See You (2006).</t>
        </is>
      </c>
      <c r="K354" s="19" t="n"/>
      <c r="L354" s="19" t="n"/>
      <c r="M354" s="5" t="n"/>
      <c r="N354" s="19" t="n"/>
      <c r="O354" s="19" t="inlineStr">
        <is>
          <t>One film with Khan, credited as writer: I See You (2006), directed by Vivek Agrawal, with Khan in a self appearance.</t>
        </is>
      </c>
      <c r="P354" s="17" t="n">
        <v>1</v>
      </c>
      <c r="Q354" s="5" t="inlineStr">
        <is>
          <t>FILM-059</t>
        </is>
      </c>
      <c r="R354" s="5" t="inlineStr">
        <is>
          <t>I See You (2006)</t>
        </is>
      </c>
      <c r="S354" s="5" t="inlineStr">
        <is>
          <t>Suresh Nair is credited as writer on I See You (2006). No Wikipedia article or other independent biography was located; this row is built from the film credit alone.</t>
        </is>
      </c>
      <c r="T354" s="5" t="inlineStr">
        <is>
          <t>SOURCE-062</t>
        </is>
      </c>
      <c r="U354" s="5" t="inlineStr">
        <is>
          <t>Low</t>
        </is>
      </c>
    </row>
    <row r="355" ht="49" customHeight="1">
      <c r="A355" s="15" t="inlineStr">
        <is>
          <t>PERSON-354</t>
        </is>
      </c>
      <c r="B355" s="5" t="inlineStr">
        <is>
          <t>Sutanu Gupta</t>
        </is>
      </c>
      <c r="C355" s="5" t="inlineStr">
        <is>
          <t>Writer</t>
        </is>
      </c>
      <c r="D355" s="20" t="n"/>
      <c r="E355" s="20" t="n"/>
      <c r="F355" s="5" t="n"/>
      <c r="G355" s="5" t="inlineStr">
        <is>
          <t>Hindi cinema</t>
        </is>
      </c>
      <c r="H355" s="5" t="inlineStr">
        <is>
          <t>A writer credited on one film in this filmography, with no Wikipedia article of their own.</t>
        </is>
      </c>
      <c r="I355" s="5" t="n"/>
      <c r="J355" s="5" t="inlineStr">
        <is>
          <t>With Khan: Anjaam (1994).</t>
        </is>
      </c>
      <c r="K355" s="19" t="n"/>
      <c r="L355" s="19" t="n"/>
      <c r="M355" s="5" t="n"/>
      <c r="N355" s="19" t="n"/>
      <c r="O355" s="19" t="inlineStr">
        <is>
          <t>One film with Khan, credited as writer: Anjaam (1994), directed by Rahul Rawail, with Khan in the antagonist as Vijay Agnihotri.</t>
        </is>
      </c>
      <c r="P355" s="17" t="n">
        <v>1</v>
      </c>
      <c r="Q355" s="5" t="inlineStr">
        <is>
          <t>FILM-011</t>
        </is>
      </c>
      <c r="R355" s="5" t="inlineStr">
        <is>
          <t>Anjaam (1994)</t>
        </is>
      </c>
      <c r="S355" s="5" t="inlineStr">
        <is>
          <t>Sutanu Gupta is credited as writer on Anjaam (1994). No Wikipedia article or other independent biography was located; this row is built from the film credit alone.</t>
        </is>
      </c>
      <c r="T355" s="5" t="inlineStr">
        <is>
          <t>SOURCE-014</t>
        </is>
      </c>
      <c r="U355" s="5" t="inlineStr">
        <is>
          <t>Low</t>
        </is>
      </c>
    </row>
    <row r="356" ht="64" customHeight="1">
      <c r="A356" s="15" t="inlineStr">
        <is>
          <t>PERSON-355</t>
        </is>
      </c>
      <c r="B356" s="5" t="inlineStr">
        <is>
          <t>T-Series Films</t>
        </is>
      </c>
      <c r="C356" s="5" t="inlineStr">
        <is>
          <t>Production banner (T-Series)</t>
        </is>
      </c>
      <c r="D356" s="20" t="n"/>
      <c r="E356" s="20" t="n"/>
      <c r="F356" s="5" t="n"/>
      <c r="G356" s="5" t="inlineStr">
        <is>
          <t>Hindi cinema</t>
        </is>
      </c>
      <c r="H356" s="5" t="inlineStr">
        <is>
          <t>The film-production arm of Super Cassettes Industries (T-Series), India's largest music label, founded by Gulshan Kumar in 1983; T-Series has produced more than 100 films.</t>
        </is>
      </c>
      <c r="I356" s="5" t="inlineStr">
        <is>
          <t>Breakthrough as a label with the soundtrack of Qayamat Se Qayamat Tak (1988).</t>
        </is>
      </c>
      <c r="J356" s="5" t="inlineStr">
        <is>
          <t>With Khan: Bhoothnath Returns (2014). Wider work: Aashiqui, Aashiqui 2, Animal and many others.</t>
        </is>
      </c>
      <c r="K356" s="19" t="inlineStr">
        <is>
          <t>Music-led mainstream films.</t>
        </is>
      </c>
      <c r="L356" s="19" t="n"/>
      <c r="M356" s="5" t="n"/>
      <c r="N356" s="19" t="inlineStr">
        <is>
          <t>Owns the most-viewed YouTube channel.</t>
        </is>
      </c>
      <c r="O356" s="19" t="inlineStr">
        <is>
          <t>One film: Bhoothnath Returns, co-produced with B. R. Films, in which Khan has a cameo.</t>
        </is>
      </c>
      <c r="P356" s="17" t="n">
        <v>1</v>
      </c>
      <c r="Q356" s="5" t="inlineStr">
        <is>
          <t>FILM-080</t>
        </is>
      </c>
      <c r="R356" s="5" t="inlineStr">
        <is>
          <t>Bhoothnath Returns (2014)</t>
        </is>
      </c>
      <c r="S356" s="5" t="inlineStr">
        <is>
          <t>T-Series was founded by Gulshan Kumar in Delhi in 1983, initially selling cover versions, and became the dominant Indian music label after the success of the Qayamat Se Qayamat Tak soundtrack. It has since produced over a hundred films. As T-Series Films it co-produced Bhoothnath Returns (2014), Nitesh Tiwari's political comedy with Amitabh Bachchan, in which Shah Rukh Khan makes a cameo; the film was profitable.</t>
        </is>
      </c>
      <c r="T356" s="5" t="inlineStr">
        <is>
          <t>SOURCE-331; SOURCE-083</t>
        </is>
      </c>
      <c r="U356" s="5" t="inlineStr">
        <is>
          <t>Medium</t>
        </is>
      </c>
    </row>
    <row r="357" ht="49" customHeight="1">
      <c r="A357" s="15" t="inlineStr">
        <is>
          <t>PERSON-356</t>
        </is>
      </c>
      <c r="B357" s="5" t="inlineStr">
        <is>
          <t>Tagore Almeida</t>
        </is>
      </c>
      <c r="C357" s="5" t="inlineStr">
        <is>
          <t>Writer</t>
        </is>
      </c>
      <c r="D357" s="20" t="n"/>
      <c r="E357" s="20" t="n"/>
      <c r="F357" s="5" t="n"/>
      <c r="G357" s="5" t="inlineStr">
        <is>
          <t>Hindi cinema</t>
        </is>
      </c>
      <c r="H357" s="5" t="inlineStr">
        <is>
          <t>A writer credited on one film in this filmography, with no Wikipedia article of their own.</t>
        </is>
      </c>
      <c r="I357" s="5" t="n"/>
      <c r="J357" s="5" t="inlineStr">
        <is>
          <t>With Khan: Alag (2006).</t>
        </is>
      </c>
      <c r="K357" s="19" t="n"/>
      <c r="L357" s="19" t="n"/>
      <c r="M357" s="5" t="n"/>
      <c r="N357" s="19" t="n"/>
      <c r="O357" s="19" t="inlineStr">
        <is>
          <t>One film with Khan, credited as writer: Alag (2006), directed by Ashu Trikha, with Khan in a self appearance.</t>
        </is>
      </c>
      <c r="P357" s="17" t="n">
        <v>1</v>
      </c>
      <c r="Q357" s="5" t="inlineStr">
        <is>
          <t>FILM-056</t>
        </is>
      </c>
      <c r="R357" s="5" t="inlineStr">
        <is>
          <t>Alag (2006)</t>
        </is>
      </c>
      <c r="S357" s="5" t="inlineStr">
        <is>
          <t>Tagore Almeida is credited as writer on Alag (2006). No Wikipedia article or other independent biography was located; this row is built from the film credit alone.</t>
        </is>
      </c>
      <c r="T357" s="5" t="inlineStr">
        <is>
          <t>SOURCE-059</t>
        </is>
      </c>
      <c r="U357" s="5" t="inlineStr">
        <is>
          <t>Low</t>
        </is>
      </c>
    </row>
    <row r="358" ht="64" customHeight="1">
      <c r="A358" s="15" t="inlineStr">
        <is>
          <t>PERSON-357</t>
        </is>
      </c>
      <c r="B358" s="5" t="inlineStr">
        <is>
          <t>Tanuja Chandra</t>
        </is>
      </c>
      <c r="C358" s="5" t="inlineStr">
        <is>
          <t>Writer</t>
        </is>
      </c>
      <c r="D358" s="17" t="n">
        <v>1969</v>
      </c>
      <c r="E358" s="20" t="n"/>
      <c r="F358" s="5" t="n"/>
      <c r="G358" s="5" t="inlineStr">
        <is>
          <t>Hindi cinema</t>
        </is>
      </c>
      <c r="H358" s="5" t="inlineStr">
        <is>
          <t>A Delhi-born director and writer, daughter of the writer Kamna Chandra and sister of Vikram Chandra and Anupama Chopra, known for women-centred films.</t>
        </is>
      </c>
      <c r="I358" s="5" t="inlineStr">
        <is>
          <t>Television: Zameen Aasmaan (1995); film: Dushman (1998).</t>
        </is>
      </c>
      <c r="J358" s="5" t="inlineStr">
        <is>
          <t>With Khan: Dil To Pagal Hai (1997). Wider work: Zakhm (screenplay), Dushman, Sangharsh, Qarib Qarib Singlle.</t>
        </is>
      </c>
      <c r="K358" s="19" t="inlineStr">
        <is>
          <t>Thrillers and dramas with female protagonists.</t>
        </is>
      </c>
      <c r="L358" s="19" t="n"/>
      <c r="M358" s="5" t="n"/>
      <c r="N358" s="19" t="n"/>
      <c r="O358" s="19" t="inlineStr">
        <is>
          <t>Co-wrote the screenplay of Yash Chopra's Dil To Pagal Hai, with Khan as the dance director Rahul; it was a commercial success.</t>
        </is>
      </c>
      <c r="P358" s="17" t="n">
        <v>1</v>
      </c>
      <c r="Q358" s="5" t="inlineStr">
        <is>
          <t>FILM-027</t>
        </is>
      </c>
      <c r="R358" s="5" t="inlineStr">
        <is>
          <t>Dil To Pagal Hai (1997)</t>
        </is>
      </c>
      <c r="S358" s="5" t="inlineStr">
        <is>
          <t>Tanuja Chandra directed television before co-writing the screenplay of Dil To Pagal Hai (1997), Yash Chopra's musical romance in which Shah Rukh Khan's Rahul falls for Madhuri Dixit's Pooja while his friend Nisha (Karisma Kapoor) loves him. The film was one of the biggest hits of the year. She went on to write Zakhm for Mahesh Bhatt and to direct Dushman, Sangharsh and Qarib Qarib Singlle.</t>
        </is>
      </c>
      <c r="T358" s="5" t="inlineStr">
        <is>
          <t>SOURCE-332; SOURCE-030</t>
        </is>
      </c>
      <c r="U358" s="5" t="inlineStr">
        <is>
          <t>Medium</t>
        </is>
      </c>
    </row>
    <row r="359" ht="49" customHeight="1">
      <c r="A359" s="15" t="inlineStr">
        <is>
          <t>PERSON-358</t>
        </is>
      </c>
      <c r="B359" s="5" t="inlineStr">
        <is>
          <t>Tips Industries</t>
        </is>
      </c>
      <c r="C359" s="5" t="inlineStr">
        <is>
          <t>Production banner</t>
        </is>
      </c>
      <c r="D359" s="20" t="n"/>
      <c r="E359" s="20" t="n"/>
      <c r="F359" s="5" t="n"/>
      <c r="G359" s="5" t="inlineStr">
        <is>
          <t>Hindi cinema</t>
        </is>
      </c>
      <c r="H359" s="5" t="inlineStr">
        <is>
          <t>A production banner credited on one film in this filmography, with no Wikipedia article of its own.</t>
        </is>
      </c>
      <c r="I359" s="5" t="n"/>
      <c r="J359" s="5" t="inlineStr">
        <is>
          <t>With Khan: Kismat Konnection (2008).</t>
        </is>
      </c>
      <c r="K359" s="19" t="n"/>
      <c r="L359" s="19" t="n"/>
      <c r="M359" s="5" t="n"/>
      <c r="N359" s="19" t="n"/>
      <c r="O359" s="19" t="inlineStr">
        <is>
          <t>One film with Khan, credited as production banner: Kismat Konnection (2008), directed by Aziz Mirza, with Khan in the narration.</t>
        </is>
      </c>
      <c r="P359" s="17" t="n">
        <v>1</v>
      </c>
      <c r="Q359" s="5" t="inlineStr">
        <is>
          <t>FILM-066</t>
        </is>
      </c>
      <c r="R359" s="5" t="inlineStr">
        <is>
          <t>Kismat Konnection (2008)</t>
        </is>
      </c>
      <c r="S359" s="5" t="inlineStr">
        <is>
          <t>Tips Industries is credited as production banner on Kismat Konnection (2008). No Wikipedia article or other independent biography was located for the company; this row is built from the film credit alone.</t>
        </is>
      </c>
      <c r="T359" s="5" t="inlineStr">
        <is>
          <t>SOURCE-069</t>
        </is>
      </c>
      <c r="U359" s="5" t="inlineStr">
        <is>
          <t>Low</t>
        </is>
      </c>
    </row>
    <row r="360" ht="64" customHeight="1">
      <c r="A360" s="15" t="inlineStr">
        <is>
          <t>PERSON-359</t>
        </is>
      </c>
      <c r="B360" s="5" t="inlineStr">
        <is>
          <t>Tricolour Films</t>
        </is>
      </c>
      <c r="C360" s="5" t="inlineStr">
        <is>
          <t>Production banner</t>
        </is>
      </c>
      <c r="D360" s="20" t="n"/>
      <c r="E360" s="20" t="n"/>
      <c r="F360" s="5" t="n"/>
      <c r="G360" s="5" t="inlineStr">
        <is>
          <t>Hindi cinema</t>
        </is>
      </c>
      <c r="H360" s="5" t="inlineStr">
        <is>
          <t>A production banner credited on one film in this filmography, with no Wikipedia article of its own.</t>
        </is>
      </c>
      <c r="I360" s="5" t="n"/>
      <c r="J360" s="5" t="inlineStr">
        <is>
          <t>With Khan: Rocketry: The Nambi Effect (2022).</t>
        </is>
      </c>
      <c r="K360" s="19" t="n"/>
      <c r="L360" s="19" t="n"/>
      <c r="M360" s="5" t="n"/>
      <c r="N360" s="19" t="n"/>
      <c r="O360" s="19" t="inlineStr">
        <is>
          <t>One film with Khan, credited as production banner: Rocketry: The Nambi Effect (2022), directed by R. Madhavan, with Khan in a self appearance.</t>
        </is>
      </c>
      <c r="P360" s="17" t="n">
        <v>1</v>
      </c>
      <c r="Q360" s="5" t="inlineStr">
        <is>
          <t>FILM-091</t>
        </is>
      </c>
      <c r="R360" s="5" t="inlineStr">
        <is>
          <t>Rocketry: The Nambi Effect (2022)</t>
        </is>
      </c>
      <c r="S360" s="5" t="inlineStr">
        <is>
          <t>Tricolour Films is credited as production banner on Rocketry: The Nambi Effect (2022). No Wikipedia article or other independent biography was located for the company; this row is built from the film credit alone.</t>
        </is>
      </c>
      <c r="T360" s="5" t="inlineStr">
        <is>
          <t>SOURCE-094</t>
        </is>
      </c>
      <c r="U360" s="5" t="inlineStr">
        <is>
          <t>Low</t>
        </is>
      </c>
    </row>
    <row r="361" ht="64" customHeight="1">
      <c r="A361" s="15" t="inlineStr">
        <is>
          <t>PERSON-360</t>
        </is>
      </c>
      <c r="B361" s="5" t="inlineStr">
        <is>
          <t>Umed Jain</t>
        </is>
      </c>
      <c r="C361" s="5" t="inlineStr">
        <is>
          <t>Producer</t>
        </is>
      </c>
      <c r="D361" s="20" t="n"/>
      <c r="E361" s="20" t="n"/>
      <c r="F361" s="5" t="n"/>
      <c r="G361" s="5" t="inlineStr">
        <is>
          <t>Hindi cinema</t>
        </is>
      </c>
      <c r="H361" s="5" t="inlineStr">
        <is>
          <t>A producer credited on one film in this filmography, with no Wikipedia article of their own.</t>
        </is>
      </c>
      <c r="I361" s="5" t="n"/>
      <c r="J361" s="5" t="inlineStr">
        <is>
          <t>With Khan: Yes Boss (1997).</t>
        </is>
      </c>
      <c r="K361" s="19" t="n"/>
      <c r="L361" s="19" t="n"/>
      <c r="M361" s="5" t="n"/>
      <c r="N361" s="19" t="n"/>
      <c r="O361" s="19" t="inlineStr">
        <is>
          <t>One film with Khan, credited as producer: Yes Boss (1997), directed by Aziz Mirza, with Khan in the lead as Rahul Joshi; verdict: Hit.</t>
        </is>
      </c>
      <c r="P361" s="17" t="n">
        <v>1</v>
      </c>
      <c r="Q361" s="5" t="inlineStr">
        <is>
          <t>FILM-025</t>
        </is>
      </c>
      <c r="R361" s="5" t="inlineStr">
        <is>
          <t>Yes Boss (1997)</t>
        </is>
      </c>
      <c r="S361" s="5" t="inlineStr">
        <is>
          <t>Umed Jain is credited as producer on Yes Boss (1997). No Wikipedia article or other independent biography was located; this row is built from the film credit alone.</t>
        </is>
      </c>
      <c r="T361" s="5" t="inlineStr">
        <is>
          <t>SOURCE-028</t>
        </is>
      </c>
      <c r="U361" s="5" t="inlineStr">
        <is>
          <t>Low</t>
        </is>
      </c>
    </row>
    <row r="362" ht="64" customHeight="1">
      <c r="A362" s="15" t="inlineStr">
        <is>
          <t>PERSON-361</t>
        </is>
      </c>
      <c r="B362" s="5" t="inlineStr">
        <is>
          <t>Uttankk V. Vora</t>
        </is>
      </c>
      <c r="C362" s="5" t="inlineStr">
        <is>
          <t>Song composer</t>
        </is>
      </c>
      <c r="D362" s="20" t="n"/>
      <c r="E362" s="20" t="n"/>
      <c r="F362" s="5" t="n"/>
      <c r="G362" s="5" t="inlineStr">
        <is>
          <t>Hindi cinema</t>
        </is>
      </c>
      <c r="H362" s="5" t="inlineStr">
        <is>
          <t>A song composer credited on one film in this filmography, with no Wikipedia article of their own.</t>
        </is>
      </c>
      <c r="I362" s="5" t="n"/>
      <c r="J362" s="5" t="inlineStr">
        <is>
          <t>With Khan: Pehla Nasha (1993).</t>
        </is>
      </c>
      <c r="K362" s="19" t="n"/>
      <c r="L362" s="19" t="n"/>
      <c r="M362" s="5" t="n"/>
      <c r="N362" s="19" t="n"/>
      <c r="O362" s="19" t="inlineStr">
        <is>
          <t>One film with Khan, credited as song composer: Pehla Nasha (1993), directed by Ashutosh Gowariker, with Khan in a self appearance; verdict: Failure.</t>
        </is>
      </c>
      <c r="P362" s="17" t="n">
        <v>1</v>
      </c>
      <c r="Q362" s="5" t="inlineStr">
        <is>
          <t>FILM-007</t>
        </is>
      </c>
      <c r="R362" s="5" t="inlineStr">
        <is>
          <t>Pehla Nasha (1993)</t>
        </is>
      </c>
      <c r="S362" s="5" t="inlineStr">
        <is>
          <t>Uttankk V. Vora is credited as song composer on Pehla Nasha (1993). No Wikipedia article or other independent biography was located; this row is built from the film credit alone.</t>
        </is>
      </c>
      <c r="T362" s="5" t="inlineStr">
        <is>
          <t>SOURCE-010</t>
        </is>
      </c>
      <c r="U362" s="5" t="inlineStr">
        <is>
          <t>Low</t>
        </is>
      </c>
    </row>
    <row r="363" ht="64" customHeight="1">
      <c r="A363" s="15" t="inlineStr">
        <is>
          <t>PERSON-362</t>
        </is>
      </c>
      <c r="B363" s="5" t="inlineStr">
        <is>
          <t>Varghese Moolan</t>
        </is>
      </c>
      <c r="C363" s="5" t="inlineStr">
        <is>
          <t>Producer</t>
        </is>
      </c>
      <c r="D363" s="20" t="n"/>
      <c r="E363" s="20" t="n"/>
      <c r="F363" s="5" t="n"/>
      <c r="G363" s="5" t="inlineStr">
        <is>
          <t>Hindi cinema</t>
        </is>
      </c>
      <c r="H363" s="5" t="inlineStr">
        <is>
          <t>A producer credited on one film in this filmography, with no Wikipedia article of their own.</t>
        </is>
      </c>
      <c r="I363" s="5" t="n"/>
      <c r="J363" s="5" t="inlineStr">
        <is>
          <t>With Khan: Rocketry: The Nambi Effect (2022).</t>
        </is>
      </c>
      <c r="K363" s="19" t="n"/>
      <c r="L363" s="19" t="n"/>
      <c r="M363" s="5" t="n"/>
      <c r="N363" s="19" t="n"/>
      <c r="O363" s="19" t="inlineStr">
        <is>
          <t>One film with Khan, credited as producer: Rocketry: The Nambi Effect (2022), directed by R. Madhavan, with Khan in a self appearance.</t>
        </is>
      </c>
      <c r="P363" s="17" t="n">
        <v>1</v>
      </c>
      <c r="Q363" s="5" t="inlineStr">
        <is>
          <t>FILM-091</t>
        </is>
      </c>
      <c r="R363" s="5" t="inlineStr">
        <is>
          <t>Rocketry: The Nambi Effect (2022)</t>
        </is>
      </c>
      <c r="S363" s="5" t="inlineStr">
        <is>
          <t>Varghese Moolan is credited as producer on Rocketry: The Nambi Effect (2022). No Wikipedia article or other independent biography was located; this row is built from the film credit alone.</t>
        </is>
      </c>
      <c r="T363" s="5" t="inlineStr">
        <is>
          <t>SOURCE-094</t>
        </is>
      </c>
      <c r="U363" s="5" t="inlineStr">
        <is>
          <t>Low</t>
        </is>
      </c>
    </row>
    <row r="364" ht="64" customHeight="1">
      <c r="A364" s="15" t="inlineStr">
        <is>
          <t>PERSON-363</t>
        </is>
      </c>
      <c r="B364" s="5" t="inlineStr">
        <is>
          <t>Varghese Moolan Pictures</t>
        </is>
      </c>
      <c r="C364" s="5" t="inlineStr">
        <is>
          <t>Production banner</t>
        </is>
      </c>
      <c r="D364" s="20" t="n"/>
      <c r="E364" s="20" t="n"/>
      <c r="F364" s="5" t="n"/>
      <c r="G364" s="5" t="inlineStr">
        <is>
          <t>Hindi cinema</t>
        </is>
      </c>
      <c r="H364" s="5" t="inlineStr">
        <is>
          <t>A production banner credited on one film in this filmography, with no Wikipedia article of its own.</t>
        </is>
      </c>
      <c r="I364" s="5" t="n"/>
      <c r="J364" s="5" t="inlineStr">
        <is>
          <t>With Khan: Rocketry: The Nambi Effect (2022).</t>
        </is>
      </c>
      <c r="K364" s="19" t="n"/>
      <c r="L364" s="19" t="n"/>
      <c r="M364" s="5" t="n"/>
      <c r="N364" s="19" t="n"/>
      <c r="O364" s="19" t="inlineStr">
        <is>
          <t>One film with Khan, credited as production banner: Rocketry: The Nambi Effect (2022), directed by R. Madhavan, with Khan in a self appearance.</t>
        </is>
      </c>
      <c r="P364" s="17" t="n">
        <v>1</v>
      </c>
      <c r="Q364" s="5" t="inlineStr">
        <is>
          <t>FILM-091</t>
        </is>
      </c>
      <c r="R364" s="5" t="inlineStr">
        <is>
          <t>Rocketry: The Nambi Effect (2022)</t>
        </is>
      </c>
      <c r="S364" s="5" t="inlineStr">
        <is>
          <t>Varghese Moolan Pictures is credited as production banner on Rocketry: The Nambi Effect (2022). No Wikipedia article or other independent biography was located for the company; this row is built from the film credit alone.</t>
        </is>
      </c>
      <c r="T364" s="5" t="inlineStr">
        <is>
          <t>SOURCE-094</t>
        </is>
      </c>
      <c r="U364" s="5" t="inlineStr">
        <is>
          <t>Low</t>
        </is>
      </c>
    </row>
    <row r="365" ht="79" customHeight="1">
      <c r="A365" s="15" t="inlineStr">
        <is>
          <t>PERSON-364</t>
        </is>
      </c>
      <c r="B365" s="5" t="inlineStr">
        <is>
          <t>Varma Corporation</t>
        </is>
      </c>
      <c r="C365" s="5" t="inlineStr">
        <is>
          <t>Production banner</t>
        </is>
      </c>
      <c r="D365" s="20" t="n"/>
      <c r="E365" s="20" t="n"/>
      <c r="F365" s="5" t="n"/>
      <c r="G365" s="5" t="inlineStr">
        <is>
          <t>Hindi cinema</t>
        </is>
      </c>
      <c r="H365" s="5" t="inlineStr">
        <is>
          <t>A production banner credited on one film in this filmography, with no Wikipedia article of its own.</t>
        </is>
      </c>
      <c r="I365" s="5" t="n"/>
      <c r="J365" s="5" t="inlineStr">
        <is>
          <t>With Khan: Dil Se.. (1998).</t>
        </is>
      </c>
      <c r="K365" s="19" t="n"/>
      <c r="L365" s="19" t="n"/>
      <c r="M365" s="5" t="n"/>
      <c r="N365" s="19" t="n"/>
      <c r="O365" s="19" t="inlineStr">
        <is>
          <t>One film with Khan, credited as production banner: Dil Se.. (1998), directed by Mani Ratnam, with Khan in the lead as Amarkant Verma; verdict: Average in India; major success overseas.</t>
        </is>
      </c>
      <c r="P365" s="17" t="n">
        <v>1</v>
      </c>
      <c r="Q365" s="5" t="inlineStr">
        <is>
          <t>FILM-030</t>
        </is>
      </c>
      <c r="R365" s="5" t="inlineStr">
        <is>
          <t>Dil Se.. (1998)</t>
        </is>
      </c>
      <c r="S365" s="5" t="inlineStr">
        <is>
          <t>Varma Corporation is credited as production banner on Dil Se.. (1998). No Wikipedia article or other independent biography was located for the company; this row is built from the film credit alone.</t>
        </is>
      </c>
      <c r="T365" s="5" t="inlineStr">
        <is>
          <t>SOURCE-033</t>
        </is>
      </c>
      <c r="U365" s="5" t="inlineStr">
        <is>
          <t>Low</t>
        </is>
      </c>
    </row>
    <row r="366" ht="64" customHeight="1">
      <c r="A366" s="15" t="inlineStr">
        <is>
          <t>PERSON-365</t>
        </is>
      </c>
      <c r="B366" s="5" t="inlineStr">
        <is>
          <t>Vashu Bhagnani</t>
        </is>
      </c>
      <c r="C366" s="5" t="inlineStr">
        <is>
          <t>Producer</t>
        </is>
      </c>
      <c r="D366" s="17" t="n">
        <v>1961</v>
      </c>
      <c r="E366" s="20" t="n"/>
      <c r="F366" s="5" t="inlineStr">
        <is>
          <t>1983–present</t>
        </is>
      </c>
      <c r="G366" s="5" t="inlineStr">
        <is>
          <t>Hindi cinema</t>
        </is>
      </c>
      <c r="H366" s="5" t="inlineStr">
        <is>
          <t>A Calcutta-born Sindhi producer who left school in the sixth standard, sold clothes and manufactured TV parts before starting his production company, named after his wife Pooja.</t>
        </is>
      </c>
      <c r="I366" s="5" t="inlineStr">
        <is>
          <t>Coolie No. 1 (1995).</t>
        </is>
      </c>
      <c r="J366" s="5" t="inlineStr">
        <is>
          <t>With Khan: Silsiilay (2005). Wider work: Hero No. 1, Bade Miyan Chote Miyan, Rehnaa Hai Terre Dil Mein, Shaadi No. 1, Mission Raniganj, Bade Miyan Chote Miyan (2024).</t>
        </is>
      </c>
      <c r="K366" s="19" t="inlineStr">
        <is>
          <t>Big commercial comedies and action films.</t>
        </is>
      </c>
      <c r="L366" s="19" t="n"/>
      <c r="M366" s="5" t="n"/>
      <c r="N366" s="19" t="n"/>
      <c r="O366" s="19" t="inlineStr">
        <is>
          <t>One film: Khalid Mohamed's Silsiilay, which Khan narrates.</t>
        </is>
      </c>
      <c r="P366" s="17" t="n">
        <v>1</v>
      </c>
      <c r="Q366" s="5" t="inlineStr">
        <is>
          <t>FILM-054</t>
        </is>
      </c>
      <c r="R366" s="5" t="inlineStr">
        <is>
          <t>Silsiilay (2005)</t>
        </is>
      </c>
      <c r="S366" s="5" t="inlineStr">
        <is>
          <t>Vashu Bhagnani moved to Mumbai in 1989 and launched Pooja Entertainment with Coolie No. 1 (1995), the first of a series of David Dhawan–Govinda comedies. He also produced Rehnaa Hai Terre Dil Mein and Bade Miyan Chote Miyan. He is credited as producer on Silsiilay (2005), the three-part women's drama written and directed by Khalid Mohamed, which Shah Rukh Khan narrates.</t>
        </is>
      </c>
      <c r="T366" s="5" t="inlineStr">
        <is>
          <t>SOURCE-333; SOURCE-057</t>
        </is>
      </c>
      <c r="U366" s="5" t="inlineStr">
        <is>
          <t>Medium</t>
        </is>
      </c>
    </row>
    <row r="367" ht="79" customHeight="1">
      <c r="A367" s="15" t="inlineStr">
        <is>
          <t>PERSON-366</t>
        </is>
      </c>
      <c r="B367" s="5" t="inlineStr">
        <is>
          <t>Viacom18 Studios</t>
        </is>
      </c>
      <c r="C367" s="5" t="inlineStr">
        <is>
          <t>Production banner</t>
        </is>
      </c>
      <c r="D367" s="20" t="n"/>
      <c r="E367" s="20" t="n"/>
      <c r="F367" s="5" t="n"/>
      <c r="G367" s="5" t="inlineStr">
        <is>
          <t>Hindi cinema</t>
        </is>
      </c>
      <c r="H367" s="5" t="inlineStr">
        <is>
          <t>A Mumbai film production and distribution company, a subsidiary of Viacom18 and later of JioStar, which also distributed Paramount films in India from 2011; it was later merged into Star Studio18.</t>
        </is>
      </c>
      <c r="I367" s="5" t="n"/>
      <c r="J367" s="5" t="inlineStr">
        <is>
          <t>With Khan: Laal Singh Chaddha (2022). Wider work: Queen, Kahaani, Padmaavat, Andhadhun.</t>
        </is>
      </c>
      <c r="K367" s="19" t="inlineStr">
        <is>
          <t>Studio-model production of mid-budget and star films.</t>
        </is>
      </c>
      <c r="L367" s="19" t="n"/>
      <c r="M367" s="5" t="n"/>
      <c r="N367" s="19" t="n"/>
      <c r="O367" s="19" t="inlineStr">
        <is>
          <t>One film: Laal Singh Chaddha, co-produced with Aamir Khan Productions and Paramount; Khan appears as himself.</t>
        </is>
      </c>
      <c r="P367" s="17" t="n">
        <v>1</v>
      </c>
      <c r="Q367" s="5" t="inlineStr">
        <is>
          <t>FILM-092</t>
        </is>
      </c>
      <c r="R367" s="5" t="inlineStr">
        <is>
          <t>Laal Singh Chaddha (2022)</t>
        </is>
      </c>
      <c r="S367" s="5" t="inlineStr">
        <is>
          <t>Viacom18 Studios was one of the first Indian film businesses run on a studio model, combining acquisition, production, marketing and worldwide distribution, and distributed Paramount releases in India from 2011. It co-produced Laal Singh Chaddha (2022), the Indian remake of Paramount's Forrest Gump, in which Shah Rukh Khan makes a brief appearance as himself. After the merger of Viacom18 and Disney Star the studio became part of Star Studio18.</t>
        </is>
      </c>
      <c r="T367" s="5" t="inlineStr">
        <is>
          <t>SOURCE-334; SOURCE-095</t>
        </is>
      </c>
      <c r="U367" s="5" t="inlineStr">
        <is>
          <t>Medium</t>
        </is>
      </c>
    </row>
    <row r="368" ht="49" customHeight="1">
      <c r="A368" s="15" t="inlineStr">
        <is>
          <t>PERSON-367</t>
        </is>
      </c>
      <c r="B368" s="5" t="inlineStr">
        <is>
          <t>Vibha Singh</t>
        </is>
      </c>
      <c r="C368" s="5" t="inlineStr">
        <is>
          <t>Writer</t>
        </is>
      </c>
      <c r="D368" s="20" t="n"/>
      <c r="E368" s="20" t="n"/>
      <c r="F368" s="5" t="n"/>
      <c r="G368" s="5" t="inlineStr">
        <is>
          <t>Hindi cinema</t>
        </is>
      </c>
      <c r="H368" s="5" t="inlineStr">
        <is>
          <t>A writer credited on one film in this filmography, with no Wikipedia article of their own.</t>
        </is>
      </c>
      <c r="I368" s="5" t="n"/>
      <c r="J368" s="5" t="inlineStr">
        <is>
          <t>With Khan: Kismat Konnection (2008).</t>
        </is>
      </c>
      <c r="K368" s="19" t="n"/>
      <c r="L368" s="19" t="n"/>
      <c r="M368" s="5" t="n"/>
      <c r="N368" s="19" t="n"/>
      <c r="O368" s="19" t="inlineStr">
        <is>
          <t>One film with Khan, credited as writer: Kismat Konnection (2008), directed by Aziz Mirza, with Khan in the narration.</t>
        </is>
      </c>
      <c r="P368" s="17" t="n">
        <v>1</v>
      </c>
      <c r="Q368" s="5" t="inlineStr">
        <is>
          <t>FILM-066</t>
        </is>
      </c>
      <c r="R368" s="5" t="inlineStr">
        <is>
          <t>Kismat Konnection (2008)</t>
        </is>
      </c>
      <c r="S368" s="5" t="inlineStr">
        <is>
          <t>Vibha Singh is credited as writer on Kismat Konnection (2008). No Wikipedia article or other independent biography was located; this row is built from the film credit alone.</t>
        </is>
      </c>
      <c r="T368" s="5" t="inlineStr">
        <is>
          <t>SOURCE-069</t>
        </is>
      </c>
      <c r="U368" s="5" t="inlineStr">
        <is>
          <t>Low</t>
        </is>
      </c>
    </row>
    <row r="369" ht="64" customHeight="1">
      <c r="A369" s="15" t="inlineStr">
        <is>
          <t>PERSON-368</t>
        </is>
      </c>
      <c r="B369" s="5" t="inlineStr">
        <is>
          <t>Vijay Galani</t>
        </is>
      </c>
      <c r="C369" s="5" t="inlineStr">
        <is>
          <t>Producer</t>
        </is>
      </c>
      <c r="D369" s="20" t="n"/>
      <c r="E369" s="20" t="n"/>
      <c r="F369" s="5" t="n"/>
      <c r="G369" s="5" t="inlineStr">
        <is>
          <t>Hindi cinema</t>
        </is>
      </c>
      <c r="H369" s="5" t="inlineStr">
        <is>
          <t>A producer credited on one film in this filmography, with no Wikipedia article of their own.</t>
        </is>
      </c>
      <c r="I369" s="5" t="n"/>
      <c r="J369" s="5" t="inlineStr">
        <is>
          <t>With Khan: Achanak (1998).</t>
        </is>
      </c>
      <c r="K369" s="19" t="n"/>
      <c r="L369" s="19" t="n"/>
      <c r="M369" s="5" t="n"/>
      <c r="N369" s="19" t="n"/>
      <c r="O369" s="19" t="inlineStr">
        <is>
          <t>One film with Khan, credited as producer: Achanak (1998), directed by Naresh Malhotra, with Khan in a self appearance; verdict: Box-office failure.</t>
        </is>
      </c>
      <c r="P369" s="17" t="n">
        <v>1</v>
      </c>
      <c r="Q369" s="5" t="inlineStr">
        <is>
          <t>FILM-029</t>
        </is>
      </c>
      <c r="R369" s="5" t="inlineStr">
        <is>
          <t>Achanak (1998)</t>
        </is>
      </c>
      <c r="S369" s="5" t="inlineStr">
        <is>
          <t>Vijay Galani is credited as producer on Achanak (1998). No Wikipedia article or other independent biography was located; this row is built from the film credit alone.</t>
        </is>
      </c>
      <c r="T369" s="5" t="inlineStr">
        <is>
          <t>SOURCE-032</t>
        </is>
      </c>
      <c r="U369" s="5" t="inlineStr">
        <is>
          <t>Low</t>
        </is>
      </c>
    </row>
    <row r="370" ht="64" customHeight="1">
      <c r="A370" s="15" t="inlineStr">
        <is>
          <t>PERSON-369</t>
        </is>
      </c>
      <c r="B370" s="5" t="inlineStr">
        <is>
          <t>Vijay Moolan</t>
        </is>
      </c>
      <c r="C370" s="5" t="inlineStr">
        <is>
          <t>Producer (Varghese Moolan Pictures)</t>
        </is>
      </c>
      <c r="D370" s="17" t="n">
        <v>1984</v>
      </c>
      <c r="E370" s="20" t="n"/>
      <c r="F370" s="5" t="inlineStr">
        <is>
          <t>2017–present</t>
        </is>
      </c>
      <c r="G370" s="5" t="inlineStr">
        <is>
          <t>Malayalam, Tamil and Hindi cinema</t>
        </is>
      </c>
      <c r="H370" s="5" t="inlineStr">
        <is>
          <t>A Cochin-born entrepreneur and film producer with a mechanical engineering degree from Western Michigan University and an MBA from the University of Wales, who runs Varghese Moolan Pictures.</t>
        </is>
      </c>
      <c r="I370" s="5" t="inlineStr">
        <is>
          <t>Odu Raja Odu (2017).</t>
        </is>
      </c>
      <c r="J370" s="5" t="inlineStr">
        <is>
          <t>With Khan: Rocketry: The Nambi Effect (2022).</t>
        </is>
      </c>
      <c r="K370" s="19" t="n"/>
      <c r="L370" s="19" t="n"/>
      <c r="M370" s="5" t="inlineStr">
        <is>
          <t>National Film Award for Best Feature Film (Rocketry), as co-producer.</t>
        </is>
      </c>
      <c r="N370" s="19" t="n"/>
      <c r="O370" s="19" t="inlineStr">
        <is>
          <t>One film: Rocketry, which he co-produced with R. Madhavan; Khan appears as himself.</t>
        </is>
      </c>
      <c r="P370" s="17" t="n">
        <v>1</v>
      </c>
      <c r="Q370" s="5" t="inlineStr">
        <is>
          <t>FILM-091</t>
        </is>
      </c>
      <c r="R370" s="5" t="inlineStr">
        <is>
          <t>Rocketry: The Nambi Effect (2022)</t>
        </is>
      </c>
      <c r="S370" s="5" t="inlineStr">
        <is>
          <t>Vijay Moolan managed his family business in Kerala and the Gulf before producing films through Varghese Moolan Pictures, starting with Odu Raja Odu. He co-produced Rocketry: The Nambi Effect (2022) with R. Madhavan, which won the National Award for Best Feature Film; Shah Rukh Khan appears in the film as himself.</t>
        </is>
      </c>
      <c r="T370" s="5" t="inlineStr">
        <is>
          <t>SOURCE-335; SOURCE-094</t>
        </is>
      </c>
      <c r="U370" s="5" t="inlineStr">
        <is>
          <t>Medium</t>
        </is>
      </c>
    </row>
    <row r="371" ht="79" customHeight="1">
      <c r="A371" s="15" t="inlineStr">
        <is>
          <t>PERSON-370</t>
        </is>
      </c>
      <c r="B371" s="5" t="inlineStr">
        <is>
          <t>Vijayadan Detha</t>
        </is>
      </c>
      <c r="C371" s="5" t="inlineStr">
        <is>
          <t>Writer (source story)</t>
        </is>
      </c>
      <c r="D371" s="17" t="n">
        <v>1926</v>
      </c>
      <c r="E371" s="17" t="n">
        <v>2013</v>
      </c>
      <c r="F371" s="5" t="n"/>
      <c r="G371" s="5" t="inlineStr">
        <is>
          <t>Rajasthani literature; Hindi cinema</t>
        </is>
      </c>
      <c r="H371" s="5" t="inlineStr">
        <is>
          <t>A Rajasthani writer known as Bijji, author of more than 800 short stories and the 14-volume Bataan ri Phulwari, who co-founded the folklore institute Rupayan Sansthan with Komal Kothari.</t>
        </is>
      </c>
      <c r="I371" s="5" t="n"/>
      <c r="J371" s="5" t="inlineStr">
        <is>
          <t>With Khan: Paheli (2005). Adaptations of his stories: Duvidha, Charandas Chor, Parinati, Paheli.</t>
        </is>
      </c>
      <c r="K371" s="19" t="inlineStr">
        <is>
          <t>Rajasthani folk tales retold.</t>
        </is>
      </c>
      <c r="L371" s="19" t="n"/>
      <c r="M371" s="5" t="inlineStr">
        <is>
          <t>Padma Shri; Sahitya Akademi Award.</t>
        </is>
      </c>
      <c r="N371" s="19" t="n"/>
      <c r="O371" s="19" t="inlineStr">
        <is>
          <t>Paheli is based on his story 'Duvidha', which Mani Kaul had filmed in 1973; Khan plays both the merchant and the ghost who takes his form.</t>
        </is>
      </c>
      <c r="P371" s="17" t="n">
        <v>1</v>
      </c>
      <c r="Q371" s="5" t="inlineStr">
        <is>
          <t>FILM-055</t>
        </is>
      </c>
      <c r="R371" s="5" t="inlineStr">
        <is>
          <t>Paheli (2005)</t>
        </is>
      </c>
      <c r="S371" s="5" t="inlineStr">
        <is>
          <t>Vijaydan Detha spent his life collecting and retelling the oral tales of Rajasthan, which he published in Rajasthani dialects, most notably in the fourteen volumes of Bataan ri Phulwari. His story about a ghost who falls in love with a merchant's new bride and takes the husband's form was filmed by Mani Kaul as Duvidha (1973) and by Amol Palekar as Paheli (2005), with Shah Rukh Khan in both roles opposite Rani Mukerji; Red Chillies produced it. Detha died on 10 November 2013.</t>
        </is>
      </c>
      <c r="T371" s="5" t="inlineStr">
        <is>
          <t>SOURCE-336; SOURCE-058</t>
        </is>
      </c>
      <c r="U371" s="5" t="inlineStr">
        <is>
          <t>Medium</t>
        </is>
      </c>
    </row>
    <row r="372" ht="49" customHeight="1">
      <c r="A372" s="15" t="inlineStr">
        <is>
          <t>PERSON-371</t>
        </is>
      </c>
      <c r="B372" s="5" t="inlineStr">
        <is>
          <t>Vikram Mehrotra</t>
        </is>
      </c>
      <c r="C372" s="5" t="inlineStr">
        <is>
          <t>Producer</t>
        </is>
      </c>
      <c r="D372" s="20" t="n"/>
      <c r="E372" s="20" t="n"/>
      <c r="F372" s="5" t="n"/>
      <c r="G372" s="5" t="inlineStr">
        <is>
          <t>Hindi cinema</t>
        </is>
      </c>
      <c r="H372" s="5" t="inlineStr">
        <is>
          <t>A producer credited on one film in this filmography, with no Wikipedia article of their own.</t>
        </is>
      </c>
      <c r="I372" s="5" t="n"/>
      <c r="J372" s="5" t="inlineStr">
        <is>
          <t>With Khan: Kabhi Haan Kabhi Naa (1994).</t>
        </is>
      </c>
      <c r="K372" s="19" t="n"/>
      <c r="L372" s="19" t="n"/>
      <c r="M372" s="5" t="n"/>
      <c r="N372" s="19" t="n"/>
      <c r="O372" s="19" t="inlineStr">
        <is>
          <t>One film with Khan, credited as producer: Kabhi Haan Kabhi Naa (1994), directed by Kundan Shah, with Khan in the lead as Sunil.</t>
        </is>
      </c>
      <c r="P372" s="17" t="n">
        <v>1</v>
      </c>
      <c r="Q372" s="5" t="inlineStr">
        <is>
          <t>FILM-010</t>
        </is>
      </c>
      <c r="R372" s="5" t="inlineStr">
        <is>
          <t>Kabhi Haan Kabhi Naa (1994)</t>
        </is>
      </c>
      <c r="S372" s="5" t="inlineStr">
        <is>
          <t>Vikram Mehrotra is credited as producer on Kabhi Haan Kabhi Naa (1994). No Wikipedia article or other independent biography was located; this row is built from the film credit alone.</t>
        </is>
      </c>
      <c r="T372" s="5" t="inlineStr">
        <is>
          <t>SOURCE-013</t>
        </is>
      </c>
      <c r="U372" s="5" t="inlineStr">
        <is>
          <t>Low</t>
        </is>
      </c>
    </row>
    <row r="373" ht="64" customHeight="1">
      <c r="A373" s="15" t="inlineStr">
        <is>
          <t>PERSON-372</t>
        </is>
      </c>
      <c r="B373" s="5" t="inlineStr">
        <is>
          <t>Vinay Shukla</t>
        </is>
      </c>
      <c r="C373" s="5" t="inlineStr">
        <is>
          <t>Writer</t>
        </is>
      </c>
      <c r="D373" s="20" t="n"/>
      <c r="E373" s="20" t="n"/>
      <c r="F373" s="5" t="n"/>
      <c r="G373" s="5" t="inlineStr">
        <is>
          <t>Hindi cinema</t>
        </is>
      </c>
      <c r="H373" s="5" t="inlineStr">
        <is>
          <t>A Hindi-film writer and director who began in radio plays at Akashwani Jaipur and trained at FTII Pune, where he graduated with a gold medal.</t>
        </is>
      </c>
      <c r="I373" s="5" t="n"/>
      <c r="J373" s="5" t="inlineStr">
        <is>
          <t>With Khan: Ram Jaane (1995). Wider work: Godmother (1999), Mirch.</t>
        </is>
      </c>
      <c r="K373" s="19" t="inlineStr">
        <is>
          <t>Commercial scripts and socially concerned films.</t>
        </is>
      </c>
      <c r="L373" s="19" t="n"/>
      <c r="M373" s="5" t="inlineStr">
        <is>
          <t>National Film Award for Best Feature Film in Hindi and Filmfare Best Story for Godmother.</t>
        </is>
      </c>
      <c r="N373" s="19" t="n"/>
      <c r="O373" s="19" t="inlineStr">
        <is>
          <t>One film: Rajiv Mehra's Ram Jaane, which he co-wrote, with Khan as a street criminal; it was a hit.</t>
        </is>
      </c>
      <c r="P373" s="17" t="n">
        <v>1</v>
      </c>
      <c r="Q373" s="5" t="inlineStr">
        <is>
          <t>FILM-017</t>
        </is>
      </c>
      <c r="R373" s="5" t="inlineStr">
        <is>
          <t>Ram Jaane (1995)</t>
        </is>
      </c>
      <c r="S373" s="5" t="inlineStr">
        <is>
          <t>Vinay Shukla has written for Hindi films for three decades and is best known as the director of Godmother (1999), about a woman who takes over her husband's gang in Gujarat, which won a National Award. He co-wrote Ram Jaane (1995), Rajiv Mehra's crime drama in which Shah Rukh Khan plays an orphan who becomes a gangster and returns to his old neighbourhood; the film was a hit.</t>
        </is>
      </c>
      <c r="T373" s="5" t="inlineStr">
        <is>
          <t>SOURCE-337; SOURCE-020</t>
        </is>
      </c>
      <c r="U373" s="5" t="inlineStr">
        <is>
          <t>Medium</t>
        </is>
      </c>
    </row>
    <row r="374" ht="64" customHeight="1">
      <c r="A374" s="15" t="inlineStr">
        <is>
          <t>PERSON-373</t>
        </is>
      </c>
      <c r="B374" s="5" t="inlineStr">
        <is>
          <t>Viral Lakhia</t>
        </is>
      </c>
      <c r="C374" s="5" t="inlineStr">
        <is>
          <t>Producer</t>
        </is>
      </c>
      <c r="D374" s="20" t="n"/>
      <c r="E374" s="20" t="n"/>
      <c r="F374" s="5" t="n"/>
      <c r="G374" s="5" t="inlineStr">
        <is>
          <t>Hindi cinema</t>
        </is>
      </c>
      <c r="H374" s="5" t="inlineStr">
        <is>
          <t>A producer credited on one film in this filmography, with no Wikipedia article of their own.</t>
        </is>
      </c>
      <c r="I374" s="5" t="n"/>
      <c r="J374" s="5" t="inlineStr">
        <is>
          <t>With Khan: Chaahat (1996).</t>
        </is>
      </c>
      <c r="K374" s="19" t="n"/>
      <c r="L374" s="19" t="n"/>
      <c r="M374" s="5" t="n"/>
      <c r="N374" s="19" t="n"/>
      <c r="O374" s="19" t="inlineStr">
        <is>
          <t>One film with Khan, credited as producer: Chaahat (1996), directed by Mahesh Bhatt, with Khan in the lead as Roop Singh Rathore; verdict: Below Average.</t>
        </is>
      </c>
      <c r="P374" s="17" t="n">
        <v>1</v>
      </c>
      <c r="Q374" s="5" t="inlineStr">
        <is>
          <t>FILM-020</t>
        </is>
      </c>
      <c r="R374" s="5" t="inlineStr">
        <is>
          <t>Chaahat (1996)</t>
        </is>
      </c>
      <c r="S374" s="5" t="inlineStr">
        <is>
          <t>Viral Lakhia is credited as producer on Chaahat (1996). No Wikipedia article or other independent biography was located; this row is built from the film credit alone.</t>
        </is>
      </c>
      <c r="T374" s="5" t="inlineStr">
        <is>
          <t>SOURCE-023</t>
        </is>
      </c>
      <c r="U374" s="5" t="inlineStr">
        <is>
          <t>Low</t>
        </is>
      </c>
    </row>
    <row r="375" ht="64" customHeight="1">
      <c r="A375" s="15" t="inlineStr">
        <is>
          <t>PERSON-374</t>
        </is>
      </c>
      <c r="B375" s="5" t="inlineStr">
        <is>
          <t>Viral Shah</t>
        </is>
      </c>
      <c r="C375" s="5" t="inlineStr">
        <is>
          <t>Producer</t>
        </is>
      </c>
      <c r="D375" s="20" t="n"/>
      <c r="E375" s="20" t="n"/>
      <c r="F375" s="5" t="n"/>
      <c r="G375" s="5" t="inlineStr">
        <is>
          <t>Hindi cinema</t>
        </is>
      </c>
      <c r="H375" s="5" t="inlineStr">
        <is>
          <t>A producer credited on one film in this filmography, with no Wikipedia article of their own.</t>
        </is>
      </c>
      <c r="I375" s="5" t="n"/>
      <c r="J375" s="5" t="inlineStr">
        <is>
          <t>With Khan: Pehla Nasha (1993).</t>
        </is>
      </c>
      <c r="K375" s="19" t="n"/>
      <c r="L375" s="19" t="n"/>
      <c r="M375" s="5" t="n"/>
      <c r="N375" s="19" t="n"/>
      <c r="O375" s="19" t="inlineStr">
        <is>
          <t>One film with Khan, credited as producer: Pehla Nasha (1993), directed by Ashutosh Gowariker, with Khan in a self appearance; verdict: Failure.</t>
        </is>
      </c>
      <c r="P375" s="17" t="n">
        <v>1</v>
      </c>
      <c r="Q375" s="5" t="inlineStr">
        <is>
          <t>FILM-007</t>
        </is>
      </c>
      <c r="R375" s="5" t="inlineStr">
        <is>
          <t>Pehla Nasha (1993)</t>
        </is>
      </c>
      <c r="S375" s="5" t="inlineStr">
        <is>
          <t>Viral Shah is credited as producer on Pehla Nasha (1993). No Wikipedia article or other independent biography was located; this row is built from the film credit alone.</t>
        </is>
      </c>
      <c r="T375" s="5" t="inlineStr">
        <is>
          <t>SOURCE-010</t>
        </is>
      </c>
      <c r="U375" s="5" t="inlineStr">
        <is>
          <t>Low</t>
        </is>
      </c>
    </row>
    <row r="376" ht="64" customHeight="1">
      <c r="A376" s="15" t="inlineStr">
        <is>
          <t>PERSON-375</t>
        </is>
      </c>
      <c r="B376" s="5" t="inlineStr">
        <is>
          <t>Vivek Agrawal</t>
        </is>
      </c>
      <c r="C376" s="5" t="inlineStr">
        <is>
          <t>Director; Writer</t>
        </is>
      </c>
      <c r="D376" s="17" t="n">
        <v>1974</v>
      </c>
      <c r="E376" s="20" t="n"/>
      <c r="F376" s="5" t="inlineStr">
        <is>
          <t>1994–present</t>
        </is>
      </c>
      <c r="G376" s="5" t="inlineStr">
        <is>
          <t>Hindi cinema</t>
        </is>
      </c>
      <c r="H376" s="5" t="inlineStr">
        <is>
          <t>A Mumbai-born producer, screenwriter and director who started as a production assistant, headed Phantom Films from 2011 to 2019 and supervised the first season of Sacred Games.</t>
        </is>
      </c>
      <c r="I376" s="5" t="inlineStr">
        <is>
          <t>As director, I See You (2006).</t>
        </is>
      </c>
      <c r="J376" s="5" t="inlineStr">
        <is>
          <t>With Khan: I See You (2006). As producer: Land Gold Women, Queen, Bombay Velvet, Udta Punjab, Super 30, 83, Vikram Vedha; Sacred Games.</t>
        </is>
      </c>
      <c r="K376" s="19" t="inlineStr">
        <is>
          <t>Production of independent and mid-budget films.</t>
        </is>
      </c>
      <c r="L376" s="19" t="n"/>
      <c r="M376" s="5" t="inlineStr">
        <is>
          <t>National Film Award for Best Feature Film in English (Land Gold Women), as producer.</t>
        </is>
      </c>
      <c r="N376" s="19" t="n"/>
      <c r="O376" s="19" t="inlineStr">
        <is>
          <t>Wrote and directed I See You, starring Arjun Rampal, in which Khan appears as himself.</t>
        </is>
      </c>
      <c r="P376" s="17" t="n">
        <v>1</v>
      </c>
      <c r="Q376" s="5" t="inlineStr">
        <is>
          <t>FILM-059</t>
        </is>
      </c>
      <c r="R376" s="5" t="inlineStr">
        <is>
          <t>I See You (2006)</t>
        </is>
      </c>
      <c r="S376" s="5" t="inlineStr">
        <is>
          <t>Vivek Agrawal left a master's programme to work as a production assistant and directed one film, I See You (2006), a romantic comedy starring Arjun Rampal in which Shah Rukh Khan makes a self appearance. He went on to run Phantom Films, producing Queen, Udta Punjab and Super 30, and supervised the first season of Netflix's Sacred Games.</t>
        </is>
      </c>
      <c r="T376" s="5" t="inlineStr">
        <is>
          <t>SOURCE-338; SOURCE-062</t>
        </is>
      </c>
      <c r="U376" s="5" t="inlineStr">
        <is>
          <t>Medium</t>
        </is>
      </c>
    </row>
    <row r="377" ht="49" customHeight="1">
      <c r="A377" s="15" t="inlineStr">
        <is>
          <t>PERSON-376</t>
        </is>
      </c>
      <c r="B377" s="5" t="inlineStr">
        <is>
          <t>Vivek Lalwani</t>
        </is>
      </c>
      <c r="C377" s="5" t="inlineStr">
        <is>
          <t>Producer</t>
        </is>
      </c>
      <c r="D377" s="20" t="n"/>
      <c r="E377" s="20" t="n"/>
      <c r="F377" s="5" t="n"/>
      <c r="G377" s="5" t="inlineStr">
        <is>
          <t>Hindi cinema</t>
        </is>
      </c>
      <c r="H377" s="5" t="inlineStr">
        <is>
          <t>A producer credited on one film in this filmography, with no Wikipedia article of their own.</t>
        </is>
      </c>
      <c r="I377" s="5" t="n"/>
      <c r="J377" s="5" t="inlineStr">
        <is>
          <t>With Khan: Guddu (1995).</t>
        </is>
      </c>
      <c r="K377" s="19" t="n"/>
      <c r="L377" s="19" t="n"/>
      <c r="M377" s="5" t="n"/>
      <c r="N377" s="19" t="n"/>
      <c r="O377" s="19" t="inlineStr">
        <is>
          <t>One film with Khan, credited as producer: Guddu (1995), directed by Prem Lalwani, with Khan in the lead as Guddu Bahadur.</t>
        </is>
      </c>
      <c r="P377" s="17" t="n">
        <v>1</v>
      </c>
      <c r="Q377" s="5" t="inlineStr">
        <is>
          <t>FILM-014</t>
        </is>
      </c>
      <c r="R377" s="5" t="inlineStr">
        <is>
          <t>Guddu (1995)</t>
        </is>
      </c>
      <c r="S377" s="5" t="inlineStr">
        <is>
          <t>Vivek Lalwani is credited as producer on Guddu (1995). No Wikipedia article or other independent biography was located; this row is built from the film credit alone.</t>
        </is>
      </c>
      <c r="T377" s="5" t="inlineStr">
        <is>
          <t>SOURCE-017</t>
        </is>
      </c>
      <c r="U377" s="5" t="inlineStr">
        <is>
          <t>Low</t>
        </is>
      </c>
    </row>
    <row r="378" ht="94" customHeight="1">
      <c r="A378" s="15" t="inlineStr">
        <is>
          <t>PERSON-377</t>
        </is>
      </c>
      <c r="B378" s="5" t="inlineStr">
        <is>
          <t>Vivek Sharma</t>
        </is>
      </c>
      <c r="C378" s="5" t="inlineStr">
        <is>
          <t>Director; Writer</t>
        </is>
      </c>
      <c r="D378" s="17" t="n">
        <v>1969</v>
      </c>
      <c r="E378" s="20" t="n"/>
      <c r="F378" s="5" t="n"/>
      <c r="G378" s="5" t="inlineStr">
        <is>
          <t>Hindi cinema</t>
        </is>
      </c>
      <c r="H378" s="5" t="inlineStr">
        <is>
          <t>A Jabalpur-born filmmaker with an M.Sc. in physics who assisted Mahesh Bhatt for six years and then joined Shah Rukh Khan and Juhi Chawla's company Dreamz Unlimited.</t>
        </is>
      </c>
      <c r="I378" s="5" t="inlineStr">
        <is>
          <t>Bhoothnath (2008).</t>
        </is>
      </c>
      <c r="J378" s="5" t="inlineStr">
        <is>
          <t>With Khan: Bhoothnath (2008). As assistant: Hum Hain Rahi Pyar Ke, Chaahat, Duplicate; worked at Dreamz Unlimited on Phir Bhi Dil Hai Hindustani, Aśoka, Chalte Chalte.</t>
        </is>
      </c>
      <c r="K378" s="19" t="n"/>
      <c r="L378" s="19" t="n"/>
      <c r="M378" s="5" t="n"/>
      <c r="N378" s="19" t="n"/>
      <c r="O378" s="19" t="inlineStr">
        <is>
          <t>Close to Khan before directing: he assisted Mahesh Bhatt on Chaahat and Duplicate and then worked at Khan's Dreamz Unlimited. His debut, Bhoothnath, gave Khan an extended special appearance as the boy's father; it was a semi-hit.</t>
        </is>
      </c>
      <c r="P378" s="17" t="n">
        <v>1</v>
      </c>
      <c r="Q378" s="5" t="inlineStr">
        <is>
          <t>FILM-065</t>
        </is>
      </c>
      <c r="R378" s="5" t="inlineStr">
        <is>
          <t>Bhoothnath (2008)</t>
        </is>
      </c>
      <c r="S378" s="5" t="inlineStr">
        <is>
          <t>Vivek Sharma moved to Mumbai in 1992 and spent six years assisting Mahesh Bhatt, including on Shah Rukh Khan's Chaahat and Duplicate. He became close to Khan and Juhi Chawla and joined their company Dreamz Unlimited, working on Phir Bhi Dil Hai Hindustani, Aśoka and Chalte Chalte. His directorial debut, Bhoothnath (2008), starred Amitabh Bachchan as a ghost befriended by a boy; Khan plays the boy's father in an extended special appearance. The film was a semi-hit.</t>
        </is>
      </c>
      <c r="T378" s="5" t="inlineStr">
        <is>
          <t>SOURCE-339; SOURCE-068</t>
        </is>
      </c>
      <c r="U378" s="5" t="inlineStr">
        <is>
          <t>Medium</t>
        </is>
      </c>
    </row>
    <row r="379" ht="64" customHeight="1">
      <c r="A379" s="15" t="inlineStr">
        <is>
          <t>PERSON-378</t>
        </is>
      </c>
      <c r="B379" s="5" t="inlineStr">
        <is>
          <t>Yo Yo Honey Singh</t>
        </is>
      </c>
      <c r="C379" s="5" t="inlineStr">
        <is>
          <t>Song composer</t>
        </is>
      </c>
      <c r="D379" s="17" t="n">
        <v>1983</v>
      </c>
      <c r="E379" s="20" t="n"/>
      <c r="F379" s="5" t="inlineStr">
        <is>
          <t>2003–present</t>
        </is>
      </c>
      <c r="G379" s="5" t="inlineStr">
        <is>
          <t>Punjabi and Hindi pop</t>
        </is>
      </c>
      <c r="H379" s="5" t="inlineStr">
        <is>
          <t>A Delhi-born singer, music producer and actor, born Hirdesh Singh, who began as a hip-hop producer in 2003 and became one of the highest-paid music artists in Hindi films by 2012.</t>
        </is>
      </c>
      <c r="I379" s="5" t="inlineStr">
        <is>
          <t>'Glassy' with Ashok Masti (2006); album International Villager.</t>
        </is>
      </c>
      <c r="J379" s="5" t="inlineStr">
        <is>
          <t>With Khan: Bhoothnath Returns (2014). Wider work: Cocktail, Chennai Express ('Lungi Dance'), Yaariyan.</t>
        </is>
      </c>
      <c r="K379" s="19" t="inlineStr">
        <is>
          <t>Punjabi hip-hop and party songs.</t>
        </is>
      </c>
      <c r="L379" s="19" t="n"/>
      <c r="M379" s="5" t="n"/>
      <c r="N379" s="19" t="n"/>
      <c r="O379" s="19" t="inlineStr">
        <is>
          <t>One film: Bhoothnath Returns, for which he composed a song; Khan has a cameo. He had also produced 'Lungi Dance', the tribute song in Khan's Chennai Express.</t>
        </is>
      </c>
      <c r="P379" s="17" t="n">
        <v>1</v>
      </c>
      <c r="Q379" s="5" t="inlineStr">
        <is>
          <t>FILM-080</t>
        </is>
      </c>
      <c r="R379" s="5" t="inlineStr">
        <is>
          <t>Bhoothnath Returns (2014)</t>
        </is>
      </c>
      <c r="S379" s="5" t="inlineStr">
        <is>
          <t>Yo Yo Honey Singh worked in the underground Punjabi music scene before International Villager made him a star, and by 2012 he was reportedly receiving record fees for Hindi film songs. He composed 'Lungi Dance', the Rajinikanth tribute added to Shah Rukh Khan's Chennai Express (2013), and is credited as a song composer on Bhoothnath Returns (2014), in which Khan makes a cameo.</t>
        </is>
      </c>
      <c r="T379" s="5" t="inlineStr">
        <is>
          <t>SOURCE-340; SOURCE-083</t>
        </is>
      </c>
      <c r="U379" s="5" t="inlineStr">
        <is>
          <t>Medium</t>
        </is>
      </c>
    </row>
    <row r="380" ht="79" customHeight="1">
      <c r="A380" s="15" t="inlineStr">
        <is>
          <t>PERSON-379</t>
        </is>
      </c>
      <c r="B380" s="5" t="inlineStr">
        <is>
          <t>Zayed Khan</t>
        </is>
      </c>
      <c r="C380" s="5" t="inlineStr">
        <is>
          <t>Producer; actor</t>
        </is>
      </c>
      <c r="D380" s="17" t="n">
        <v>1980</v>
      </c>
      <c r="E380" s="20" t="n"/>
      <c r="F380" s="5" t="inlineStr">
        <is>
          <t>2003–2018</t>
        </is>
      </c>
      <c r="G380" s="5" t="inlineStr">
        <is>
          <t>Hindi cinema</t>
        </is>
      </c>
      <c r="H380" s="5" t="inlineStr">
        <is>
          <t>A former Hindi-film actor and producer, son of Sanjay Khan, who studied business at Montgomery College and film at the London Film Academy.</t>
        </is>
      </c>
      <c r="I380" s="5" t="inlineStr">
        <is>
          <t>Chura Liyaa Hai Tumne (2003).</t>
        </is>
      </c>
      <c r="J380" s="5" t="inlineStr">
        <is>
          <t>With Khan: Love Breakups Zindagi (2011), as producer. As actor: Main Hoon Na, Shabd, Dus, Yuvvraaj, Blue, Anjaana Anjaani.</t>
        </is>
      </c>
      <c r="K380" s="19" t="n"/>
      <c r="L380" s="19" t="n"/>
      <c r="M380" s="5" t="n"/>
      <c r="N380" s="19" t="n"/>
      <c r="O380" s="19" t="inlineStr">
        <is>
          <t>Co-produced Love Breakups Zindagi through Born Free Entertainment with Dia Mirza and Sahil Sangha; Khan appears as himself. Zayed had played Khan's half-brother in Main Hoon Na (2004).</t>
        </is>
      </c>
      <c r="P380" s="17" t="n">
        <v>1</v>
      </c>
      <c r="Q380" s="5" t="inlineStr">
        <is>
          <t>FILM-074</t>
        </is>
      </c>
      <c r="R380" s="5" t="inlineStr">
        <is>
          <t>Love Breakups Zindagi (2011)</t>
        </is>
      </c>
      <c r="S380" s="5" t="inlineStr">
        <is>
          <t>Zayed Khan made his debut in 2003 and is best remembered as Lucky, the rebellious college student who turns out to be Shah Rukh Khan's half-brother, in Farah Khan's Main Hoon Na (2004). He moved into production in 2011 with Born Free Entertainment, co-owned with Dia Mirza and Sahil Sangha, whose first film, Love Breakups Zindagi, starred him and Mirza and included a self appearance by Shah Rukh Khan.</t>
        </is>
      </c>
      <c r="T380" s="5" t="inlineStr">
        <is>
          <t>SOURCE-341; SOURCE-077</t>
        </is>
      </c>
      <c r="U380" s="5" t="inlineStr">
        <is>
          <t>Medium</t>
        </is>
      </c>
    </row>
  </sheetData>
  <autoFilter ref="A1:U380"/>
  <dataValidations count="1">
    <dataValidation sqref="U2:U580"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2" customWidth="1" min="5" max="5"/>
    <col width="20" customWidth="1" min="6" max="6"/>
    <col width="16" customWidth="1" min="7" max="7"/>
    <col width="12" customWidth="1" min="8" max="8"/>
    <col width="30" customWidth="1" min="9" max="9"/>
    <col width="30" customWidth="1" min="10" max="10"/>
    <col width="50" customWidth="1" min="11" max="11"/>
    <col width="30" customWidth="1" min="12" max="12"/>
    <col width="22" customWidth="1" min="13" max="13"/>
  </cols>
  <sheetData>
    <row r="1" ht="36" customHeight="1">
      <c r="A1" s="12" t="inlineStr">
        <is>
          <t>Cast ID</t>
        </is>
      </c>
      <c r="B1" s="12" t="inlineStr">
        <is>
          <t>Film ID</t>
        </is>
      </c>
      <c r="C1" s="12" t="inlineStr">
        <is>
          <t>Film</t>
        </is>
      </c>
      <c r="D1" s="12" t="inlineStr">
        <is>
          <t>Release Year</t>
        </is>
      </c>
      <c r="E1" s="12" t="inlineStr">
        <is>
          <t>Actor</t>
        </is>
      </c>
      <c r="F1" s="12" t="inlineStr">
        <is>
          <t>Character</t>
        </is>
      </c>
      <c r="G1" s="12" t="inlineStr">
        <is>
          <t>Cast Function</t>
        </is>
      </c>
      <c r="H1" s="12" t="inlineStr">
        <is>
          <t>Importance Level</t>
        </is>
      </c>
      <c r="I1" s="12" t="inlineStr">
        <is>
          <t>Relationship to Protagonist</t>
        </is>
      </c>
      <c r="J1" s="12" t="inlineStr">
        <is>
          <t>Relationship to Romantic Plot</t>
        </is>
      </c>
      <c r="K1" s="13" t="inlineStr">
        <is>
          <t>Character Gist</t>
        </is>
      </c>
      <c r="L1" s="12" t="inlineStr">
        <is>
          <t>Performance Recognition</t>
        </is>
      </c>
      <c r="M1" s="12" t="inlineStr">
        <is>
          <t>Source IDs</t>
        </is>
      </c>
    </row>
    <row r="2" ht="49" customHeight="1">
      <c r="A2" s="15" t="inlineStr">
        <is>
          <t>CAST-001</t>
        </is>
      </c>
      <c r="B2" s="20" t="inlineStr">
        <is>
          <t>FILM-001</t>
        </is>
      </c>
      <c r="C2" s="5" t="inlineStr">
        <is>
          <t>Deewana</t>
        </is>
      </c>
      <c r="D2" s="17" t="n">
        <v>1992</v>
      </c>
      <c r="E2" s="5" t="inlineStr">
        <is>
          <t>Rishi Kapoor</t>
        </is>
      </c>
      <c r="F2" s="5" t="inlineStr">
        <is>
          <t>Ravi</t>
        </is>
      </c>
      <c r="G2" s="5" t="inlineStr">
        <is>
          <t>Co-lead</t>
        </is>
      </c>
      <c r="H2" s="5" t="inlineStr">
        <is>
          <t>Major</t>
        </is>
      </c>
      <c r="I2" s="5" t="inlineStr">
        <is>
          <t>Kajal's presumed-dead first husband, who befriends Raja without knowing of the marriage</t>
        </is>
      </c>
      <c r="J2" s="5" t="inlineStr">
        <is>
          <t>His return tests Kajal's second marriage; he dies saving the couple</t>
        </is>
      </c>
      <c r="K2" s="19" t="inlineStr">
        <is>
          <t>Rich heir thrown off a cliff by his greedy uncle's hired men. He survives, returns, and sets off the bomb meant for Kajal, killing himself and Dhirendra.</t>
        </is>
      </c>
      <c r="L2" s="5" t="n"/>
      <c r="M2" s="5" t="inlineStr">
        <is>
          <t>SOURCE-004</t>
        </is>
      </c>
    </row>
    <row r="3" ht="34" customHeight="1">
      <c r="A3" s="15" t="inlineStr">
        <is>
          <t>CAST-002</t>
        </is>
      </c>
      <c r="B3" s="20" t="inlineStr">
        <is>
          <t>FILM-001</t>
        </is>
      </c>
      <c r="C3" s="5" t="inlineStr">
        <is>
          <t>Deewana</t>
        </is>
      </c>
      <c r="D3" s="17" t="n">
        <v>1992</v>
      </c>
      <c r="E3" s="5" t="inlineStr">
        <is>
          <t>Amrish Puri</t>
        </is>
      </c>
      <c r="F3" s="5" t="inlineStr">
        <is>
          <t>Dhirendra Pratap Singh</t>
        </is>
      </c>
      <c r="G3" s="5" t="inlineStr">
        <is>
          <t>Antagonist</t>
        </is>
      </c>
      <c r="H3" s="5" t="inlineStr">
        <is>
          <t>Major</t>
        </is>
      </c>
      <c r="I3" s="5" t="inlineStr">
        <is>
          <t>Villain who kidnaps Raja and Kajal</t>
        </is>
      </c>
      <c r="J3" s="5" t="inlineStr">
        <is>
          <t>Straps a bomb to Kajal to extort Ravi's property</t>
        </is>
      </c>
      <c r="K3" s="19" t="inlineStr">
        <is>
          <t>Ravi's greedy uncle, who arranges his murder to inherit the family fortune.</t>
        </is>
      </c>
      <c r="L3" s="5" t="n"/>
      <c r="M3" s="5" t="inlineStr">
        <is>
          <t>SOURCE-004</t>
        </is>
      </c>
    </row>
    <row r="4" ht="34" customHeight="1">
      <c r="A4" s="15" t="inlineStr">
        <is>
          <t>CAST-003</t>
        </is>
      </c>
      <c r="B4" s="20" t="inlineStr">
        <is>
          <t>FILM-001</t>
        </is>
      </c>
      <c r="C4" s="5" t="inlineStr">
        <is>
          <t>Deewana</t>
        </is>
      </c>
      <c r="D4" s="17" t="n">
        <v>1992</v>
      </c>
      <c r="E4" s="5" t="inlineStr">
        <is>
          <t>Dalip Tahil</t>
        </is>
      </c>
      <c r="F4" s="5" t="inlineStr">
        <is>
          <t>Ramakant Sahai</t>
        </is>
      </c>
      <c r="G4" s="5" t="inlineStr">
        <is>
          <t>Family</t>
        </is>
      </c>
      <c r="H4" s="5" t="inlineStr">
        <is>
          <t>Medium</t>
        </is>
      </c>
      <c r="I4" s="5" t="inlineStr">
        <is>
          <t>Raja's rich father</t>
        </is>
      </c>
      <c r="J4" s="5" t="inlineStr">
        <is>
          <t>Opposes his son marrying a widow and throws him out</t>
        </is>
      </c>
      <c r="K4" s="19" t="inlineStr">
        <is>
          <t>Tries to get rid of Kajal and disowns Raja on news of the engagement.</t>
        </is>
      </c>
      <c r="L4" s="5" t="n"/>
      <c r="M4" s="5" t="inlineStr">
        <is>
          <t>SOURCE-004</t>
        </is>
      </c>
    </row>
    <row r="5" ht="34" customHeight="1">
      <c r="A5" s="15" t="inlineStr">
        <is>
          <t>CAST-004</t>
        </is>
      </c>
      <c r="B5" s="20" t="inlineStr">
        <is>
          <t>FILM-001</t>
        </is>
      </c>
      <c r="C5" s="5" t="inlineStr">
        <is>
          <t>Deewana</t>
        </is>
      </c>
      <c r="D5" s="17" t="n">
        <v>1992</v>
      </c>
      <c r="E5" s="5" t="inlineStr">
        <is>
          <t>Sushma Seth</t>
        </is>
      </c>
      <c r="F5" s="5" t="inlineStr">
        <is>
          <t>Laxmi Devi</t>
        </is>
      </c>
      <c r="G5" s="5" t="inlineStr">
        <is>
          <t>Family</t>
        </is>
      </c>
      <c r="H5" s="5" t="inlineStr">
        <is>
          <t>Medium</t>
        </is>
      </c>
      <c r="I5" s="5" t="inlineStr">
        <is>
          <t>Kajal's mother-in-law, whom Raja knocks down with his motorcycle</t>
        </is>
      </c>
      <c r="J5" s="5" t="inlineStr">
        <is>
          <t>Persuades Kajal to accept Raja</t>
        </is>
      </c>
      <c r="K5" s="19" t="inlineStr">
        <is>
          <t>Ravi's mother, who moves to another city with the widowed Kajal and urges her to remarry.</t>
        </is>
      </c>
      <c r="L5" s="5" t="n"/>
      <c r="M5" s="5" t="inlineStr">
        <is>
          <t>SOURCE-004</t>
        </is>
      </c>
    </row>
    <row r="6" ht="49" customHeight="1">
      <c r="A6" s="15" t="inlineStr">
        <is>
          <t>CAST-005</t>
        </is>
      </c>
      <c r="B6" s="20" t="inlineStr">
        <is>
          <t>FILM-001</t>
        </is>
      </c>
      <c r="C6" s="5" t="inlineStr">
        <is>
          <t>Deewana</t>
        </is>
      </c>
      <c r="D6" s="17" t="n">
        <v>1992</v>
      </c>
      <c r="E6" s="5" t="inlineStr">
        <is>
          <t>Mohnish Bahl</t>
        </is>
      </c>
      <c r="F6" s="5" t="inlineStr">
        <is>
          <t>Narendra Pratap Singh</t>
        </is>
      </c>
      <c r="G6" s="5" t="inlineStr">
        <is>
          <t>Antagonist</t>
        </is>
      </c>
      <c r="H6" s="5" t="inlineStr">
        <is>
          <t>Medium</t>
        </is>
      </c>
      <c r="I6" s="5" t="inlineStr">
        <is>
          <t>Cousin of Ravi, Kajal's first husband; not directly linked to Raja.</t>
        </is>
      </c>
      <c r="J6" s="5" t="inlineStr">
        <is>
          <t>His attack on Ravi leaves Kajal widowed, which sets up her later romance with Raja.</t>
        </is>
      </c>
      <c r="K6" s="19" t="inlineStr">
        <is>
          <t>Dhirendra's son, who joined the hired hoodlums in trying to murder Ravi for the family inheritance and was killed when both fell from a cliff. Credited as a special appearance.</t>
        </is>
      </c>
      <c r="L6" s="5" t="n"/>
      <c r="M6" s="5" t="inlineStr">
        <is>
          <t>SOURCE-004</t>
        </is>
      </c>
    </row>
    <row r="7" ht="49" customHeight="1">
      <c r="A7" s="15" t="inlineStr">
        <is>
          <t>CAST-006</t>
        </is>
      </c>
      <c r="B7" s="20" t="inlineStr">
        <is>
          <t>FILM-002</t>
        </is>
      </c>
      <c r="C7" s="5" t="inlineStr">
        <is>
          <t>Chamatkar</t>
        </is>
      </c>
      <c r="D7" s="17" t="n">
        <v>1992</v>
      </c>
      <c r="E7" s="5" t="inlineStr">
        <is>
          <t>Naseeruddin Shah</t>
        </is>
      </c>
      <c r="F7" s="5" t="inlineStr">
        <is>
          <t>Amar Kumar (Marco)</t>
        </is>
      </c>
      <c r="G7" s="5" t="inlineStr">
        <is>
          <t>Co-lead</t>
        </is>
      </c>
      <c r="H7" s="5" t="inlineStr">
        <is>
          <t>Major</t>
        </is>
      </c>
      <c r="I7" s="5" t="inlineStr">
        <is>
          <t>Ghost only Sundar can see; partner in his mission</t>
        </is>
      </c>
      <c r="J7" s="5" t="inlineStr">
        <is>
          <t>Mala's father; encourages the romance and keeps Kunta's goons away</t>
        </is>
      </c>
      <c r="K7" s="19" t="inlineStr">
        <is>
          <t>Gangster murdered on his wedding night who must be redeemed to reach heaven. He helps Sundar save the school and invisibly wins the cricket match.</t>
        </is>
      </c>
      <c r="L7" s="5" t="n"/>
      <c r="M7" s="5" t="inlineStr">
        <is>
          <t>SOURCE-005</t>
        </is>
      </c>
    </row>
    <row r="8" ht="34" customHeight="1">
      <c r="A8" s="15" t="inlineStr">
        <is>
          <t>CAST-007</t>
        </is>
      </c>
      <c r="B8" s="20" t="inlineStr">
        <is>
          <t>FILM-002</t>
        </is>
      </c>
      <c r="C8" s="5" t="inlineStr">
        <is>
          <t>Chamatkar</t>
        </is>
      </c>
      <c r="D8" s="17" t="n">
        <v>1992</v>
      </c>
      <c r="E8" s="5" t="inlineStr">
        <is>
          <t>Tinnu Anand</t>
        </is>
      </c>
      <c r="F8" s="5" t="inlineStr">
        <is>
          <t>Kunta</t>
        </is>
      </c>
      <c r="G8" s="5" t="inlineStr">
        <is>
          <t>Antagonist</t>
        </is>
      </c>
      <c r="H8" s="5" t="inlineStr">
        <is>
          <t>Major</t>
        </is>
      </c>
      <c r="I8" s="5" t="inlineStr">
        <is>
          <t>Sundar's enemy</t>
        </is>
      </c>
      <c r="J8" s="5" t="inlineStr">
        <is>
          <t>Abducts Sundar and Mala and tries to bury them alive</t>
        </is>
      </c>
      <c r="K8" s="19" t="inlineStr">
        <is>
          <t>Marco's protégé and murderer, who commits crimes in Marco's name and tries to seize the school's land.</t>
        </is>
      </c>
      <c r="L8" s="5" t="n"/>
      <c r="M8" s="5" t="inlineStr">
        <is>
          <t>SOURCE-005</t>
        </is>
      </c>
    </row>
    <row r="9" ht="34" customHeight="1">
      <c r="A9" s="15" t="inlineStr">
        <is>
          <t>CAST-008</t>
        </is>
      </c>
      <c r="B9" s="20" t="inlineStr">
        <is>
          <t>FILM-002</t>
        </is>
      </c>
      <c r="C9" s="5" t="inlineStr">
        <is>
          <t>Chamatkar</t>
        </is>
      </c>
      <c r="D9" s="17" t="n">
        <v>1992</v>
      </c>
      <c r="E9" s="5" t="inlineStr">
        <is>
          <t>Shammi Kapoor</t>
        </is>
      </c>
      <c r="F9" s="5" t="inlineStr">
        <is>
          <t>Mr. Kaul</t>
        </is>
      </c>
      <c r="G9" s="5" t="inlineStr">
        <is>
          <t>Authority figure</t>
        </is>
      </c>
      <c r="H9" s="5" t="inlineStr">
        <is>
          <t>Medium</t>
        </is>
      </c>
      <c r="I9" s="5" t="inlineStr">
        <is>
          <t>Head of the school that hires Sundar as cricket coach</t>
        </is>
      </c>
      <c r="J9" s="5" t="inlineStr">
        <is>
          <t>Mala's grandfather</t>
        </is>
      </c>
      <c r="K9" s="19" t="inlineStr">
        <is>
          <t>Savitri's father, whose underfunded school is targeted by Kunta.</t>
        </is>
      </c>
      <c r="L9" s="5" t="n"/>
      <c r="M9" s="5" t="inlineStr">
        <is>
          <t>SOURCE-005</t>
        </is>
      </c>
    </row>
    <row r="10" ht="49" customHeight="1">
      <c r="A10" s="15" t="inlineStr">
        <is>
          <t>CAST-009</t>
        </is>
      </c>
      <c r="B10" s="20" t="inlineStr">
        <is>
          <t>FILM-002</t>
        </is>
      </c>
      <c r="C10" s="5" t="inlineStr">
        <is>
          <t>Chamatkar</t>
        </is>
      </c>
      <c r="D10" s="17" t="n">
        <v>1992</v>
      </c>
      <c r="E10" s="5" t="inlineStr">
        <is>
          <t>Malvika Tiwari</t>
        </is>
      </c>
      <c r="F10" s="5" t="inlineStr">
        <is>
          <t>Savitri Kaul</t>
        </is>
      </c>
      <c r="G10" s="5" t="inlineStr">
        <is>
          <t>Supporting</t>
        </is>
      </c>
      <c r="H10" s="5" t="inlineStr">
        <is>
          <t>Medium</t>
        </is>
      </c>
      <c r="I10" s="5" t="inlineStr">
        <is>
          <t>Daughter of Mr. Kaul, at whose school Sunder becomes cricket coach.</t>
        </is>
      </c>
      <c r="J10" s="5" t="inlineStr">
        <is>
          <t>Mother of Mala, Sunder's love interest.</t>
        </is>
      </c>
      <c r="K10" s="19" t="inlineStr">
        <is>
          <t>Marco's beloved, who asked him to give up crime before marrying him. After his murder Kunta deceived and threatened her, and she died soon after, leaving a daughter, Mala.</t>
        </is>
      </c>
      <c r="L10" s="5" t="n"/>
      <c r="M10" s="5" t="inlineStr">
        <is>
          <t>SOURCE-005</t>
        </is>
      </c>
    </row>
    <row r="11" ht="49" customHeight="1">
      <c r="A11" s="15" t="inlineStr">
        <is>
          <t>CAST-010</t>
        </is>
      </c>
      <c r="B11" s="20" t="inlineStr">
        <is>
          <t>FILM-002</t>
        </is>
      </c>
      <c r="C11" s="5" t="inlineStr">
        <is>
          <t>Chamatkar</t>
        </is>
      </c>
      <c r="D11" s="17" t="n">
        <v>1992</v>
      </c>
      <c r="E11" s="5" t="inlineStr">
        <is>
          <t>Avinash Kharshikar</t>
        </is>
      </c>
      <c r="F11" s="5" t="inlineStr">
        <is>
          <t>Prem</t>
        </is>
      </c>
      <c r="G11" s="5" t="inlineStr">
        <is>
          <t>Friend</t>
        </is>
      </c>
      <c r="H11" s="5" t="inlineStr">
        <is>
          <t>Medium</t>
        </is>
      </c>
      <c r="I11" s="5" t="inlineStr">
        <is>
          <t>Sunder's childhood friend, who cheats him.</t>
        </is>
      </c>
      <c r="J11" s="5" t="inlineStr">
        <is>
          <t>Not applicable</t>
        </is>
      </c>
      <c r="K11" s="19" t="inlineStr">
        <is>
          <t>A conman in Mumbai who persuaded Sunder to hand over his money against a mortgage and fled to Dubai, leaving Sunder stranded in the city.</t>
        </is>
      </c>
      <c r="L11" s="5" t="n"/>
      <c r="M11" s="5" t="inlineStr">
        <is>
          <t>SOURCE-005</t>
        </is>
      </c>
    </row>
    <row r="12" ht="34" customHeight="1">
      <c r="A12" s="15" t="inlineStr">
        <is>
          <t>CAST-011</t>
        </is>
      </c>
      <c r="B12" s="20" t="inlineStr">
        <is>
          <t>FILM-003</t>
        </is>
      </c>
      <c r="C12" s="5" t="inlineStr">
        <is>
          <t>Raju Ban Gaya Gentleman</t>
        </is>
      </c>
      <c r="D12" s="17" t="n">
        <v>1992</v>
      </c>
      <c r="E12" s="5" t="inlineStr">
        <is>
          <t>Nana Patekar</t>
        </is>
      </c>
      <c r="F12" s="5" t="inlineStr">
        <is>
          <t>Jai</t>
        </is>
      </c>
      <c r="G12" s="5" t="inlineStr">
        <is>
          <t>Friend</t>
        </is>
      </c>
      <c r="H12" s="5" t="inlineStr">
        <is>
          <t>Major</t>
        </is>
      </c>
      <c r="I12" s="5" t="inlineStr">
        <is>
          <t>Street performer who gives Raju a home and friendship</t>
        </is>
      </c>
      <c r="J12" s="5" t="inlineStr">
        <is>
          <t>Predicts that Raju will turn back to Renu</t>
        </is>
      </c>
      <c r="K12" s="19" t="inlineStr">
        <is>
          <t>Philosophical street performer who meets Raju at a temple on his first night in Bombay.</t>
        </is>
      </c>
      <c r="L12" s="5" t="inlineStr">
        <is>
          <t>Filmfare Best Supporting Actor nomination</t>
        </is>
      </c>
      <c r="M12" s="5" t="inlineStr">
        <is>
          <t>SOURCE-006</t>
        </is>
      </c>
    </row>
    <row r="13" ht="34" customHeight="1">
      <c r="A13" s="15" t="inlineStr">
        <is>
          <t>CAST-012</t>
        </is>
      </c>
      <c r="B13" s="20" t="inlineStr">
        <is>
          <t>FILM-003</t>
        </is>
      </c>
      <c r="C13" s="5" t="inlineStr">
        <is>
          <t>Raju Ban Gaya Gentleman</t>
        </is>
      </c>
      <c r="D13" s="17" t="n">
        <v>1992</v>
      </c>
      <c r="E13" s="5" t="inlineStr">
        <is>
          <t>Navin Nischol</t>
        </is>
      </c>
      <c r="F13" s="5" t="inlineStr">
        <is>
          <t>Lalkishan Chhabria</t>
        </is>
      </c>
      <c r="G13" s="5" t="inlineStr">
        <is>
          <t>Authority figure</t>
        </is>
      </c>
      <c r="H13" s="5" t="inlineStr">
        <is>
          <t>Medium</t>
        </is>
      </c>
      <c r="I13" s="5" t="inlineStr">
        <is>
          <t>Head of the construction company where Raju trains</t>
        </is>
      </c>
      <c r="J13" s="5" t="inlineStr">
        <is>
          <t>Father of Sapna</t>
        </is>
      </c>
      <c r="K13" s="19" t="inlineStr">
        <is>
          <t>Construction-company owner whose daughter falls for Raju.</t>
        </is>
      </c>
      <c r="L13" s="5" t="n"/>
      <c r="M13" s="5" t="inlineStr">
        <is>
          <t>SOURCE-006</t>
        </is>
      </c>
    </row>
    <row r="14" ht="34" customHeight="1">
      <c r="A14" s="15" t="inlineStr">
        <is>
          <t>CAST-013</t>
        </is>
      </c>
      <c r="B14" s="20" t="inlineStr">
        <is>
          <t>FILM-004</t>
        </is>
      </c>
      <c r="C14" s="5" t="inlineStr">
        <is>
          <t>Dil Aashna Hai</t>
        </is>
      </c>
      <c r="D14" s="17" t="n">
        <v>1992</v>
      </c>
      <c r="E14" s="5" t="inlineStr">
        <is>
          <t>Dimple Kapadia</t>
        </is>
      </c>
      <c r="F14" s="5" t="inlineStr">
        <is>
          <t>Barkha</t>
        </is>
      </c>
      <c r="G14" s="5" t="inlineStr">
        <is>
          <t>Family</t>
        </is>
      </c>
      <c r="H14" s="5" t="inlineStr">
        <is>
          <t>Major</t>
        </is>
      </c>
      <c r="I14" s="5" t="inlineStr">
        <is>
          <t>Laila's birth mother, traced by Karan</t>
        </is>
      </c>
      <c r="J14" s="5" t="inlineStr">
        <is>
          <t>Not applicable</t>
        </is>
      </c>
      <c r="K14" s="19" t="inlineStr">
        <is>
          <t>College friend turned health and welfare minister who publicly confesses she is Sitara's mother and prepares to resign.</t>
        </is>
      </c>
      <c r="L14" s="5" t="n"/>
      <c r="M14" s="5" t="inlineStr">
        <is>
          <t>SOURCE-007</t>
        </is>
      </c>
    </row>
    <row r="15" ht="49" customHeight="1">
      <c r="A15" s="15" t="inlineStr">
        <is>
          <t>CAST-014</t>
        </is>
      </c>
      <c r="B15" s="20" t="inlineStr">
        <is>
          <t>FILM-004</t>
        </is>
      </c>
      <c r="C15" s="5" t="inlineStr">
        <is>
          <t>Dil Aashna Hai</t>
        </is>
      </c>
      <c r="D15" s="17" t="n">
        <v>1992</v>
      </c>
      <c r="E15" s="5" t="inlineStr">
        <is>
          <t>Kabir Bedi</t>
        </is>
      </c>
      <c r="F15" s="5" t="inlineStr">
        <is>
          <t>Rai Bahadur Digvijay Singh</t>
        </is>
      </c>
      <c r="G15" s="5" t="inlineStr">
        <is>
          <t>Antagonist</t>
        </is>
      </c>
      <c r="H15" s="5" t="inlineStr">
        <is>
          <t>Major</t>
        </is>
      </c>
      <c r="I15" s="5" t="inlineStr">
        <is>
          <t>Hotel owner whose thugs kidnap Laila</t>
        </is>
      </c>
      <c r="J15" s="5" t="inlineStr">
        <is>
          <t>Throws Laila out of his hotel and has her kidnapped</t>
        </is>
      </c>
      <c r="K15" s="19" t="inlineStr">
        <is>
          <t>Throws Laila out and, with Govardhan Das, has her and two of the women kidnapped, but finally shoots a goon about to kill Karan and accepts Sitara.</t>
        </is>
      </c>
      <c r="L15" s="5" t="n"/>
      <c r="M15" s="5" t="inlineStr">
        <is>
          <t>SOURCE-007</t>
        </is>
      </c>
    </row>
    <row r="16" ht="34" customHeight="1">
      <c r="A16" s="15" t="inlineStr">
        <is>
          <t>CAST-015</t>
        </is>
      </c>
      <c r="B16" s="20" t="inlineStr">
        <is>
          <t>FILM-004</t>
        </is>
      </c>
      <c r="C16" s="5" t="inlineStr">
        <is>
          <t>Dil Aashna Hai</t>
        </is>
      </c>
      <c r="D16" s="17" t="n">
        <v>1992</v>
      </c>
      <c r="E16" s="5" t="inlineStr">
        <is>
          <t>Jeetendra</t>
        </is>
      </c>
      <c r="F16" s="5" t="inlineStr">
        <is>
          <t>Prince Arjun Singh</t>
        </is>
      </c>
      <c r="G16" s="5" t="inlineStr">
        <is>
          <t>Supporting</t>
        </is>
      </c>
      <c r="H16" s="5" t="inlineStr">
        <is>
          <t>Medium</t>
        </is>
      </c>
      <c r="I16" s="5" t="inlineStr">
        <is>
          <t>Joins Karan in the final rescue</t>
        </is>
      </c>
      <c r="J16" s="5" t="inlineStr">
        <is>
          <t>Rescues Laila from a street gang</t>
        </is>
      </c>
      <c r="K16" s="19" t="inlineStr">
        <is>
          <t>Rajlaxmi's college boyfriend and husband, who takes Laila home after rescuing her.</t>
        </is>
      </c>
      <c r="L16" s="5" t="n"/>
      <c r="M16" s="5" t="inlineStr">
        <is>
          <t>SOURCE-007</t>
        </is>
      </c>
    </row>
    <row r="17" ht="34" customHeight="1">
      <c r="A17" s="15" t="inlineStr">
        <is>
          <t>CAST-016</t>
        </is>
      </c>
      <c r="B17" s="20" t="inlineStr">
        <is>
          <t>FILM-004</t>
        </is>
      </c>
      <c r="C17" s="5" t="inlineStr">
        <is>
          <t>Dil Aashna Hai</t>
        </is>
      </c>
      <c r="D17" s="17" t="n">
        <v>1992</v>
      </c>
      <c r="E17" s="5" t="inlineStr">
        <is>
          <t>Mithun Chakraborty</t>
        </is>
      </c>
      <c r="F17" s="5" t="inlineStr">
        <is>
          <t>Sunil</t>
        </is>
      </c>
      <c r="G17" s="5" t="inlineStr">
        <is>
          <t>Supporting</t>
        </is>
      </c>
      <c r="H17" s="5" t="inlineStr">
        <is>
          <t>Medium</t>
        </is>
      </c>
      <c r="I17" s="5" t="inlineStr">
        <is>
          <t>Arrives as a navy officer during Karan's rescue fight</t>
        </is>
      </c>
      <c r="J17" s="5" t="inlineStr">
        <is>
          <t>Not applicable</t>
        </is>
      </c>
      <c r="K17" s="19" t="inlineStr">
        <is>
          <t>Barkha's college boyfriend, who left for military training in the United States and reappears in the climax.</t>
        </is>
      </c>
      <c r="L17" s="5" t="n"/>
      <c r="M17" s="5" t="inlineStr">
        <is>
          <t>SOURCE-007</t>
        </is>
      </c>
    </row>
    <row r="18" ht="34" customHeight="1">
      <c r="A18" s="15" t="inlineStr">
        <is>
          <t>CAST-017</t>
        </is>
      </c>
      <c r="B18" s="20" t="inlineStr">
        <is>
          <t>FILM-004</t>
        </is>
      </c>
      <c r="C18" s="5" t="inlineStr">
        <is>
          <t>Dil Aashna Hai</t>
        </is>
      </c>
      <c r="D18" s="17" t="n">
        <v>1992</v>
      </c>
      <c r="E18" s="5" t="inlineStr">
        <is>
          <t>Amrita Singh</t>
        </is>
      </c>
      <c r="F18" s="5" t="inlineStr">
        <is>
          <t>Rajlaxmi Singh</t>
        </is>
      </c>
      <c r="G18" s="5" t="inlineStr">
        <is>
          <t>Supporting</t>
        </is>
      </c>
      <c r="H18" s="5" t="inlineStr">
        <is>
          <t>Medium</t>
        </is>
      </c>
      <c r="I18" s="5" t="inlineStr">
        <is>
          <t>One of the three women Karan traces</t>
        </is>
      </c>
      <c r="J18" s="5" t="inlineStr">
        <is>
          <t>Not applicable</t>
        </is>
      </c>
      <c r="K18" s="19" t="inlineStr">
        <is>
          <t>Polo-horse trainer married to Prince Arjun; she is kidnapped with Sitara and Salma.</t>
        </is>
      </c>
      <c r="L18" s="5" t="n"/>
      <c r="M18" s="5" t="inlineStr">
        <is>
          <t>SOURCE-007</t>
        </is>
      </c>
    </row>
    <row r="19" ht="64" customHeight="1">
      <c r="A19" s="15" t="inlineStr">
        <is>
          <t>CAST-018</t>
        </is>
      </c>
      <c r="B19" s="20" t="inlineStr">
        <is>
          <t>FILM-004</t>
        </is>
      </c>
      <c r="C19" s="5" t="inlineStr">
        <is>
          <t>Dil Aashna Hai</t>
        </is>
      </c>
      <c r="D19" s="17" t="n">
        <v>1992</v>
      </c>
      <c r="E19" s="5" t="inlineStr">
        <is>
          <t>Sonu Walia</t>
        </is>
      </c>
      <c r="F19" s="5" t="inlineStr">
        <is>
          <t>Salma Baig</t>
        </is>
      </c>
      <c r="G19" s="5" t="inlineStr">
        <is>
          <t>Supporting</t>
        </is>
      </c>
      <c r="H19" s="5" t="inlineStr">
        <is>
          <t>Medium</t>
        </is>
      </c>
      <c r="I19" s="5" t="inlineStr">
        <is>
          <t>One of the three women Karan traces in the search for Laila's mother.</t>
        </is>
      </c>
      <c r="J19" s="5" t="inlineStr">
        <is>
          <t>Her past bears on the identity of Laila, Karan's love interest.</t>
        </is>
      </c>
      <c r="K19" s="19" t="inlineStr">
        <is>
          <t>One of three college friends who left a baby girl with Razia; now married to Akram and principal of St. Teresa's college. She was the first of them to marry but was afraid to tell her in-laws about the child.</t>
        </is>
      </c>
      <c r="L19" s="5" t="n"/>
      <c r="M19" s="5" t="inlineStr">
        <is>
          <t>SOURCE-007</t>
        </is>
      </c>
    </row>
    <row r="20" ht="34" customHeight="1">
      <c r="A20" s="15" t="inlineStr">
        <is>
          <t>CAST-019</t>
        </is>
      </c>
      <c r="B20" s="20" t="inlineStr">
        <is>
          <t>FILM-004</t>
        </is>
      </c>
      <c r="C20" s="5" t="inlineStr">
        <is>
          <t>Dil Aashna Hai</t>
        </is>
      </c>
      <c r="D20" s="17" t="n">
        <v>1992</v>
      </c>
      <c r="E20" s="5" t="inlineStr">
        <is>
          <t>Farida Jalal</t>
        </is>
      </c>
      <c r="F20" s="5" t="inlineStr">
        <is>
          <t>Razia</t>
        </is>
      </c>
      <c r="G20" s="5" t="inlineStr">
        <is>
          <t>Supporting</t>
        </is>
      </c>
      <c r="H20" s="5" t="inlineStr">
        <is>
          <t>Medium</t>
        </is>
      </c>
      <c r="I20" s="5" t="inlineStr">
        <is>
          <t>Leads Karan and Laila to the story of Laila's birth.</t>
        </is>
      </c>
      <c r="J20" s="5" t="inlineStr">
        <is>
          <t>Her account drives the search that Karan undertakes with Laila.</t>
        </is>
      </c>
      <c r="K20" s="19" t="inlineStr">
        <is>
          <t>The woman with whom the three friends left the infant 18 years earlier; she reveals their story to Karan and Laila.</t>
        </is>
      </c>
      <c r="L20" s="5" t="n"/>
      <c r="M20" s="5" t="inlineStr">
        <is>
          <t>SOURCE-007</t>
        </is>
      </c>
    </row>
    <row r="21" ht="34" customHeight="1">
      <c r="A21" s="15" t="inlineStr">
        <is>
          <t>CAST-020</t>
        </is>
      </c>
      <c r="B21" s="20" t="inlineStr">
        <is>
          <t>FILM-005</t>
        </is>
      </c>
      <c r="C21" s="5" t="inlineStr">
        <is>
          <t>King Uncle</t>
        </is>
      </c>
      <c r="D21" s="17" t="n">
        <v>1993</v>
      </c>
      <c r="E21" s="5" t="inlineStr">
        <is>
          <t>Jackie Shroff</t>
        </is>
      </c>
      <c r="F21" s="5" t="inlineStr">
        <is>
          <t>Ashok Bansal (King Uncle)</t>
        </is>
      </c>
      <c r="G21" s="5" t="inlineStr">
        <is>
          <t>Co-lead</t>
        </is>
      </c>
      <c r="H21" s="5" t="inlineStr">
        <is>
          <t>Major</t>
        </is>
      </c>
      <c r="I21" s="5" t="inlineStr">
        <is>
          <t>Anil's tyrannical elder brother</t>
        </is>
      </c>
      <c r="J21" s="5" t="inlineStr">
        <is>
          <t>Opposes Anil's marriage to a poor girl</t>
        </is>
      </c>
      <c r="K21" s="19" t="inlineStr">
        <is>
          <t>Wealthy industrialist embittered by his mother's desertion who hates the poor, until the orphan Munna reforms him.</t>
        </is>
      </c>
      <c r="L21" s="5" t="inlineStr">
        <is>
          <t>Performance received critical acclaim</t>
        </is>
      </c>
      <c r="M21" s="5" t="inlineStr">
        <is>
          <t>SOURCE-008</t>
        </is>
      </c>
    </row>
    <row r="22" ht="49" customHeight="1">
      <c r="A22" s="15" t="inlineStr">
        <is>
          <t>CAST-021</t>
        </is>
      </c>
      <c r="B22" s="20" t="inlineStr">
        <is>
          <t>FILM-005</t>
        </is>
      </c>
      <c r="C22" s="5" t="inlineStr">
        <is>
          <t>King Uncle</t>
        </is>
      </c>
      <c r="D22" s="17" t="n">
        <v>1993</v>
      </c>
      <c r="E22" s="5" t="inlineStr">
        <is>
          <t>Pooja Ruparel</t>
        </is>
      </c>
      <c r="F22" s="5" t="inlineStr">
        <is>
          <t>Munna</t>
        </is>
      </c>
      <c r="G22" s="5" t="inlineStr">
        <is>
          <t>Co-lead</t>
        </is>
      </c>
      <c r="H22" s="5" t="inlineStr">
        <is>
          <t>Major</t>
        </is>
      </c>
      <c r="I22" s="5" t="inlineStr">
        <is>
          <t>Orphan whose influence reunites the Bansal family</t>
        </is>
      </c>
      <c r="J22" s="5" t="inlineStr">
        <is>
          <t>Not applicable</t>
        </is>
      </c>
      <c r="K22" s="19" t="inlineStr">
        <is>
          <t>Runaway orphan who wins Ashok's heart, exposes the warden's alcoholism and prompts Ashok to free his sister and adopt the orphans.</t>
        </is>
      </c>
      <c r="L22" s="5" t="inlineStr">
        <is>
          <t>Performance received critical acclaim</t>
        </is>
      </c>
      <c r="M22" s="5" t="inlineStr">
        <is>
          <t>SOURCE-008</t>
        </is>
      </c>
    </row>
    <row r="23" ht="34" customHeight="1">
      <c r="A23" s="15" t="inlineStr">
        <is>
          <t>CAST-022</t>
        </is>
      </c>
      <c r="B23" s="20" t="inlineStr">
        <is>
          <t>FILM-005</t>
        </is>
      </c>
      <c r="C23" s="5" t="inlineStr">
        <is>
          <t>King Uncle</t>
        </is>
      </c>
      <c r="D23" s="17" t="n">
        <v>1993</v>
      </c>
      <c r="E23" s="5" t="inlineStr">
        <is>
          <t>Paresh Rawal</t>
        </is>
      </c>
      <c r="F23" s="5" t="inlineStr">
        <is>
          <t>Pratap</t>
        </is>
      </c>
      <c r="G23" s="5" t="inlineStr">
        <is>
          <t>Antagonist</t>
        </is>
      </c>
      <c r="H23" s="5" t="inlineStr">
        <is>
          <t>Medium</t>
        </is>
      </c>
      <c r="I23" s="5" t="inlineStr">
        <is>
          <t>Criminal opposing the Bansals' adoption of Munna</t>
        </is>
      </c>
      <c r="J23" s="5" t="inlineStr">
        <is>
          <t>Not applicable</t>
        </is>
      </c>
      <c r="K23" s="19" t="inlineStr">
        <is>
          <t>The orphanage warden's criminal boyfriend, from whose clutches Ashok saves Munna.</t>
        </is>
      </c>
      <c r="L23" s="5" t="n"/>
      <c r="M23" s="5" t="inlineStr">
        <is>
          <t>SOURCE-008</t>
        </is>
      </c>
    </row>
    <row r="24" ht="34" customHeight="1">
      <c r="A24" s="15" t="inlineStr">
        <is>
          <t>CAST-023</t>
        </is>
      </c>
      <c r="B24" s="20" t="inlineStr">
        <is>
          <t>FILM-005</t>
        </is>
      </c>
      <c r="C24" s="5" t="inlineStr">
        <is>
          <t>King Uncle</t>
        </is>
      </c>
      <c r="D24" s="17" t="n">
        <v>1993</v>
      </c>
      <c r="E24" s="5" t="inlineStr">
        <is>
          <t>Nivedita Joshi</t>
        </is>
      </c>
      <c r="F24" s="5" t="inlineStr">
        <is>
          <t>Suneeta Bansal</t>
        </is>
      </c>
      <c r="G24" s="5" t="inlineStr">
        <is>
          <t>Family</t>
        </is>
      </c>
      <c r="H24" s="5" t="inlineStr">
        <is>
          <t>Medium</t>
        </is>
      </c>
      <c r="I24" s="5" t="inlineStr">
        <is>
          <t>Anil's sister</t>
        </is>
      </c>
      <c r="J24" s="5" t="inlineStr">
        <is>
          <t>Not applicable</t>
        </is>
      </c>
      <c r="K24" s="19" t="inlineStr">
        <is>
          <t>Married off by Ashok to the abusive Pradeep though she loves Kamal; Ashok later brings her home.</t>
        </is>
      </c>
      <c r="L24" s="5" t="n"/>
      <c r="M24" s="5" t="inlineStr">
        <is>
          <t>SOURCE-008</t>
        </is>
      </c>
    </row>
    <row r="25" ht="49" customHeight="1">
      <c r="A25" s="15" t="inlineStr">
        <is>
          <t>CAST-024</t>
        </is>
      </c>
      <c r="B25" s="20" t="inlineStr">
        <is>
          <t>FILM-005</t>
        </is>
      </c>
      <c r="C25" s="5" t="inlineStr">
        <is>
          <t>King Uncle</t>
        </is>
      </c>
      <c r="D25" s="17" t="n">
        <v>1993</v>
      </c>
      <c r="E25" s="5" t="inlineStr">
        <is>
          <t>Dalip Tahil</t>
        </is>
      </c>
      <c r="F25" s="5" t="inlineStr">
        <is>
          <t>Pradeep</t>
        </is>
      </c>
      <c r="G25" s="5" t="inlineStr">
        <is>
          <t>Antagonist</t>
        </is>
      </c>
      <c r="H25" s="5" t="inlineStr">
        <is>
          <t>Medium</t>
        </is>
      </c>
      <c r="I25" s="5" t="inlineStr">
        <is>
          <t>Brother-in-law of Anil through his marriage to Suneeta.</t>
        </is>
      </c>
      <c r="J25" s="5" t="inlineStr">
        <is>
          <t>Not applicable</t>
        </is>
      </c>
      <c r="K25" s="19" t="inlineStr">
        <is>
          <t>The man Ashok married Suneeta to, although she loved Kamal. He had an affair and abused Suneeta, until Ashok freed her from the marriage.</t>
        </is>
      </c>
      <c r="L25" s="5" t="n"/>
      <c r="M25" s="5" t="inlineStr">
        <is>
          <t>SOURCE-008</t>
        </is>
      </c>
    </row>
    <row r="26" ht="34" customHeight="1">
      <c r="A26" s="15" t="inlineStr">
        <is>
          <t>CAST-025</t>
        </is>
      </c>
      <c r="B26" s="20" t="inlineStr">
        <is>
          <t>FILM-005</t>
        </is>
      </c>
      <c r="C26" s="5" t="inlineStr">
        <is>
          <t>King Uncle</t>
        </is>
      </c>
      <c r="D26" s="17" t="n">
        <v>1993</v>
      </c>
      <c r="E26" s="5" t="inlineStr">
        <is>
          <t>Vivek Vaswani</t>
        </is>
      </c>
      <c r="F26" s="5" t="inlineStr">
        <is>
          <t>Kamal</t>
        </is>
      </c>
      <c r="G26" s="5" t="inlineStr">
        <is>
          <t>Supporting</t>
        </is>
      </c>
      <c r="H26" s="5" t="inlineStr">
        <is>
          <t>Minor</t>
        </is>
      </c>
      <c r="I26" s="5" t="inlineStr">
        <is>
          <t>The man his sister Suneeta loves.</t>
        </is>
      </c>
      <c r="J26" s="5" t="inlineStr">
        <is>
          <t>Not applicable</t>
        </is>
      </c>
      <c r="K26" s="19" t="inlineStr">
        <is>
          <t>Suneeta's love interest, set aside when Ashok arranged her marriage to Pradeep.</t>
        </is>
      </c>
      <c r="L26" s="5" t="n"/>
      <c r="M26" s="5" t="inlineStr">
        <is>
          <t>SOURCE-008</t>
        </is>
      </c>
    </row>
    <row r="27" ht="49" customHeight="1">
      <c r="A27" s="15" t="inlineStr">
        <is>
          <t>CAST-026</t>
        </is>
      </c>
      <c r="B27" s="20" t="inlineStr">
        <is>
          <t>FILM-005</t>
        </is>
      </c>
      <c r="C27" s="5" t="inlineStr">
        <is>
          <t>King Uncle</t>
        </is>
      </c>
      <c r="D27" s="17" t="n">
        <v>1993</v>
      </c>
      <c r="E27" s="5" t="inlineStr">
        <is>
          <t>Sushmita Mukherjee</t>
        </is>
      </c>
      <c r="F27" s="5" t="inlineStr">
        <is>
          <t>Shanti</t>
        </is>
      </c>
      <c r="G27" s="5" t="inlineStr">
        <is>
          <t>Antagonist</t>
        </is>
      </c>
      <c r="H27" s="5" t="inlineStr">
        <is>
          <t>Medium</t>
        </is>
      </c>
      <c r="I27" s="5" t="inlineStr">
        <is>
          <t>Not directly linked to Anil; she runs the orphanage Munna comes from.</t>
        </is>
      </c>
      <c r="J27" s="5" t="inlineStr">
        <is>
          <t>Not applicable</t>
        </is>
      </c>
      <c r="K27" s="19" t="inlineStr">
        <is>
          <t>Principal of Munna's orphanage. The plot describes the warden's alcoholism, exposed by Munna, and her criminal boyfriend, from whom Ashok saves Munna.</t>
        </is>
      </c>
      <c r="L27" s="5" t="n"/>
      <c r="M27" s="5" t="inlineStr">
        <is>
          <t>SOURCE-008</t>
        </is>
      </c>
    </row>
    <row r="28" ht="34" customHeight="1">
      <c r="A28" s="15" t="inlineStr">
        <is>
          <t>CAST-027</t>
        </is>
      </c>
      <c r="B28" s="20" t="inlineStr">
        <is>
          <t>FILM-006</t>
        </is>
      </c>
      <c r="C28" s="5" t="inlineStr">
        <is>
          <t>Maya Memsaab</t>
        </is>
      </c>
      <c r="D28" s="17" t="n">
        <v>1993</v>
      </c>
      <c r="E28" s="5" t="inlineStr">
        <is>
          <t>Farooq Shaikh</t>
        </is>
      </c>
      <c r="F28" s="5" t="inlineStr">
        <is>
          <t>Dr. Charu Das</t>
        </is>
      </c>
      <c r="G28" s="5" t="inlineStr">
        <is>
          <t>Co-lead</t>
        </is>
      </c>
      <c r="H28" s="5" t="inlineStr">
        <is>
          <t>Major</t>
        </is>
      </c>
      <c r="I28" s="5" t="inlineStr">
        <is>
          <t>Husband of Lalit's lover</t>
        </is>
      </c>
      <c r="J28" s="5" t="inlineStr">
        <is>
          <t>Maya's husband, absorbed in his patients</t>
        </is>
      </c>
      <c r="K28" s="19" t="inlineStr">
        <is>
          <t>Shimla doctor who marries Maya after treating her father and leaves her alone with her restlessness.</t>
        </is>
      </c>
      <c r="L28" s="5" t="n"/>
      <c r="M28" s="5" t="inlineStr">
        <is>
          <t>SOURCE-009</t>
        </is>
      </c>
    </row>
    <row r="29" ht="34" customHeight="1">
      <c r="A29" s="15" t="inlineStr">
        <is>
          <t>CAST-028</t>
        </is>
      </c>
      <c r="B29" s="20" t="inlineStr">
        <is>
          <t>FILM-006</t>
        </is>
      </c>
      <c r="C29" s="5" t="inlineStr">
        <is>
          <t>Maya Memsaab</t>
        </is>
      </c>
      <c r="D29" s="17" t="n">
        <v>1993</v>
      </c>
      <c r="E29" s="5" t="inlineStr">
        <is>
          <t>Raj Babbar</t>
        </is>
      </c>
      <c r="F29" s="5" t="inlineStr">
        <is>
          <t>Rudra Pratap Singh</t>
        </is>
      </c>
      <c r="G29" s="5" t="inlineStr">
        <is>
          <t>Romantic rival</t>
        </is>
      </c>
      <c r="H29" s="5" t="inlineStr">
        <is>
          <t>Major</t>
        </is>
      </c>
      <c r="I29" s="5" t="inlineStr">
        <is>
          <t>Maya's earlier lover</t>
        </is>
      </c>
      <c r="J29" s="5" t="inlineStr">
        <is>
          <t>His affair with Maya precedes Lalit's; both men desert her</t>
        </is>
      </c>
      <c r="K29" s="19" t="inlineStr">
        <is>
          <t>Young man whose affair with Maya is short-lived; he abandons her when she is ruined.</t>
        </is>
      </c>
      <c r="L29" s="5" t="n"/>
      <c r="M29" s="5" t="inlineStr">
        <is>
          <t>SOURCE-009</t>
        </is>
      </c>
    </row>
    <row r="30" ht="34" customHeight="1">
      <c r="A30" s="15" t="inlineStr">
        <is>
          <t>CAST-029</t>
        </is>
      </c>
      <c r="B30" s="20" t="inlineStr">
        <is>
          <t>FILM-006</t>
        </is>
      </c>
      <c r="C30" s="5" t="inlineStr">
        <is>
          <t>Maya Memsaab</t>
        </is>
      </c>
      <c r="D30" s="17" t="n">
        <v>1993</v>
      </c>
      <c r="E30" s="5" t="inlineStr">
        <is>
          <t>Paresh Rawal</t>
        </is>
      </c>
      <c r="F30" s="5" t="inlineStr">
        <is>
          <t>Lalaji</t>
        </is>
      </c>
      <c r="G30" s="5" t="inlineStr">
        <is>
          <t>Antagonist</t>
        </is>
      </c>
      <c r="H30" s="5" t="inlineStr">
        <is>
          <t>Medium</t>
        </is>
      </c>
      <c r="I30" s="5" t="inlineStr">
        <is>
          <t>Moneylender who precipitates Maya's ruin</t>
        </is>
      </c>
      <c r="J30" s="5" t="inlineStr">
        <is>
          <t>His seizure of the house ends Maya's affairs</t>
        </is>
      </c>
      <c r="K30" s="19" t="inlineStr">
        <is>
          <t>Lends Maya money against her house and returns with a court order to take possession.</t>
        </is>
      </c>
      <c r="L30" s="5" t="n"/>
      <c r="M30" s="5" t="inlineStr">
        <is>
          <t>SOURCE-009</t>
        </is>
      </c>
    </row>
    <row r="31" ht="34" customHeight="1">
      <c r="A31" s="15" t="inlineStr">
        <is>
          <t>CAST-030</t>
        </is>
      </c>
      <c r="B31" s="20" t="inlineStr">
        <is>
          <t>FILM-006</t>
        </is>
      </c>
      <c r="C31" s="5" t="inlineStr">
        <is>
          <t>Maya Memsaab</t>
        </is>
      </c>
      <c r="D31" s="17" t="n">
        <v>1993</v>
      </c>
      <c r="E31" s="5" t="inlineStr">
        <is>
          <t>Shreeram Lagoo</t>
        </is>
      </c>
      <c r="F31" s="5" t="inlineStr">
        <is>
          <t>Maya's father</t>
        </is>
      </c>
      <c r="G31" s="5" t="inlineStr">
        <is>
          <t>Family</t>
        </is>
      </c>
      <c r="H31" s="5" t="inlineStr">
        <is>
          <t>Minor</t>
        </is>
      </c>
      <c r="I31" s="5" t="inlineStr">
        <is>
          <t>Father of Maya, Lalit's lover.</t>
        </is>
      </c>
      <c r="J31" s="5" t="inlineStr">
        <is>
          <t>His illness brings Dr. Charu into Maya's life, before her later affairs.</t>
        </is>
      </c>
      <c r="K31" s="19" t="inlineStr">
        <is>
          <t>Maya's father, whose stroke led her to call Dr. Charu Das, whom she later married.</t>
        </is>
      </c>
      <c r="L31" s="5" t="n"/>
      <c r="M31" s="5" t="inlineStr">
        <is>
          <t>SOURCE-009</t>
        </is>
      </c>
    </row>
    <row r="32" ht="49" customHeight="1">
      <c r="A32" s="15" t="inlineStr">
        <is>
          <t>CAST-031</t>
        </is>
      </c>
      <c r="B32" s="20" t="inlineStr">
        <is>
          <t>FILM-006</t>
        </is>
      </c>
      <c r="C32" s="5" t="inlineStr">
        <is>
          <t>Maya Memsaab</t>
        </is>
      </c>
      <c r="D32" s="17" t="n">
        <v>1993</v>
      </c>
      <c r="E32" s="5" t="inlineStr">
        <is>
          <t>Om Puri</t>
        </is>
      </c>
      <c r="F32" s="5" t="inlineStr">
        <is>
          <t>Detective</t>
        </is>
      </c>
      <c r="G32" s="5" t="inlineStr">
        <is>
          <t>Authority figure</t>
        </is>
      </c>
      <c r="H32" s="5" t="inlineStr">
        <is>
          <t>Medium</t>
        </is>
      </c>
      <c r="I32" s="5" t="inlineStr">
        <is>
          <t>One of the investigators examining the death of Maya, Lalit's former lover.</t>
        </is>
      </c>
      <c r="J32" s="5" t="inlineStr">
        <is>
          <t>Investigates the fate of Maya after her affairs, including the one with Lalit.</t>
        </is>
      </c>
      <c r="K32" s="19" t="inlineStr">
        <is>
          <t>One of the two investigators left to probe who or what killed Maya after her disappearance.</t>
        </is>
      </c>
      <c r="L32" s="5" t="n"/>
      <c r="M32" s="5" t="inlineStr">
        <is>
          <t>SOURCE-009</t>
        </is>
      </c>
    </row>
    <row r="33" ht="49" customHeight="1">
      <c r="A33" s="15" t="inlineStr">
        <is>
          <t>CAST-032</t>
        </is>
      </c>
      <c r="B33" s="20" t="inlineStr">
        <is>
          <t>FILM-006</t>
        </is>
      </c>
      <c r="C33" s="5" t="inlineStr">
        <is>
          <t>Maya Memsaab</t>
        </is>
      </c>
      <c r="D33" s="17" t="n">
        <v>1993</v>
      </c>
      <c r="E33" s="5" t="inlineStr">
        <is>
          <t>Shrivallabh Vyas</t>
        </is>
      </c>
      <c r="F33" s="5" t="inlineStr">
        <is>
          <t>Detective</t>
        </is>
      </c>
      <c r="G33" s="5" t="inlineStr">
        <is>
          <t>Authority figure</t>
        </is>
      </c>
      <c r="H33" s="5" t="inlineStr">
        <is>
          <t>Medium</t>
        </is>
      </c>
      <c r="I33" s="5" t="inlineStr">
        <is>
          <t>One of the investigators examining the death of Maya, Lalit's former lover.</t>
        </is>
      </c>
      <c r="J33" s="5" t="inlineStr">
        <is>
          <t>Investigates the fate of Maya after her affairs, including the one with Lalit.</t>
        </is>
      </c>
      <c r="K33" s="19" t="inlineStr">
        <is>
          <t>The second of the two investigators probing Maya's disappearance.</t>
        </is>
      </c>
      <c r="L33" s="5" t="n"/>
      <c r="M33" s="5" t="inlineStr">
        <is>
          <t>SOURCE-009</t>
        </is>
      </c>
    </row>
    <row r="34" ht="34" customHeight="1">
      <c r="A34" s="15" t="inlineStr">
        <is>
          <t>CAST-033</t>
        </is>
      </c>
      <c r="B34" s="20" t="inlineStr">
        <is>
          <t>FILM-007</t>
        </is>
      </c>
      <c r="C34" s="5" t="inlineStr">
        <is>
          <t>Pehla Nasha</t>
        </is>
      </c>
      <c r="D34" s="17" t="n">
        <v>1993</v>
      </c>
      <c r="E34" s="5" t="inlineStr">
        <is>
          <t>Deepak Tijori</t>
        </is>
      </c>
      <c r="F34" s="5" t="inlineStr">
        <is>
          <t>Deepak Bakshi</t>
        </is>
      </c>
      <c r="G34" s="5" t="inlineStr">
        <is>
          <t>Co-lead</t>
        </is>
      </c>
      <c r="H34" s="5" t="inlineStr">
        <is>
          <t>Major</t>
        </is>
      </c>
      <c r="I34" s="5" t="inlineStr">
        <is>
          <t>Lead of the film in which Khan appears as himself</t>
        </is>
      </c>
      <c r="J34" s="5" t="inlineStr">
        <is>
          <t>Not applicable</t>
        </is>
      </c>
      <c r="K34" s="19" t="inlineStr">
        <is>
          <t>Struggling, claustrophobic actor who spies on a neighbour, becomes a murder suspect and unmasks the killer.</t>
        </is>
      </c>
      <c r="L34" s="5" t="n"/>
      <c r="M34" s="5" t="inlineStr">
        <is>
          <t>SOURCE-010</t>
        </is>
      </c>
    </row>
    <row r="35" ht="34" customHeight="1">
      <c r="A35" s="15" t="inlineStr">
        <is>
          <t>CAST-034</t>
        </is>
      </c>
      <c r="B35" s="20" t="inlineStr">
        <is>
          <t>FILM-007</t>
        </is>
      </c>
      <c r="C35" s="5" t="inlineStr">
        <is>
          <t>Pehla Nasha</t>
        </is>
      </c>
      <c r="D35" s="17" t="n">
        <v>1993</v>
      </c>
      <c r="E35" s="5" t="inlineStr">
        <is>
          <t>Aamir Khan</t>
        </is>
      </c>
      <c r="F35" s="5" t="inlineStr">
        <is>
          <t>Himself</t>
        </is>
      </c>
      <c r="G35" s="5" t="inlineStr">
        <is>
          <t>Self appearance</t>
        </is>
      </c>
      <c r="H35" s="5" t="inlineStr">
        <is>
          <t>Minor</t>
        </is>
      </c>
      <c r="I35" s="5" t="inlineStr">
        <is>
          <t>Fellow star in the cameo appearances</t>
        </is>
      </c>
      <c r="J35" s="5" t="inlineStr">
        <is>
          <t>Not applicable</t>
        </is>
      </c>
      <c r="K35" s="19" t="inlineStr">
        <is>
          <t>Appears as himself; the film is the only one to put Aamir, Shah Rukh and Saif Ali Khan in one scene.</t>
        </is>
      </c>
      <c r="L35" s="5" t="n"/>
      <c r="M35" s="5" t="inlineStr">
        <is>
          <t>SOURCE-010</t>
        </is>
      </c>
    </row>
    <row r="36" ht="34" customHeight="1">
      <c r="A36" s="15" t="inlineStr">
        <is>
          <t>CAST-035</t>
        </is>
      </c>
      <c r="B36" s="20" t="inlineStr">
        <is>
          <t>FILM-007</t>
        </is>
      </c>
      <c r="C36" s="5" t="inlineStr">
        <is>
          <t>Pehla Nasha</t>
        </is>
      </c>
      <c r="D36" s="17" t="n">
        <v>1993</v>
      </c>
      <c r="E36" s="5" t="inlineStr">
        <is>
          <t>Saif Ali Khan</t>
        </is>
      </c>
      <c r="F36" s="5" t="inlineStr">
        <is>
          <t>Himself</t>
        </is>
      </c>
      <c r="G36" s="5" t="inlineStr">
        <is>
          <t>Self appearance</t>
        </is>
      </c>
      <c r="H36" s="5" t="inlineStr">
        <is>
          <t>Minor</t>
        </is>
      </c>
      <c r="I36" s="5" t="inlineStr">
        <is>
          <t>Fellow star in the cameo appearances</t>
        </is>
      </c>
      <c r="J36" s="5" t="inlineStr">
        <is>
          <t>Not applicable</t>
        </is>
      </c>
      <c r="K36" s="19" t="inlineStr">
        <is>
          <t>Appears as himself in the same scene as Aamir Khan and Shah Rukh Khan.</t>
        </is>
      </c>
      <c r="L36" s="5" t="n"/>
      <c r="M36" s="5" t="inlineStr">
        <is>
          <t>SOURCE-010</t>
        </is>
      </c>
    </row>
    <row r="37" ht="49" customHeight="1">
      <c r="A37" s="15" t="inlineStr">
        <is>
          <t>CAST-036</t>
        </is>
      </c>
      <c r="B37" s="20" t="inlineStr">
        <is>
          <t>FILM-007</t>
        </is>
      </c>
      <c r="C37" s="5" t="inlineStr">
        <is>
          <t>Pehla Nasha</t>
        </is>
      </c>
      <c r="D37" s="17" t="n">
        <v>1993</v>
      </c>
      <c r="E37" s="5" t="inlineStr">
        <is>
          <t>Pooja Bhatt</t>
        </is>
      </c>
      <c r="F37" s="5" t="inlineStr">
        <is>
          <t>Monica</t>
        </is>
      </c>
      <c r="G37" s="5" t="inlineStr">
        <is>
          <t>Co-lead</t>
        </is>
      </c>
      <c r="H37" s="5" t="inlineStr">
        <is>
          <t>Major</t>
        </is>
      </c>
      <c r="I37" s="5" t="inlineStr">
        <is>
          <t>One of the film's leads; Shah Rukh Khan appears only as himself and is not linked to her character.</t>
        </is>
      </c>
      <c r="J37" s="5" t="inlineStr">
        <is>
          <t>Not applicable</t>
        </is>
      </c>
      <c r="K37" s="19" t="inlineStr">
        <is>
          <t>Listed among the film's starring cast alongside Deepak Tijori and Raveena Tandon.</t>
        </is>
      </c>
      <c r="L37" s="5" t="n"/>
      <c r="M37" s="5" t="inlineStr">
        <is>
          <t>SOURCE-010</t>
        </is>
      </c>
    </row>
    <row r="38" ht="49" customHeight="1">
      <c r="A38" s="15" t="inlineStr">
        <is>
          <t>CAST-037</t>
        </is>
      </c>
      <c r="B38" s="20" t="inlineStr">
        <is>
          <t>FILM-007</t>
        </is>
      </c>
      <c r="C38" s="5" t="inlineStr">
        <is>
          <t>Pehla Nasha</t>
        </is>
      </c>
      <c r="D38" s="17" t="n">
        <v>1993</v>
      </c>
      <c r="E38" s="5" t="inlineStr">
        <is>
          <t>Raveena Tandon</t>
        </is>
      </c>
      <c r="F38" s="5" t="inlineStr">
        <is>
          <t>Mrs. Avantika Bajaj</t>
        </is>
      </c>
      <c r="G38" s="5" t="inlineStr">
        <is>
          <t>Co-lead</t>
        </is>
      </c>
      <c r="H38" s="5" t="inlineStr">
        <is>
          <t>Major</t>
        </is>
      </c>
      <c r="I38" s="5" t="inlineStr">
        <is>
          <t>One of the film's leads; Shah Rukh Khan appears only as himself and is not linked to her character.</t>
        </is>
      </c>
      <c r="J38" s="5" t="inlineStr">
        <is>
          <t>Not applicable</t>
        </is>
      </c>
      <c r="K38" s="19" t="inlineStr">
        <is>
          <t>Listed among the film's starring cast alongside Deepak Tijori and Pooja Bhatt.</t>
        </is>
      </c>
      <c r="L38" s="5" t="n"/>
      <c r="M38" s="5" t="inlineStr">
        <is>
          <t>SOURCE-010</t>
        </is>
      </c>
    </row>
    <row r="39" ht="49" customHeight="1">
      <c r="A39" s="15" t="inlineStr">
        <is>
          <t>CAST-038</t>
        </is>
      </c>
      <c r="B39" s="20" t="inlineStr">
        <is>
          <t>FILM-008</t>
        </is>
      </c>
      <c r="C39" s="5" t="inlineStr">
        <is>
          <t>Baazigar</t>
        </is>
      </c>
      <c r="D39" s="17" t="n">
        <v>1993</v>
      </c>
      <c r="E39" s="5" t="inlineStr">
        <is>
          <t>Dalip Tahil</t>
        </is>
      </c>
      <c r="F39" s="5" t="inlineStr">
        <is>
          <t>Madan Chopra</t>
        </is>
      </c>
      <c r="G39" s="5" t="inlineStr">
        <is>
          <t>Antagonist</t>
        </is>
      </c>
      <c r="H39" s="5" t="inlineStr">
        <is>
          <t>Major</t>
        </is>
      </c>
      <c r="I39" s="5" t="inlineStr">
        <is>
          <t>Swindled Ajay's father; target of his revenge</t>
        </is>
      </c>
      <c r="J39" s="5" t="inlineStr">
        <is>
          <t>Father of Seema and Priya; arranges Priya's engagement to 'Vicky'</t>
        </is>
      </c>
      <c r="K39" s="19" t="inlineStr">
        <is>
          <t>Embezzling employee who seized the Sharma business through a power of attorney; he fatally wounds Ajay and is killed by him.</t>
        </is>
      </c>
      <c r="L39" s="5" t="n"/>
      <c r="M39" s="5" t="inlineStr">
        <is>
          <t>SOURCE-011</t>
        </is>
      </c>
    </row>
    <row r="40" ht="49" customHeight="1">
      <c r="A40" s="15" t="inlineStr">
        <is>
          <t>CAST-039</t>
        </is>
      </c>
      <c r="B40" s="20" t="inlineStr">
        <is>
          <t>FILM-008</t>
        </is>
      </c>
      <c r="C40" s="5" t="inlineStr">
        <is>
          <t>Baazigar</t>
        </is>
      </c>
      <c r="D40" s="17" t="n">
        <v>1993</v>
      </c>
      <c r="E40" s="5" t="inlineStr">
        <is>
          <t>Raakhee Gulzar</t>
        </is>
      </c>
      <c r="F40" s="5" t="inlineStr">
        <is>
          <t>Shobha Sharma</t>
        </is>
      </c>
      <c r="G40" s="5" t="inlineStr">
        <is>
          <t>Family</t>
        </is>
      </c>
      <c r="H40" s="5" t="inlineStr">
        <is>
          <t>Major</t>
        </is>
      </c>
      <c r="I40" s="5" t="inlineStr">
        <is>
          <t>Ajay's mother</t>
        </is>
      </c>
      <c r="J40" s="5" t="inlineStr">
        <is>
          <t>Not applicable</t>
        </is>
      </c>
      <c r="K40" s="19" t="inlineStr">
        <is>
          <t>Driven insane by her family's ruin, she regains her sanity on hearing Chopra's voice, and Ajay dies in her arms. Credited as a special appearance.</t>
        </is>
      </c>
      <c r="L40" s="5" t="n"/>
      <c r="M40" s="5" t="inlineStr">
        <is>
          <t>SOURCE-011</t>
        </is>
      </c>
    </row>
    <row r="41" ht="34" customHeight="1">
      <c r="A41" s="15" t="inlineStr">
        <is>
          <t>CAST-040</t>
        </is>
      </c>
      <c r="B41" s="20" t="inlineStr">
        <is>
          <t>FILM-008</t>
        </is>
      </c>
      <c r="C41" s="5" t="inlineStr">
        <is>
          <t>Baazigar</t>
        </is>
      </c>
      <c r="D41" s="17" t="n">
        <v>1993</v>
      </c>
      <c r="E41" s="5" t="inlineStr">
        <is>
          <t>Siddharth Ray</t>
        </is>
      </c>
      <c r="F41" s="5" t="inlineStr">
        <is>
          <t>Inspector Karan Saxena</t>
        </is>
      </c>
      <c r="G41" s="5" t="inlineStr">
        <is>
          <t>Authority figure</t>
        </is>
      </c>
      <c r="H41" s="5" t="inlineStr">
        <is>
          <t>Medium</t>
        </is>
      </c>
      <c r="I41" s="5" t="inlineStr">
        <is>
          <t>Police officer investigating Ajay's murders</t>
        </is>
      </c>
      <c r="J41" s="5" t="inlineStr">
        <is>
          <t>Priya's college friend and ally in exposing Ajay</t>
        </is>
      </c>
      <c r="K41" s="19" t="inlineStr">
        <is>
          <t>Helps Priya investigate Seema's death and reports Anjali's disappearance.</t>
        </is>
      </c>
      <c r="L41" s="5" t="n"/>
      <c r="M41" s="5" t="inlineStr">
        <is>
          <t>SOURCE-011</t>
        </is>
      </c>
    </row>
    <row r="42" ht="34" customHeight="1">
      <c r="A42" s="15" t="inlineStr">
        <is>
          <t>CAST-041</t>
        </is>
      </c>
      <c r="B42" s="20" t="inlineStr">
        <is>
          <t>FILM-008</t>
        </is>
      </c>
      <c r="C42" s="5" t="inlineStr">
        <is>
          <t>Baazigar</t>
        </is>
      </c>
      <c r="D42" s="17" t="n">
        <v>1993</v>
      </c>
      <c r="E42" s="5" t="inlineStr">
        <is>
          <t>Anant Mahadevan</t>
        </is>
      </c>
      <c r="F42" s="5" t="inlineStr">
        <is>
          <t>Vishwanath Sharma</t>
        </is>
      </c>
      <c r="G42" s="5" t="inlineStr">
        <is>
          <t>Family</t>
        </is>
      </c>
      <c r="H42" s="5" t="inlineStr">
        <is>
          <t>Medium</t>
        </is>
      </c>
      <c r="I42" s="5" t="inlineStr">
        <is>
          <t>Ajay's father</t>
        </is>
      </c>
      <c r="J42" s="5" t="inlineStr">
        <is>
          <t>Not applicable</t>
        </is>
      </c>
      <c r="K42" s="19" t="inlineStr">
        <is>
          <t>Businessman who trusts the embezzler Chopra, loses his company and dies of a heart attack.</t>
        </is>
      </c>
      <c r="L42" s="5" t="n"/>
      <c r="M42" s="5" t="inlineStr">
        <is>
          <t>SOURCE-011</t>
        </is>
      </c>
    </row>
    <row r="43" ht="49" customHeight="1">
      <c r="A43" s="15" t="inlineStr">
        <is>
          <t>CAST-042</t>
        </is>
      </c>
      <c r="B43" s="20" t="inlineStr">
        <is>
          <t>FILM-008</t>
        </is>
      </c>
      <c r="C43" s="5" t="inlineStr">
        <is>
          <t>Baazigar</t>
        </is>
      </c>
      <c r="D43" s="17" t="n">
        <v>1993</v>
      </c>
      <c r="E43" s="5" t="inlineStr">
        <is>
          <t>Johnny Lever</t>
        </is>
      </c>
      <c r="F43" s="5" t="inlineStr">
        <is>
          <t>Babulal</t>
        </is>
      </c>
      <c r="G43" s="5" t="inlineStr">
        <is>
          <t>Comic support</t>
        </is>
      </c>
      <c r="H43" s="5" t="inlineStr">
        <is>
          <t>Medium</t>
        </is>
      </c>
      <c r="I43" s="5" t="inlineStr">
        <is>
          <t>A comic supporting character in Ajay's story; the plot summary does not describe him.</t>
        </is>
      </c>
      <c r="J43" s="5" t="inlineStr">
        <is>
          <t>Not applicable</t>
        </is>
      </c>
      <c r="K43" s="19" t="inlineStr">
        <is>
          <t>Comic role credited in the cast list; the plot summary does not describe the character.</t>
        </is>
      </c>
      <c r="L43" s="5" t="inlineStr">
        <is>
          <t>Filmfare Award for Best Comedian nomination</t>
        </is>
      </c>
      <c r="M43" s="5" t="inlineStr">
        <is>
          <t>SOURCE-011</t>
        </is>
      </c>
    </row>
    <row r="44" ht="49" customHeight="1">
      <c r="A44" s="15" t="inlineStr">
        <is>
          <t>CAST-043</t>
        </is>
      </c>
      <c r="B44" s="20" t="inlineStr">
        <is>
          <t>FILM-008</t>
        </is>
      </c>
      <c r="C44" s="5" t="inlineStr">
        <is>
          <t>Baazigar</t>
        </is>
      </c>
      <c r="D44" s="17" t="n">
        <v>1993</v>
      </c>
      <c r="E44" s="5" t="inlineStr">
        <is>
          <t>Daboo Malik</t>
        </is>
      </c>
      <c r="F44" s="5" t="inlineStr">
        <is>
          <t>Ravi Shukla</t>
        </is>
      </c>
      <c r="G44" s="5" t="inlineStr">
        <is>
          <t>Supporting</t>
        </is>
      </c>
      <c r="H44" s="5" t="inlineStr">
        <is>
          <t>Medium</t>
        </is>
      </c>
      <c r="I44" s="5" t="inlineStr">
        <is>
          <t>A witness Ajay kills to protect his false identity.</t>
        </is>
      </c>
      <c r="J44" s="5" t="inlineStr">
        <is>
          <t>Holds a photograph of Seema with Ajay, a threat to Ajay's deception of Priya.</t>
        </is>
      </c>
      <c r="K44" s="19" t="inlineStr">
        <is>
          <t>Seema's friend who told Priya he had photographed Seema and Ajay together. Ajay forced him to write a suicide note framing himself for Seema's murder and hanged him.</t>
        </is>
      </c>
      <c r="L44" s="5" t="n"/>
      <c r="M44" s="5" t="inlineStr">
        <is>
          <t>SOURCE-011</t>
        </is>
      </c>
    </row>
    <row r="45" ht="49" customHeight="1">
      <c r="A45" s="15" t="inlineStr">
        <is>
          <t>CAST-044</t>
        </is>
      </c>
      <c r="B45" s="20" t="inlineStr">
        <is>
          <t>FILM-008</t>
        </is>
      </c>
      <c r="C45" s="5" t="inlineStr">
        <is>
          <t>Baazigar</t>
        </is>
      </c>
      <c r="D45" s="17" t="n">
        <v>1993</v>
      </c>
      <c r="E45" s="5" t="inlineStr">
        <is>
          <t>Resham Tipnis</t>
        </is>
      </c>
      <c r="F45" s="5" t="inlineStr">
        <is>
          <t>Anjali Sinha</t>
        </is>
      </c>
      <c r="G45" s="5" t="inlineStr">
        <is>
          <t>Supporting</t>
        </is>
      </c>
      <c r="H45" s="5" t="inlineStr">
        <is>
          <t>Medium</t>
        </is>
      </c>
      <c r="I45" s="5" t="inlineStr">
        <is>
          <t>A witness Ajay kills to protect his false identity.</t>
        </is>
      </c>
      <c r="J45" s="5" t="inlineStr">
        <is>
          <t>Her phone call during Priya and Vicky's engagement threatens to expose Ajay.</t>
        </is>
      </c>
      <c r="K45" s="19" t="inlineStr">
        <is>
          <t>Seema's college friend, who had seen Seema with a man resembling Ajay and had a photograph of them. Ajay killed her at her hotel and disposed of her body in a river.</t>
        </is>
      </c>
      <c r="L45" s="5" t="n"/>
      <c r="M45" s="5" t="inlineStr">
        <is>
          <t>SOURCE-011</t>
        </is>
      </c>
    </row>
    <row r="46" ht="49" customHeight="1">
      <c r="A46" s="15" t="inlineStr">
        <is>
          <t>CAST-045</t>
        </is>
      </c>
      <c r="B46" s="20" t="inlineStr">
        <is>
          <t>FILM-009</t>
        </is>
      </c>
      <c r="C46" s="5" t="inlineStr">
        <is>
          <t>Darr</t>
        </is>
      </c>
      <c r="D46" s="17" t="n">
        <v>1993</v>
      </c>
      <c r="E46" s="5" t="inlineStr">
        <is>
          <t>Sunny Deol</t>
        </is>
      </c>
      <c r="F46" s="5" t="inlineStr">
        <is>
          <t>Lt. Sunil Malhotra</t>
        </is>
      </c>
      <c r="G46" s="5" t="inlineStr">
        <is>
          <t>Co-lead</t>
        </is>
      </c>
      <c r="H46" s="5" t="inlineStr">
        <is>
          <t>Major</t>
        </is>
      </c>
      <c r="I46" s="5" t="inlineStr">
        <is>
          <t>Rahul's rival, whom Rahul befriends and tries to kill</t>
        </is>
      </c>
      <c r="J46" s="5" t="inlineStr">
        <is>
          <t>Kiran's fiancé and husband; shoots Rahul</t>
        </is>
      </c>
      <c r="K46" s="19" t="inlineStr">
        <is>
          <t>Marine commando in the Indian Navy who marries Kiran, takes her to Switzerland to evade the stalker and survives Rahul's stabbing.</t>
        </is>
      </c>
      <c r="L46" s="5" t="n"/>
      <c r="M46" s="5" t="inlineStr">
        <is>
          <t>SOURCE-012</t>
        </is>
      </c>
    </row>
    <row r="47" ht="34" customHeight="1">
      <c r="A47" s="15" t="inlineStr">
        <is>
          <t>CAST-046</t>
        </is>
      </c>
      <c r="B47" s="20" t="inlineStr">
        <is>
          <t>FILM-009</t>
        </is>
      </c>
      <c r="C47" s="5" t="inlineStr">
        <is>
          <t>Darr</t>
        </is>
      </c>
      <c r="D47" s="17" t="n">
        <v>1993</v>
      </c>
      <c r="E47" s="5" t="inlineStr">
        <is>
          <t>Anupam Kher</t>
        </is>
      </c>
      <c r="F47" s="5" t="inlineStr">
        <is>
          <t>Vijay Awasthi</t>
        </is>
      </c>
      <c r="G47" s="5" t="inlineStr">
        <is>
          <t>Family</t>
        </is>
      </c>
      <c r="H47" s="5" t="inlineStr">
        <is>
          <t>Medium</t>
        </is>
      </c>
      <c r="I47" s="5" t="inlineStr">
        <is>
          <t>Kiran's brother, whom Rahul visits to learn her whereabouts</t>
        </is>
      </c>
      <c r="J47" s="5" t="inlineStr">
        <is>
          <t>Arranges Kiran's engagement to Sunil and later alerts Sunil</t>
        </is>
      </c>
      <c r="K47" s="19" t="inlineStr">
        <is>
          <t>Kiran's elder brother, whose call reveals that Rahul had been visiting him.</t>
        </is>
      </c>
      <c r="L47" s="5" t="inlineStr">
        <is>
          <t>Won the Filmfare Award for Best Comedian</t>
        </is>
      </c>
      <c r="M47" s="5" t="inlineStr">
        <is>
          <t>SOURCE-012</t>
        </is>
      </c>
    </row>
    <row r="48" ht="34" customHeight="1">
      <c r="A48" s="15" t="inlineStr">
        <is>
          <t>CAST-047</t>
        </is>
      </c>
      <c r="B48" s="20" t="inlineStr">
        <is>
          <t>FILM-009</t>
        </is>
      </c>
      <c r="C48" s="5" t="inlineStr">
        <is>
          <t>Darr</t>
        </is>
      </c>
      <c r="D48" s="17" t="n">
        <v>1993</v>
      </c>
      <c r="E48" s="5" t="inlineStr">
        <is>
          <t>Tanvi Azmi</t>
        </is>
      </c>
      <c r="F48" s="5" t="inlineStr">
        <is>
          <t>Poonam Awasthi</t>
        </is>
      </c>
      <c r="G48" s="5" t="inlineStr">
        <is>
          <t>Family</t>
        </is>
      </c>
      <c r="H48" s="5" t="inlineStr">
        <is>
          <t>Minor</t>
        </is>
      </c>
      <c r="I48" s="5" t="inlineStr">
        <is>
          <t>Kiran's sister-in-law</t>
        </is>
      </c>
      <c r="J48" s="5" t="inlineStr">
        <is>
          <t>Helps arrange the engagement</t>
        </is>
      </c>
      <c r="K48" s="19" t="inlineStr">
        <is>
          <t>Vijay's wife, who hopes the engagement will end the stalking.</t>
        </is>
      </c>
      <c r="L48" s="5" t="n"/>
      <c r="M48" s="5" t="inlineStr">
        <is>
          <t>SOURCE-012</t>
        </is>
      </c>
    </row>
    <row r="49" ht="19" customHeight="1">
      <c r="A49" s="15" t="inlineStr">
        <is>
          <t>CAST-048</t>
        </is>
      </c>
      <c r="B49" s="20" t="inlineStr">
        <is>
          <t>FILM-009</t>
        </is>
      </c>
      <c r="C49" s="5" t="inlineStr">
        <is>
          <t>Darr</t>
        </is>
      </c>
      <c r="D49" s="17" t="n">
        <v>1993</v>
      </c>
      <c r="E49" s="5" t="inlineStr">
        <is>
          <t>Dalip Tahil</t>
        </is>
      </c>
      <c r="F49" s="5" t="inlineStr">
        <is>
          <t>Captain Avinash Mehra</t>
        </is>
      </c>
      <c r="G49" s="5" t="inlineStr">
        <is>
          <t>Family</t>
        </is>
      </c>
      <c r="H49" s="5" t="inlineStr">
        <is>
          <t>Minor</t>
        </is>
      </c>
      <c r="I49" s="5" t="inlineStr">
        <is>
          <t>Rahul's father</t>
        </is>
      </c>
      <c r="J49" s="5" t="inlineStr">
        <is>
          <t>Sunil's commanding officer</t>
        </is>
      </c>
      <c r="K49" s="19" t="inlineStr">
        <is>
          <t>Naval officer whose position gives Rahul access to Sunil.</t>
        </is>
      </c>
      <c r="L49" s="5" t="n"/>
      <c r="M49" s="5" t="inlineStr">
        <is>
          <t>SOURCE-012</t>
        </is>
      </c>
    </row>
    <row r="50" ht="34" customHeight="1">
      <c r="A50" s="15" t="inlineStr">
        <is>
          <t>CAST-049</t>
        </is>
      </c>
      <c r="B50" s="20" t="inlineStr">
        <is>
          <t>FILM-009</t>
        </is>
      </c>
      <c r="C50" s="5" t="inlineStr">
        <is>
          <t>Darr</t>
        </is>
      </c>
      <c r="D50" s="17" t="n">
        <v>1993</v>
      </c>
      <c r="E50" s="5" t="inlineStr">
        <is>
          <t>Annu Kapoor</t>
        </is>
      </c>
      <c r="F50" s="5" t="inlineStr">
        <is>
          <t>Vikram "Vicky" Oberoi</t>
        </is>
      </c>
      <c r="G50" s="5" t="inlineStr">
        <is>
          <t>Friend</t>
        </is>
      </c>
      <c r="H50" s="5" t="inlineStr">
        <is>
          <t>Medium</t>
        </is>
      </c>
      <c r="I50" s="5" t="inlineStr">
        <is>
          <t>Rahul's ill college friend</t>
        </is>
      </c>
      <c r="J50" s="5" t="inlineStr">
        <is>
          <t>Rahul kills him and makes him look like the stalker</t>
        </is>
      </c>
      <c r="K50" s="19" t="inlineStr">
        <is>
          <t>Terminally ill friend who begs Rahul to end his suffering; Rahul uses his death to fake the stalker's suicide.</t>
        </is>
      </c>
      <c r="L50" s="5" t="n"/>
      <c r="M50" s="5" t="inlineStr">
        <is>
          <t>SOURCE-012</t>
        </is>
      </c>
    </row>
    <row r="51" ht="49" customHeight="1">
      <c r="A51" s="15" t="inlineStr">
        <is>
          <t>CAST-050</t>
        </is>
      </c>
      <c r="B51" s="20" t="inlineStr">
        <is>
          <t>FILM-010</t>
        </is>
      </c>
      <c r="C51" s="5" t="inlineStr">
        <is>
          <t>Kabhi Haan Kabhi Naa</t>
        </is>
      </c>
      <c r="D51" s="17" t="n">
        <v>1994</v>
      </c>
      <c r="E51" s="5" t="inlineStr">
        <is>
          <t>Deepak Tijori</t>
        </is>
      </c>
      <c r="F51" s="5" t="inlineStr">
        <is>
          <t>Chris</t>
        </is>
      </c>
      <c r="G51" s="5" t="inlineStr">
        <is>
          <t>Romantic rival</t>
        </is>
      </c>
      <c r="H51" s="5" t="inlineStr">
        <is>
          <t>Major</t>
        </is>
      </c>
      <c r="I51" s="5" t="inlineStr">
        <is>
          <t>Bandmate and rival for Anna</t>
        </is>
      </c>
      <c r="J51" s="5" t="inlineStr">
        <is>
          <t>Anna's true love, whom Sunil tries to separate from her and finally helps her marry</t>
        </is>
      </c>
      <c r="K51" s="19" t="inlineStr">
        <is>
          <t>Band member in love with Anna; his parents fix his marriage elsewhere before Sunil reunites the couple.</t>
        </is>
      </c>
      <c r="L51" s="5" t="n"/>
      <c r="M51" s="5" t="inlineStr">
        <is>
          <t>SOURCE-013</t>
        </is>
      </c>
    </row>
    <row r="52" ht="34" customHeight="1">
      <c r="A52" s="15" t="inlineStr">
        <is>
          <t>CAST-051</t>
        </is>
      </c>
      <c r="B52" s="20" t="inlineStr">
        <is>
          <t>FILM-010</t>
        </is>
      </c>
      <c r="C52" s="5" t="inlineStr">
        <is>
          <t>Kabhi Haan Kabhi Naa</t>
        </is>
      </c>
      <c r="D52" s="17" t="n">
        <v>1994</v>
      </c>
      <c r="E52" s="5" t="inlineStr">
        <is>
          <t>Naseeruddin Shah</t>
        </is>
      </c>
      <c r="F52" s="5" t="inlineStr">
        <is>
          <t>Father Braganza</t>
        </is>
      </c>
      <c r="G52" s="5" t="inlineStr">
        <is>
          <t>Mentor</t>
        </is>
      </c>
      <c r="H52" s="5" t="inlineStr">
        <is>
          <t>Medium</t>
        </is>
      </c>
      <c r="I52" s="5" t="inlineStr">
        <is>
          <t>The one adult who believes Sunil is pure at heart</t>
        </is>
      </c>
      <c r="J52" s="5" t="inlineStr">
        <is>
          <t>Not applicable</t>
        </is>
      </c>
      <c r="K52" s="19" t="inlineStr">
        <is>
          <t>Priest whose advice helps Sunil's father accept his son's passion for music.</t>
        </is>
      </c>
      <c r="L52" s="5" t="n"/>
      <c r="M52" s="5" t="inlineStr">
        <is>
          <t>SOURCE-013</t>
        </is>
      </c>
    </row>
    <row r="53" ht="34" customHeight="1">
      <c r="A53" s="15" t="inlineStr">
        <is>
          <t>CAST-052</t>
        </is>
      </c>
      <c r="B53" s="20" t="inlineStr">
        <is>
          <t>FILM-010</t>
        </is>
      </c>
      <c r="C53" s="5" t="inlineStr">
        <is>
          <t>Kabhi Haan Kabhi Naa</t>
        </is>
      </c>
      <c r="D53" s="17" t="n">
        <v>1994</v>
      </c>
      <c r="E53" s="5" t="inlineStr">
        <is>
          <t>Anjan Srivastav</t>
        </is>
      </c>
      <c r="F53" s="5" t="inlineStr">
        <is>
          <t>Vinayak</t>
        </is>
      </c>
      <c r="G53" s="5" t="inlineStr">
        <is>
          <t>Family</t>
        </is>
      </c>
      <c r="H53" s="5" t="inlineStr">
        <is>
          <t>Medium</t>
        </is>
      </c>
      <c r="I53" s="5" t="inlineStr">
        <is>
          <t>Sunil's father</t>
        </is>
      </c>
      <c r="J53" s="5" t="inlineStr">
        <is>
          <t>Not applicable</t>
        </is>
      </c>
      <c r="K53" s="19" t="inlineStr">
        <is>
          <t>Frustrated by his son's repeated exam failures, he eventually forgives Sunil and accepts his musical talent.</t>
        </is>
      </c>
      <c r="L53" s="5" t="n"/>
      <c r="M53" s="5" t="inlineStr">
        <is>
          <t>SOURCE-013</t>
        </is>
      </c>
    </row>
    <row r="54" ht="34" customHeight="1">
      <c r="A54" s="15" t="inlineStr">
        <is>
          <t>CAST-053</t>
        </is>
      </c>
      <c r="B54" s="20" t="inlineStr">
        <is>
          <t>FILM-010</t>
        </is>
      </c>
      <c r="C54" s="5" t="inlineStr">
        <is>
          <t>Kabhi Haan Kabhi Naa</t>
        </is>
      </c>
      <c r="D54" s="17" t="n">
        <v>1994</v>
      </c>
      <c r="E54" s="5" t="inlineStr">
        <is>
          <t>Satish Shah</t>
        </is>
      </c>
      <c r="F54" s="5" t="inlineStr">
        <is>
          <t>Simon Gonsalves</t>
        </is>
      </c>
      <c r="G54" s="5" t="inlineStr">
        <is>
          <t>Family</t>
        </is>
      </c>
      <c r="H54" s="5" t="inlineStr">
        <is>
          <t>Medium</t>
        </is>
      </c>
      <c r="I54" s="5" t="inlineStr">
        <is>
          <t>Anna's father</t>
        </is>
      </c>
      <c r="J54" s="5" t="inlineStr">
        <is>
          <t>First approves Chris, then persuades Anna to marry Sunil</t>
        </is>
      </c>
      <c r="K54" s="19" t="inlineStr">
        <is>
          <t>Believes Sunil will care for Anna after Chris's parents arrange another match.</t>
        </is>
      </c>
      <c r="L54" s="5" t="n"/>
      <c r="M54" s="5" t="inlineStr">
        <is>
          <t>SOURCE-013</t>
        </is>
      </c>
    </row>
    <row r="55" ht="49" customHeight="1">
      <c r="A55" s="15" t="inlineStr">
        <is>
          <t>CAST-054</t>
        </is>
      </c>
      <c r="B55" s="20" t="inlineStr">
        <is>
          <t>FILM-010</t>
        </is>
      </c>
      <c r="C55" s="5" t="inlineStr">
        <is>
          <t>Kabhi Haan Kabhi Naa</t>
        </is>
      </c>
      <c r="D55" s="17" t="n">
        <v>1994</v>
      </c>
      <c r="E55" s="5" t="inlineStr">
        <is>
          <t>Goga Kapoor</t>
        </is>
      </c>
      <c r="F55" s="5" t="inlineStr">
        <is>
          <t>Anthony Gomez</t>
        </is>
      </c>
      <c r="G55" s="5" t="inlineStr">
        <is>
          <t>Comic support</t>
        </is>
      </c>
      <c r="H55" s="5" t="inlineStr">
        <is>
          <t>Minor</t>
        </is>
      </c>
      <c r="I55" s="5" t="inlineStr">
        <is>
          <t>Criminal fan of Sunil's</t>
        </is>
      </c>
      <c r="J55" s="5" t="inlineStr">
        <is>
          <t>Once offers to help Sunil win Anna</t>
        </is>
      </c>
      <c r="K55" s="19" t="inlineStr">
        <is>
          <t>Local don who, with his henchman Vasco, breaks the fourth wall at the end to assure the audience Sunil will be all right.</t>
        </is>
      </c>
      <c r="L55" s="5" t="n"/>
      <c r="M55" s="5" t="inlineStr">
        <is>
          <t>SOURCE-013</t>
        </is>
      </c>
    </row>
    <row r="56" ht="19" customHeight="1">
      <c r="A56" s="15" t="inlineStr">
        <is>
          <t>CAST-055</t>
        </is>
      </c>
      <c r="B56" s="20" t="inlineStr">
        <is>
          <t>FILM-010</t>
        </is>
      </c>
      <c r="C56" s="5" t="inlineStr">
        <is>
          <t>Kabhi Haan Kabhi Naa</t>
        </is>
      </c>
      <c r="D56" s="17" t="n">
        <v>1994</v>
      </c>
      <c r="E56" s="5" t="inlineStr">
        <is>
          <t>Juhi Chawla</t>
        </is>
      </c>
      <c r="F56" s="5" t="inlineStr">
        <is>
          <t>Herself</t>
        </is>
      </c>
      <c r="G56" s="5" t="inlineStr">
        <is>
          <t>Self appearance</t>
        </is>
      </c>
      <c r="H56" s="5" t="inlineStr">
        <is>
          <t>Minor</t>
        </is>
      </c>
      <c r="I56" s="5" t="inlineStr">
        <is>
          <t>Not documented</t>
        </is>
      </c>
      <c r="J56" s="5" t="inlineStr">
        <is>
          <t>Not applicable</t>
        </is>
      </c>
      <c r="K56" s="19" t="inlineStr">
        <is>
          <t>Special appearance as herself.</t>
        </is>
      </c>
      <c r="L56" s="5" t="n"/>
      <c r="M56" s="5" t="inlineStr">
        <is>
          <t>SOURCE-013</t>
        </is>
      </c>
    </row>
    <row r="57" ht="49" customHeight="1">
      <c r="A57" s="15" t="inlineStr">
        <is>
          <t>CAST-056</t>
        </is>
      </c>
      <c r="B57" s="20" t="inlineStr">
        <is>
          <t>FILM-010</t>
        </is>
      </c>
      <c r="C57" s="5" t="inlineStr">
        <is>
          <t>Kabhi Haan Kabhi Naa</t>
        </is>
      </c>
      <c r="D57" s="17" t="n">
        <v>1994</v>
      </c>
      <c r="E57" s="5" t="inlineStr">
        <is>
          <t>Sadiya Siddiqui</t>
        </is>
      </c>
      <c r="F57" s="5" t="inlineStr">
        <is>
          <t>Nikki</t>
        </is>
      </c>
      <c r="G57" s="5" t="inlineStr">
        <is>
          <t>Family</t>
        </is>
      </c>
      <c r="H57" s="5" t="inlineStr">
        <is>
          <t>Medium</t>
        </is>
      </c>
      <c r="I57" s="5" t="inlineStr">
        <is>
          <t>Sunil's younger sister.</t>
        </is>
      </c>
      <c r="J57" s="5" t="inlineStr">
        <is>
          <t>Watches Sunil with a heavy heart as he hides Chris's dropped ring at the wedding.</t>
        </is>
      </c>
      <c r="K57" s="19" t="inlineStr">
        <is>
          <t>Sunil's younger sister, who wakes him from his dream of marrying Anna at the start of the film.</t>
        </is>
      </c>
      <c r="L57" s="5" t="n"/>
      <c r="M57" s="5" t="inlineStr">
        <is>
          <t>SOURCE-013</t>
        </is>
      </c>
    </row>
    <row r="58" ht="49" customHeight="1">
      <c r="A58" s="15" t="inlineStr">
        <is>
          <t>CAST-057</t>
        </is>
      </c>
      <c r="B58" s="20" t="inlineStr">
        <is>
          <t>FILM-011</t>
        </is>
      </c>
      <c r="C58" s="5" t="inlineStr">
        <is>
          <t>Anjaam</t>
        </is>
      </c>
      <c r="D58" s="17" t="n">
        <v>1994</v>
      </c>
      <c r="E58" s="5" t="inlineStr">
        <is>
          <t>Deepak Tijori</t>
        </is>
      </c>
      <c r="F58" s="5" t="inlineStr">
        <is>
          <t>Ashok Chopra</t>
        </is>
      </c>
      <c r="G58" s="5" t="inlineStr">
        <is>
          <t>Romantic rival</t>
        </is>
      </c>
      <c r="H58" s="5" t="inlineStr">
        <is>
          <t>Major</t>
        </is>
      </c>
      <c r="I58" s="5" t="inlineStr">
        <is>
          <t>Befriended and employed by Vijay, who later kills him</t>
        </is>
      </c>
      <c r="J58" s="5" t="inlineStr">
        <is>
          <t>Shivani's husband</t>
        </is>
      </c>
      <c r="K58" s="19" t="inlineStr">
        <is>
          <t>Air India pilot who marries Shivani, is taken in by Vijay's job offer, slaps and disowns his wife, and is killed in hospital by Vijay. Guest appearance.</t>
        </is>
      </c>
      <c r="L58" s="5" t="n"/>
      <c r="M58" s="5" t="inlineStr">
        <is>
          <t>SOURCE-014</t>
        </is>
      </c>
    </row>
    <row r="59" ht="49" customHeight="1">
      <c r="A59" s="15" t="inlineStr">
        <is>
          <t>CAST-058</t>
        </is>
      </c>
      <c r="B59" s="20" t="inlineStr">
        <is>
          <t>FILM-011</t>
        </is>
      </c>
      <c r="C59" s="5" t="inlineStr">
        <is>
          <t>Anjaam</t>
        </is>
      </c>
      <c r="D59" s="17" t="n">
        <v>1994</v>
      </c>
      <c r="E59" s="5" t="inlineStr">
        <is>
          <t>Kiran Kumar</t>
        </is>
      </c>
      <c r="F59" s="5" t="inlineStr">
        <is>
          <t>Inspector Arjun Singh</t>
        </is>
      </c>
      <c r="G59" s="5" t="inlineStr">
        <is>
          <t>Antagonist</t>
        </is>
      </c>
      <c r="H59" s="5" t="inlineStr">
        <is>
          <t>Major</t>
        </is>
      </c>
      <c r="I59" s="5" t="inlineStr">
        <is>
          <t>Vijay's friend, bribed to give him an alibi</t>
        </is>
      </c>
      <c r="J59" s="5" t="inlineStr">
        <is>
          <t>Helps Vijay escape charges for Ashok's death</t>
        </is>
      </c>
      <c r="K59" s="19" t="inlineStr">
        <is>
          <t>Corrupt officer who betrays Shivani's complaint to the warden and later tries to rape her; she leaves him to die in a burning barn.</t>
        </is>
      </c>
      <c r="L59" s="5" t="n"/>
      <c r="M59" s="5" t="inlineStr">
        <is>
          <t>SOURCE-014</t>
        </is>
      </c>
    </row>
    <row r="60" ht="34" customHeight="1">
      <c r="A60" s="15" t="inlineStr">
        <is>
          <t>CAST-059</t>
        </is>
      </c>
      <c r="B60" s="20" t="inlineStr">
        <is>
          <t>FILM-011</t>
        </is>
      </c>
      <c r="C60" s="5" t="inlineStr">
        <is>
          <t>Anjaam</t>
        </is>
      </c>
      <c r="D60" s="17" t="n">
        <v>1994</v>
      </c>
      <c r="E60" s="5" t="inlineStr">
        <is>
          <t>Kalpana Iyer</t>
        </is>
      </c>
      <c r="F60" s="5" t="inlineStr">
        <is>
          <t>Prison warden</t>
        </is>
      </c>
      <c r="G60" s="5" t="inlineStr">
        <is>
          <t>Antagonist</t>
        </is>
      </c>
      <c r="H60" s="5" t="inlineStr">
        <is>
          <t>Medium</t>
        </is>
      </c>
      <c r="I60" s="5" t="inlineStr">
        <is>
          <t>Not directly connected to Vijay</t>
        </is>
      </c>
      <c r="J60" s="5" t="inlineStr">
        <is>
          <t>Not applicable</t>
        </is>
      </c>
      <c r="K60" s="19" t="inlineStr">
        <is>
          <t>Brutal warden who forces inmates into prostitution and beats the pregnant Shivani into a miscarriage; Shivani hangs her.</t>
        </is>
      </c>
      <c r="L60" s="5" t="n"/>
      <c r="M60" s="5" t="inlineStr">
        <is>
          <t>SOURCE-014</t>
        </is>
      </c>
    </row>
    <row r="61" ht="49" customHeight="1">
      <c r="A61" s="15" t="inlineStr">
        <is>
          <t>CAST-060</t>
        </is>
      </c>
      <c r="B61" s="20" t="inlineStr">
        <is>
          <t>FILM-011</t>
        </is>
      </c>
      <c r="C61" s="5" t="inlineStr">
        <is>
          <t>Anjaam</t>
        </is>
      </c>
      <c r="D61" s="17" t="n">
        <v>1994</v>
      </c>
      <c r="E61" s="5" t="inlineStr">
        <is>
          <t>Tinnu Anand</t>
        </is>
      </c>
      <c r="F61" s="5" t="inlineStr">
        <is>
          <t>Mohanlal Singh</t>
        </is>
      </c>
      <c r="G61" s="5" t="inlineStr">
        <is>
          <t>Antagonist</t>
        </is>
      </c>
      <c r="H61" s="5" t="inlineStr">
        <is>
          <t>Medium</t>
        </is>
      </c>
      <c r="I61" s="5" t="inlineStr">
        <is>
          <t>Not directly connected to Vijay</t>
        </is>
      </c>
      <c r="J61" s="5" t="inlineStr">
        <is>
          <t>Not applicable</t>
        </is>
      </c>
      <c r="K61" s="19" t="inlineStr">
        <is>
          <t>Shivani's gambling, drunken brother-in-law who throws out his wife and Shivani's daughter; Shivani kills him after her release.</t>
        </is>
      </c>
      <c r="L61" s="5" t="n"/>
      <c r="M61" s="5" t="inlineStr">
        <is>
          <t>SOURCE-014</t>
        </is>
      </c>
    </row>
    <row r="62" ht="34" customHeight="1">
      <c r="A62" s="15" t="inlineStr">
        <is>
          <t>CAST-061</t>
        </is>
      </c>
      <c r="B62" s="20" t="inlineStr">
        <is>
          <t>FILM-011</t>
        </is>
      </c>
      <c r="C62" s="5" t="inlineStr">
        <is>
          <t>Anjaam</t>
        </is>
      </c>
      <c r="D62" s="17" t="n">
        <v>1994</v>
      </c>
      <c r="E62" s="5" t="inlineStr">
        <is>
          <t>Sudha Chandran</t>
        </is>
      </c>
      <c r="F62" s="5" t="inlineStr">
        <is>
          <t>Padmisha Singh</t>
        </is>
      </c>
      <c r="G62" s="5" t="inlineStr">
        <is>
          <t>Family</t>
        </is>
      </c>
      <c r="H62" s="5" t="inlineStr">
        <is>
          <t>Medium</t>
        </is>
      </c>
      <c r="I62" s="5" t="inlineStr">
        <is>
          <t>Killed with Pinky when Vijay runs them over</t>
        </is>
      </c>
      <c r="J62" s="5" t="inlineStr">
        <is>
          <t>Not applicable</t>
        </is>
      </c>
      <c r="K62" s="19" t="inlineStr">
        <is>
          <t>Shivani's sister, who refuses to abandon Pinky and is thrown out by her husband.</t>
        </is>
      </c>
      <c r="L62" s="5" t="n"/>
      <c r="M62" s="5" t="inlineStr">
        <is>
          <t>SOURCE-014</t>
        </is>
      </c>
    </row>
    <row r="63" ht="19" customHeight="1">
      <c r="A63" s="15" t="inlineStr">
        <is>
          <t>CAST-062</t>
        </is>
      </c>
      <c r="B63" s="20" t="inlineStr">
        <is>
          <t>FILM-011</t>
        </is>
      </c>
      <c r="C63" s="5" t="inlineStr">
        <is>
          <t>Anjaam</t>
        </is>
      </c>
      <c r="D63" s="17" t="n">
        <v>1994</v>
      </c>
      <c r="E63" s="5" t="inlineStr">
        <is>
          <t>Himani Shivpuri</t>
        </is>
      </c>
      <c r="F63" s="5" t="inlineStr">
        <is>
          <t>Nisha</t>
        </is>
      </c>
      <c r="G63" s="5" t="inlineStr">
        <is>
          <t>Friend</t>
        </is>
      </c>
      <c r="H63" s="5" t="inlineStr">
        <is>
          <t>Minor</t>
        </is>
      </c>
      <c r="I63" s="5" t="inlineStr">
        <is>
          <t>Not directly connected to Vijay</t>
        </is>
      </c>
      <c r="J63" s="5" t="inlineStr">
        <is>
          <t>Not applicable</t>
        </is>
      </c>
      <c r="K63" s="19" t="inlineStr">
        <is>
          <t>Shivani's cellmate, wrongly convicted in a dowry case.</t>
        </is>
      </c>
      <c r="L63" s="5" t="n"/>
      <c r="M63" s="5" t="inlineStr">
        <is>
          <t>SOURCE-014</t>
        </is>
      </c>
    </row>
    <row r="64" ht="49" customHeight="1">
      <c r="A64" s="15" t="inlineStr">
        <is>
          <t>CAST-063</t>
        </is>
      </c>
      <c r="B64" s="20" t="inlineStr">
        <is>
          <t>FILM-011</t>
        </is>
      </c>
      <c r="C64" s="5" t="inlineStr">
        <is>
          <t>Anjaam</t>
        </is>
      </c>
      <c r="D64" s="17" t="n">
        <v>1994</v>
      </c>
      <c r="E64" s="5" t="inlineStr">
        <is>
          <t>Beena Banerjee</t>
        </is>
      </c>
      <c r="F64" s="5" t="inlineStr">
        <is>
          <t>Padma Agnihotri</t>
        </is>
      </c>
      <c r="G64" s="5" t="inlineStr">
        <is>
          <t>Family</t>
        </is>
      </c>
      <c r="H64" s="5" t="inlineStr">
        <is>
          <t>Medium</t>
        </is>
      </c>
      <c r="I64" s="5" t="inlineStr">
        <is>
          <t>Vijay's mother.</t>
        </is>
      </c>
      <c r="J64" s="5" t="inlineStr">
        <is>
          <t>Vijay tells her he will marry only Shivani, and she accompanies him to seek Shivani's hand.</t>
        </is>
      </c>
      <c r="K64" s="19" t="inlineStr">
        <is>
          <t>Vijay's mother, who approached Shivani's family with him for a marriage proposal and whose later marriage proposals for him he kept rejecting.</t>
        </is>
      </c>
      <c r="L64" s="5" t="n"/>
      <c r="M64" s="5" t="inlineStr">
        <is>
          <t>SOURCE-014</t>
        </is>
      </c>
    </row>
    <row r="65" ht="49" customHeight="1">
      <c r="A65" s="15" t="inlineStr">
        <is>
          <t>CAST-064</t>
        </is>
      </c>
      <c r="B65" s="20" t="inlineStr">
        <is>
          <t>FILM-012</t>
        </is>
      </c>
      <c r="C65" s="5" t="inlineStr">
        <is>
          <t>Karan Arjun</t>
        </is>
      </c>
      <c r="D65" s="17" t="n">
        <v>1995</v>
      </c>
      <c r="E65" s="5" t="inlineStr">
        <is>
          <t>Salman Khan</t>
        </is>
      </c>
      <c r="F65" s="5" t="inlineStr">
        <is>
          <t>Karan Singh / Ajay</t>
        </is>
      </c>
      <c r="G65" s="5" t="inlineStr">
        <is>
          <t>Co-lead</t>
        </is>
      </c>
      <c r="H65" s="5" t="inlineStr">
        <is>
          <t>Major</t>
        </is>
      </c>
      <c r="I65" s="5" t="inlineStr">
        <is>
          <t>Arjun's brother in his past life, reincarnated as Ajay</t>
        </is>
      </c>
      <c r="J65" s="5" t="inlineStr">
        <is>
          <t>Helps Vijay and Sonia escape Durjan's trap</t>
        </is>
      </c>
      <c r="K65" s="19" t="inlineStr">
        <is>
          <t>Murdered with Arjun and reborn as Ajay, he works for Sonia's father until the brothers reunite, avenge their deaths and marry.</t>
        </is>
      </c>
      <c r="L65" s="5" t="inlineStr">
        <is>
          <t>Filmfare Best Actor nomination</t>
        </is>
      </c>
      <c r="M65" s="5" t="inlineStr">
        <is>
          <t>SOURCE-015</t>
        </is>
      </c>
    </row>
    <row r="66" ht="34" customHeight="1">
      <c r="A66" s="15" t="inlineStr">
        <is>
          <t>CAST-065</t>
        </is>
      </c>
      <c r="B66" s="20" t="inlineStr">
        <is>
          <t>FILM-012</t>
        </is>
      </c>
      <c r="C66" s="5" t="inlineStr">
        <is>
          <t>Karan Arjun</t>
        </is>
      </c>
      <c r="D66" s="17" t="n">
        <v>1995</v>
      </c>
      <c r="E66" s="5" t="inlineStr">
        <is>
          <t>Raakhee</t>
        </is>
      </c>
      <c r="F66" s="5" t="inlineStr">
        <is>
          <t>Durga Singh</t>
        </is>
      </c>
      <c r="G66" s="5" t="inlineStr">
        <is>
          <t>Family</t>
        </is>
      </c>
      <c r="H66" s="5" t="inlineStr">
        <is>
          <t>Major</t>
        </is>
      </c>
      <c r="I66" s="5" t="inlineStr">
        <is>
          <t>Mother of Karan and Arjun</t>
        </is>
      </c>
      <c r="J66" s="5" t="inlineStr">
        <is>
          <t>Not applicable</t>
        </is>
      </c>
      <c r="K66" s="19" t="inlineStr">
        <is>
          <t>Widowed mother who prays to Goddess Kali for her murdered sons' return and orders their final revenge on Durjan.</t>
        </is>
      </c>
      <c r="L66" s="5" t="inlineStr">
        <is>
          <t>Filmfare Best Supporting Actress nomination</t>
        </is>
      </c>
      <c r="M66" s="5" t="inlineStr">
        <is>
          <t>SOURCE-015</t>
        </is>
      </c>
    </row>
    <row r="67" ht="34" customHeight="1">
      <c r="A67" s="15" t="inlineStr">
        <is>
          <t>CAST-066</t>
        </is>
      </c>
      <c r="B67" s="20" t="inlineStr">
        <is>
          <t>FILM-012</t>
        </is>
      </c>
      <c r="C67" s="5" t="inlineStr">
        <is>
          <t>Karan Arjun</t>
        </is>
      </c>
      <c r="D67" s="17" t="n">
        <v>1995</v>
      </c>
      <c r="E67" s="5" t="inlineStr">
        <is>
          <t>Amrish Puri</t>
        </is>
      </c>
      <c r="F67" s="5" t="inlineStr">
        <is>
          <t>Thakur Durjan Singh</t>
        </is>
      </c>
      <c r="G67" s="5" t="inlineStr">
        <is>
          <t>Antagonist</t>
        </is>
      </c>
      <c r="H67" s="5" t="inlineStr">
        <is>
          <t>Major</t>
        </is>
      </c>
      <c r="I67" s="5" t="inlineStr">
        <is>
          <t>Murderer of Arjun in his past life</t>
        </is>
      </c>
      <c r="J67" s="5" t="inlineStr">
        <is>
          <t>Father of Sonia's fiancé Suraj; Sonia is forcibly brought to his house</t>
        </is>
      </c>
      <c r="K67" s="19" t="inlineStr">
        <is>
          <t>Kills Durga's husband, the old Thakur and both brothers to seize the estate; the reincarnated brothers kill him.</t>
        </is>
      </c>
      <c r="L67" s="5" t="inlineStr">
        <is>
          <t>Filmfare Best Villain nomination</t>
        </is>
      </c>
      <c r="M67" s="5" t="inlineStr">
        <is>
          <t>SOURCE-015</t>
        </is>
      </c>
    </row>
    <row r="68" ht="49" customHeight="1">
      <c r="A68" s="15" t="inlineStr">
        <is>
          <t>CAST-067</t>
        </is>
      </c>
      <c r="B68" s="20" t="inlineStr">
        <is>
          <t>FILM-012</t>
        </is>
      </c>
      <c r="C68" s="5" t="inlineStr">
        <is>
          <t>Karan Arjun</t>
        </is>
      </c>
      <c r="D68" s="17" t="n">
        <v>1995</v>
      </c>
      <c r="E68" s="5" t="inlineStr">
        <is>
          <t>Ranjeet</t>
        </is>
      </c>
      <c r="F68" s="5" t="inlineStr">
        <is>
          <t>Govind Saxena</t>
        </is>
      </c>
      <c r="G68" s="5" t="inlineStr">
        <is>
          <t>Antagonist</t>
        </is>
      </c>
      <c r="H68" s="5" t="inlineStr">
        <is>
          <t>Medium</t>
        </is>
      </c>
      <c r="I68" s="5" t="inlineStr">
        <is>
          <t>Tries to shoot Vijay</t>
        </is>
      </c>
      <c r="J68" s="5" t="inlineStr">
        <is>
          <t>Sonia's father and Durjan's partner in arms dealing; sets a trap for the eloping couple</t>
        </is>
      </c>
      <c r="K68" s="19" t="inlineStr">
        <is>
          <t>Durjan's criminal partner, killed by Durjan after they fall out.</t>
        </is>
      </c>
      <c r="L68" s="5" t="n"/>
      <c r="M68" s="5" t="inlineStr">
        <is>
          <t>SOURCE-015</t>
        </is>
      </c>
    </row>
    <row r="69" ht="19" customHeight="1">
      <c r="A69" s="15" t="inlineStr">
        <is>
          <t>CAST-068</t>
        </is>
      </c>
      <c r="B69" s="20" t="inlineStr">
        <is>
          <t>FILM-012</t>
        </is>
      </c>
      <c r="C69" s="5" t="inlineStr">
        <is>
          <t>Karan Arjun</t>
        </is>
      </c>
      <c r="D69" s="17" t="n">
        <v>1995</v>
      </c>
      <c r="E69" s="5" t="inlineStr">
        <is>
          <t>Aasif Sheikh</t>
        </is>
      </c>
      <c r="F69" s="5" t="inlineStr">
        <is>
          <t>Suraj Singh</t>
        </is>
      </c>
      <c r="G69" s="5" t="inlineStr">
        <is>
          <t>Romantic rival</t>
        </is>
      </c>
      <c r="H69" s="5" t="inlineStr">
        <is>
          <t>Medium</t>
        </is>
      </c>
      <c r="I69" s="5" t="inlineStr">
        <is>
          <t>Tries to kill Vijay</t>
        </is>
      </c>
      <c r="J69" s="5" t="inlineStr">
        <is>
          <t>Sonia's fiancé</t>
        </is>
      </c>
      <c r="K69" s="19" t="inlineStr">
        <is>
          <t>Durjan's son, shot dead by Vijay.</t>
        </is>
      </c>
      <c r="L69" s="5" t="n"/>
      <c r="M69" s="5" t="inlineStr">
        <is>
          <t>SOURCE-015</t>
        </is>
      </c>
    </row>
    <row r="70" ht="34" customHeight="1">
      <c r="A70" s="15" t="inlineStr">
        <is>
          <t>CAST-069</t>
        </is>
      </c>
      <c r="B70" s="20" t="inlineStr">
        <is>
          <t>FILM-012</t>
        </is>
      </c>
      <c r="C70" s="5" t="inlineStr">
        <is>
          <t>Karan Arjun</t>
        </is>
      </c>
      <c r="D70" s="17" t="n">
        <v>1995</v>
      </c>
      <c r="E70" s="5" t="inlineStr">
        <is>
          <t>Johnny Lever</t>
        </is>
      </c>
      <c r="F70" s="5" t="inlineStr">
        <is>
          <t>Lingayya</t>
        </is>
      </c>
      <c r="G70" s="5" t="inlineStr">
        <is>
          <t>Comic support</t>
        </is>
      </c>
      <c r="H70" s="5" t="inlineStr">
        <is>
          <t>Medium</t>
        </is>
      </c>
      <c r="I70" s="5" t="inlineStr">
        <is>
          <t>Vijay's best friend</t>
        </is>
      </c>
      <c r="J70" s="5" t="inlineStr">
        <is>
          <t>Accompanies Vijay to rescue Sonia</t>
        </is>
      </c>
      <c r="K70" s="19" t="inlineStr">
        <is>
          <t>Travels with Vijay to Durjan's village, where Vijay recovers his past.</t>
        </is>
      </c>
      <c r="L70" s="5" t="inlineStr">
        <is>
          <t>Filmfare Best Comedian nomination</t>
        </is>
      </c>
      <c r="M70" s="5" t="inlineStr">
        <is>
          <t>SOURCE-015</t>
        </is>
      </c>
    </row>
    <row r="71" ht="49" customHeight="1">
      <c r="A71" s="15" t="inlineStr">
        <is>
          <t>CAST-070</t>
        </is>
      </c>
      <c r="B71" s="20" t="inlineStr">
        <is>
          <t>FILM-012</t>
        </is>
      </c>
      <c r="C71" s="5" t="inlineStr">
        <is>
          <t>Karan Arjun</t>
        </is>
      </c>
      <c r="D71" s="17" t="n">
        <v>1995</v>
      </c>
      <c r="E71" s="5" t="inlineStr">
        <is>
          <t>Mamta Kulkarni</t>
        </is>
      </c>
      <c r="F71" s="5" t="inlineStr">
        <is>
          <t>Bindiya</t>
        </is>
      </c>
      <c r="G71" s="5" t="inlineStr">
        <is>
          <t>Co-lead</t>
        </is>
      </c>
      <c r="H71" s="5" t="inlineStr">
        <is>
          <t>Major</t>
        </is>
      </c>
      <c r="I71" s="5" t="inlineStr">
        <is>
          <t>Love interest of Ajay (Karan), Vijay's reincarnated brother.</t>
        </is>
      </c>
      <c r="J71" s="5" t="inlineStr">
        <is>
          <t>Not part of Vijay and Sonia's romance; she has her own romance with Ajay.</t>
        </is>
      </c>
      <c r="K71" s="19" t="inlineStr">
        <is>
          <t>A tomboyish girl in love with Ajay who follows him around, later joins the brothers, and marries Ajay at the end.</t>
        </is>
      </c>
      <c r="L71" s="5" t="n"/>
      <c r="M71" s="5" t="inlineStr">
        <is>
          <t>SOURCE-015</t>
        </is>
      </c>
    </row>
    <row r="72" ht="49" customHeight="1">
      <c r="A72" s="15" t="inlineStr">
        <is>
          <t>CAST-071</t>
        </is>
      </c>
      <c r="B72" s="20" t="inlineStr">
        <is>
          <t>FILM-012</t>
        </is>
      </c>
      <c r="C72" s="5" t="inlineStr">
        <is>
          <t>Karan Arjun</t>
        </is>
      </c>
      <c r="D72" s="17" t="n">
        <v>1995</v>
      </c>
      <c r="E72" s="5" t="inlineStr">
        <is>
          <t>Ashok Saraf</t>
        </is>
      </c>
      <c r="F72" s="5" t="inlineStr">
        <is>
          <t>Badal Munshi (Munshiji)</t>
        </is>
      </c>
      <c r="G72" s="5" t="inlineStr">
        <is>
          <t>Supporting</t>
        </is>
      </c>
      <c r="H72" s="5" t="inlineStr">
        <is>
          <t>Minor</t>
        </is>
      </c>
      <c r="I72" s="5" t="inlineStr">
        <is>
          <t>Munshi of Thakur Sangram Singh, the grandfather of Karan and Arjun.</t>
        </is>
      </c>
      <c r="J72" s="5" t="inlineStr">
        <is>
          <t>Not applicable</t>
        </is>
      </c>
      <c r="K72" s="19" t="inlineStr">
        <is>
          <t>Comes to speak with Durga on behalf of Thakur Sangram Singh, at the time the Thakur plans to sign the estate over to Karan and Arjun.</t>
        </is>
      </c>
      <c r="L72" s="5" t="n"/>
      <c r="M72" s="5" t="inlineStr">
        <is>
          <t>SOURCE-015</t>
        </is>
      </c>
    </row>
    <row r="73" ht="34" customHeight="1">
      <c r="A73" s="15" t="inlineStr">
        <is>
          <t>CAST-072</t>
        </is>
      </c>
      <c r="B73" s="20" t="inlineStr">
        <is>
          <t>FILM-013</t>
        </is>
      </c>
      <c r="C73" s="5" t="inlineStr">
        <is>
          <t>Zamaana Deewana</t>
        </is>
      </c>
      <c r="D73" s="17" t="n">
        <v>1995</v>
      </c>
      <c r="E73" s="5" t="inlineStr">
        <is>
          <t>Shatrughan Sinha</t>
        </is>
      </c>
      <c r="F73" s="5" t="inlineStr">
        <is>
          <t>Suraj Pratap Singh</t>
        </is>
      </c>
      <c r="G73" s="5" t="inlineStr">
        <is>
          <t>Family</t>
        </is>
      </c>
      <c r="H73" s="5" t="inlineStr">
        <is>
          <t>Major</t>
        </is>
      </c>
      <c r="I73" s="5" t="inlineStr">
        <is>
          <t>Rahul's father</t>
        </is>
      </c>
      <c r="J73" s="5" t="inlineStr">
        <is>
          <t>Feuding gang leader whose son is steered towards his enemy's daughter</t>
        </is>
      </c>
      <c r="K73" s="19" t="inlineStr">
        <is>
          <t>Former friend of Lala, turned into his bitter enemy by Sundar's tricks; their gang wars terrorise the city.</t>
        </is>
      </c>
      <c r="L73" s="5" t="n"/>
      <c r="M73" s="5" t="inlineStr">
        <is>
          <t>SOURCE-016</t>
        </is>
      </c>
    </row>
    <row r="74" ht="34" customHeight="1">
      <c r="A74" s="15" t="inlineStr">
        <is>
          <t>CAST-073</t>
        </is>
      </c>
      <c r="B74" s="20" t="inlineStr">
        <is>
          <t>FILM-013</t>
        </is>
      </c>
      <c r="C74" s="5" t="inlineStr">
        <is>
          <t>Zamaana Deewana</t>
        </is>
      </c>
      <c r="D74" s="17" t="n">
        <v>1995</v>
      </c>
      <c r="E74" s="5" t="inlineStr">
        <is>
          <t>Jeetendra</t>
        </is>
      </c>
      <c r="F74" s="5" t="inlineStr">
        <is>
          <t>Madanlal "Lala" Malhotra</t>
        </is>
      </c>
      <c r="G74" s="5" t="inlineStr">
        <is>
          <t>Family</t>
        </is>
      </c>
      <c r="H74" s="5" t="inlineStr">
        <is>
          <t>Major</t>
        </is>
      </c>
      <c r="I74" s="5" t="inlineStr">
        <is>
          <t>Father of the woman Rahul is steered towards</t>
        </is>
      </c>
      <c r="J74" s="5" t="inlineStr">
        <is>
          <t>Priya's father</t>
        </is>
      </c>
      <c r="K74" s="19" t="inlineStr">
        <is>
          <t>Believes his wife is dead and blames Suraj, leading to open gang war.</t>
        </is>
      </c>
      <c r="L74" s="5" t="n"/>
      <c r="M74" s="5" t="inlineStr">
        <is>
          <t>SOURCE-016</t>
        </is>
      </c>
    </row>
    <row r="75" ht="34" customHeight="1">
      <c r="A75" s="15" t="inlineStr">
        <is>
          <t>CAST-074</t>
        </is>
      </c>
      <c r="B75" s="20" t="inlineStr">
        <is>
          <t>FILM-013</t>
        </is>
      </c>
      <c r="C75" s="5" t="inlineStr">
        <is>
          <t>Zamaana Deewana</t>
        </is>
      </c>
      <c r="D75" s="17" t="n">
        <v>1995</v>
      </c>
      <c r="E75" s="5" t="inlineStr">
        <is>
          <t>Anupam Kher</t>
        </is>
      </c>
      <c r="F75" s="5" t="inlineStr">
        <is>
          <t>Kamdev Singh (K.D.)</t>
        </is>
      </c>
      <c r="G75" s="5" t="inlineStr">
        <is>
          <t>Supporting</t>
        </is>
      </c>
      <c r="H75" s="5" t="inlineStr">
        <is>
          <t>Medium</t>
        </is>
      </c>
      <c r="I75" s="5" t="inlineStr">
        <is>
          <t>Criminal psychologist who manipulates Rahul's life</t>
        </is>
      </c>
      <c r="J75" s="5" t="inlineStr">
        <is>
          <t>Devises, with Shalini, the plan to bring Rahul and Priya together</t>
        </is>
      </c>
      <c r="K75" s="19" t="inlineStr">
        <is>
          <t>Hired by the police to end the feud by uniting the two families.</t>
        </is>
      </c>
      <c r="L75" s="5" t="n"/>
      <c r="M75" s="5" t="inlineStr">
        <is>
          <t>SOURCE-016</t>
        </is>
      </c>
    </row>
    <row r="76" ht="34" customHeight="1">
      <c r="A76" s="15" t="inlineStr">
        <is>
          <t>CAST-075</t>
        </is>
      </c>
      <c r="B76" s="20" t="inlineStr">
        <is>
          <t>FILM-013</t>
        </is>
      </c>
      <c r="C76" s="5" t="inlineStr">
        <is>
          <t>Zamaana Deewana</t>
        </is>
      </c>
      <c r="D76" s="17" t="n">
        <v>1995</v>
      </c>
      <c r="E76" s="5" t="inlineStr">
        <is>
          <t>Tinnu Anand</t>
        </is>
      </c>
      <c r="F76" s="5" t="inlineStr">
        <is>
          <t>Sundar</t>
        </is>
      </c>
      <c r="G76" s="5" t="inlineStr">
        <is>
          <t>Antagonist</t>
        </is>
      </c>
      <c r="H76" s="5" t="inlineStr">
        <is>
          <t>Medium</t>
        </is>
      </c>
      <c r="I76" s="5" t="inlineStr">
        <is>
          <t>Engineer of the feud Rahul is caught in</t>
        </is>
      </c>
      <c r="J76" s="5" t="inlineStr">
        <is>
          <t>His tricks created the enmity between the lovers' fathers</t>
        </is>
      </c>
      <c r="K76" s="19" t="inlineStr">
        <is>
          <t>Schemer who turned Suraj and Lala against each other.</t>
        </is>
      </c>
      <c r="L76" s="5" t="n"/>
      <c r="M76" s="5" t="inlineStr">
        <is>
          <t>SOURCE-016</t>
        </is>
      </c>
    </row>
    <row r="77" ht="34" customHeight="1">
      <c r="A77" s="15" t="inlineStr">
        <is>
          <t>CAST-076</t>
        </is>
      </c>
      <c r="B77" s="20" t="inlineStr">
        <is>
          <t>FILM-013</t>
        </is>
      </c>
      <c r="C77" s="5" t="inlineStr">
        <is>
          <t>Zamaana Deewana</t>
        </is>
      </c>
      <c r="D77" s="17" t="n">
        <v>1995</v>
      </c>
      <c r="E77" s="5" t="inlineStr">
        <is>
          <t>Raveena Tandon</t>
        </is>
      </c>
      <c r="F77" s="5" t="inlineStr">
        <is>
          <t>Priya Malhotra</t>
        </is>
      </c>
      <c r="G77" s="5" t="inlineStr">
        <is>
          <t>Co-lead</t>
        </is>
      </c>
      <c r="H77" s="5" t="inlineStr">
        <is>
          <t>Major</t>
        </is>
      </c>
      <c r="I77" s="5" t="inlineStr">
        <is>
          <t>Daughter of Lala, the enemy of Rahul's father Suraj.</t>
        </is>
      </c>
      <c r="J77" s="5" t="inlineStr">
        <is>
          <t>Rahul's love interest; the psychologists' plot brings the two together.</t>
        </is>
      </c>
      <c r="K77" s="19" t="inlineStr">
        <is>
          <t>Lala's daughter, whom KD and Shalini bring close to Rahul in the hope of reconciling the two feuding families.</t>
        </is>
      </c>
      <c r="L77" s="5" t="n"/>
      <c r="M77" s="5" t="inlineStr">
        <is>
          <t>SOURCE-016</t>
        </is>
      </c>
    </row>
    <row r="78" ht="34" customHeight="1">
      <c r="A78" s="15" t="inlineStr">
        <is>
          <t>CAST-077</t>
        </is>
      </c>
      <c r="B78" s="20" t="inlineStr">
        <is>
          <t>FILM-013</t>
        </is>
      </c>
      <c r="C78" s="5" t="inlineStr">
        <is>
          <t>Zamaana Deewana</t>
        </is>
      </c>
      <c r="D78" s="17" t="n">
        <v>1995</v>
      </c>
      <c r="E78" s="5" t="inlineStr">
        <is>
          <t>Prem Chopra</t>
        </is>
      </c>
      <c r="F78" s="5" t="inlineStr">
        <is>
          <t>Assistant Commissioner of Police</t>
        </is>
      </c>
      <c r="G78" s="5" t="inlineStr">
        <is>
          <t>Authority figure</t>
        </is>
      </c>
      <c r="H78" s="5" t="inlineStr">
        <is>
          <t>Medium</t>
        </is>
      </c>
      <c r="I78" s="5" t="inlineStr">
        <is>
          <t>The police officer behind the plan involving Rahul.</t>
        </is>
      </c>
      <c r="J78" s="5" t="inlineStr">
        <is>
          <t>Sets in motion the plan to bring Rahul and Priya together.</t>
        </is>
      </c>
      <c r="K78" s="19" t="inlineStr">
        <is>
          <t>Engages two criminal psychologists to unite Rahul and Priya and so end the gang war between Suraj and Lala.</t>
        </is>
      </c>
      <c r="L78" s="5" t="n"/>
      <c r="M78" s="5" t="inlineStr">
        <is>
          <t>SOURCE-016</t>
        </is>
      </c>
    </row>
    <row r="79" ht="34" customHeight="1">
      <c r="A79" s="15" t="inlineStr">
        <is>
          <t>CAST-078</t>
        </is>
      </c>
      <c r="B79" s="20" t="inlineStr">
        <is>
          <t>FILM-013</t>
        </is>
      </c>
      <c r="C79" s="5" t="inlineStr">
        <is>
          <t>Zamaana Deewana</t>
        </is>
      </c>
      <c r="D79" s="17" t="n">
        <v>1995</v>
      </c>
      <c r="E79" s="5" t="inlineStr">
        <is>
          <t>Kiran Juneja</t>
        </is>
      </c>
      <c r="F79" s="5" t="inlineStr">
        <is>
          <t>Shalini Shrivastav</t>
        </is>
      </c>
      <c r="G79" s="5" t="inlineStr">
        <is>
          <t>Supporting</t>
        </is>
      </c>
      <c r="H79" s="5" t="inlineStr">
        <is>
          <t>Medium</t>
        </is>
      </c>
      <c r="I79" s="5" t="inlineStr">
        <is>
          <t>One of the psychologists who steer Rahul towards Priya.</t>
        </is>
      </c>
      <c r="J79" s="5" t="inlineStr">
        <is>
          <t>Helps engineer Rahul and Priya's coming together.</t>
        </is>
      </c>
      <c r="K79" s="19" t="inlineStr">
        <is>
          <t>A criminal psychologist who, with KD, weaves the plot to bring Rahul close to Priya.</t>
        </is>
      </c>
      <c r="L79" s="5" t="n"/>
      <c r="M79" s="5" t="inlineStr">
        <is>
          <t>SOURCE-016</t>
        </is>
      </c>
    </row>
    <row r="80" ht="34" customHeight="1">
      <c r="A80" s="15" t="inlineStr">
        <is>
          <t>CAST-079</t>
        </is>
      </c>
      <c r="B80" s="20" t="inlineStr">
        <is>
          <t>FILM-014</t>
        </is>
      </c>
      <c r="C80" s="5" t="inlineStr">
        <is>
          <t>Guddu</t>
        </is>
      </c>
      <c r="D80" s="17" t="n">
        <v>1995</v>
      </c>
      <c r="E80" s="5" t="inlineStr">
        <is>
          <t>Mukesh Khanna</t>
        </is>
      </c>
      <c r="F80" s="5" t="inlineStr">
        <is>
          <t>Vikram Bahadur</t>
        </is>
      </c>
      <c r="G80" s="5" t="inlineStr">
        <is>
          <t>Family</t>
        </is>
      </c>
      <c r="H80" s="5" t="inlineStr">
        <is>
          <t>Major</t>
        </is>
      </c>
      <c r="I80" s="5" t="inlineStr">
        <is>
          <t>Guddu's father</t>
        </is>
      </c>
      <c r="J80" s="5" t="inlineStr">
        <is>
          <t>Refuses to let Guddu donate his eyes to Salina</t>
        </is>
      </c>
      <c r="K80" s="19" t="inlineStr">
        <is>
          <t>Rich, atheist advocate who opposes his dying son's wish in court and is himself hospitalised.</t>
        </is>
      </c>
      <c r="L80" s="5" t="n"/>
      <c r="M80" s="5" t="inlineStr">
        <is>
          <t>SOURCE-017</t>
        </is>
      </c>
    </row>
    <row r="81" ht="34" customHeight="1">
      <c r="A81" s="15" t="inlineStr">
        <is>
          <t>CAST-080</t>
        </is>
      </c>
      <c r="B81" s="20" t="inlineStr">
        <is>
          <t>FILM-014</t>
        </is>
      </c>
      <c r="C81" s="5" t="inlineStr">
        <is>
          <t>Guddu</t>
        </is>
      </c>
      <c r="D81" s="17" t="n">
        <v>1995</v>
      </c>
      <c r="E81" s="5" t="inlineStr">
        <is>
          <t>Deepti Naval</t>
        </is>
      </c>
      <c r="F81" s="5" t="inlineStr">
        <is>
          <t>Kavita Bahadur</t>
        </is>
      </c>
      <c r="G81" s="5" t="inlineStr">
        <is>
          <t>Family</t>
        </is>
      </c>
      <c r="H81" s="5" t="inlineStr">
        <is>
          <t>Major</t>
        </is>
      </c>
      <c r="I81" s="5" t="inlineStr">
        <is>
          <t>Guddu's mother</t>
        </is>
      </c>
      <c r="J81" s="5" t="inlineStr">
        <is>
          <t>Her donated eyes restore Salina's sight</t>
        </is>
      </c>
      <c r="K81" s="19" t="inlineStr">
        <is>
          <t>Devout Hindu who fasts for five days to save her husband and son and dies praying.</t>
        </is>
      </c>
      <c r="L81" s="5" t="n"/>
      <c r="M81" s="5" t="inlineStr">
        <is>
          <t>SOURCE-017</t>
        </is>
      </c>
    </row>
    <row r="82" ht="34" customHeight="1">
      <c r="A82" s="15" t="inlineStr">
        <is>
          <t>CAST-081</t>
        </is>
      </c>
      <c r="B82" s="20" t="inlineStr">
        <is>
          <t>FILM-015</t>
        </is>
      </c>
      <c r="C82" s="5" t="inlineStr">
        <is>
          <t>Oh Darling! Yeh Hai India!</t>
        </is>
      </c>
      <c r="D82" s="17" t="n">
        <v>1995</v>
      </c>
      <c r="E82" s="5" t="inlineStr">
        <is>
          <t>Deepa Sahi</t>
        </is>
      </c>
      <c r="F82" s="5" t="inlineStr">
        <is>
          <t>Miss India</t>
        </is>
      </c>
      <c r="G82" s="5" t="inlineStr">
        <is>
          <t>Co-lead</t>
        </is>
      </c>
      <c r="H82" s="5" t="inlineStr">
        <is>
          <t>Major</t>
        </is>
      </c>
      <c r="I82" s="5" t="inlineStr">
        <is>
          <t>Companion in a night of adventures and the fight to save the president</t>
        </is>
      </c>
      <c r="J82" s="5" t="inlineStr">
        <is>
          <t>Not applicable</t>
        </is>
      </c>
      <c r="K82" s="19" t="inlineStr">
        <is>
          <t>Woman whose drunkard father wants her in prostitution; she joins Hero to foil the auction of India.</t>
        </is>
      </c>
      <c r="L82" s="5" t="n"/>
      <c r="M82" s="5" t="inlineStr">
        <is>
          <t>SOURCE-018</t>
        </is>
      </c>
    </row>
    <row r="83" ht="34" customHeight="1">
      <c r="A83" s="15" t="inlineStr">
        <is>
          <t>CAST-082</t>
        </is>
      </c>
      <c r="B83" s="20" t="inlineStr">
        <is>
          <t>FILM-015</t>
        </is>
      </c>
      <c r="C83" s="5" t="inlineStr">
        <is>
          <t>Oh Darling! Yeh Hai India!</t>
        </is>
      </c>
      <c r="D83" s="17" t="n">
        <v>1995</v>
      </c>
      <c r="E83" s="5" t="inlineStr">
        <is>
          <t>Amrish Puri</t>
        </is>
      </c>
      <c r="F83" s="5" t="inlineStr">
        <is>
          <t>Don Quixote</t>
        </is>
      </c>
      <c r="G83" s="5" t="inlineStr">
        <is>
          <t>Antagonist</t>
        </is>
      </c>
      <c r="H83" s="5" t="inlineStr">
        <is>
          <t>Major</t>
        </is>
      </c>
      <c r="I83" s="5" t="inlineStr">
        <is>
          <t>Villain whose plot Hero foils</t>
        </is>
      </c>
      <c r="J83" s="5" t="inlineStr">
        <is>
          <t>Not applicable</t>
        </is>
      </c>
      <c r="K83" s="19" t="inlineStr">
        <is>
          <t>Don who plans to replace the president with a lookalike and auction India; killed in riots.</t>
        </is>
      </c>
      <c r="L83" s="5" t="n"/>
      <c r="M83" s="5" t="inlineStr">
        <is>
          <t>SOURCE-018</t>
        </is>
      </c>
    </row>
    <row r="84" ht="34" customHeight="1">
      <c r="A84" s="15" t="inlineStr">
        <is>
          <t>CAST-083</t>
        </is>
      </c>
      <c r="B84" s="20" t="inlineStr">
        <is>
          <t>FILM-015</t>
        </is>
      </c>
      <c r="C84" s="5" t="inlineStr">
        <is>
          <t>Oh Darling! Yeh Hai India!</t>
        </is>
      </c>
      <c r="D84" s="17" t="n">
        <v>1995</v>
      </c>
      <c r="E84" s="5" t="inlineStr">
        <is>
          <t>Jaaved Jaffrey</t>
        </is>
      </c>
      <c r="F84" s="5" t="inlineStr">
        <is>
          <t>Prince</t>
        </is>
      </c>
      <c r="G84" s="5" t="inlineStr">
        <is>
          <t>Antagonist</t>
        </is>
      </c>
      <c r="H84" s="5" t="inlineStr">
        <is>
          <t>Major</t>
        </is>
      </c>
      <c r="I84" s="5" t="inlineStr">
        <is>
          <t>Fights Hero at the auction</t>
        </is>
      </c>
      <c r="J84" s="5" t="inlineStr">
        <is>
          <t>Pursues Miss India, who is not interested</t>
        </is>
      </c>
      <c r="K84" s="19" t="inlineStr">
        <is>
          <t>Don Quixote's son, who continues the plan and falls to his death.</t>
        </is>
      </c>
      <c r="L84" s="5" t="n"/>
      <c r="M84" s="5" t="inlineStr">
        <is>
          <t>SOURCE-018</t>
        </is>
      </c>
    </row>
    <row r="85" ht="34" customHeight="1">
      <c r="A85" s="15" t="inlineStr">
        <is>
          <t>CAST-084</t>
        </is>
      </c>
      <c r="B85" s="20" t="inlineStr">
        <is>
          <t>FILM-015</t>
        </is>
      </c>
      <c r="C85" s="5" t="inlineStr">
        <is>
          <t>Oh Darling! Yeh Hai India!</t>
        </is>
      </c>
      <c r="D85" s="17" t="n">
        <v>1995</v>
      </c>
      <c r="E85" s="5" t="inlineStr">
        <is>
          <t>Anupam Kher</t>
        </is>
      </c>
      <c r="F85" s="5" t="inlineStr">
        <is>
          <t>President / lookalike</t>
        </is>
      </c>
      <c r="G85" s="5" t="inlineStr">
        <is>
          <t>Supporting</t>
        </is>
      </c>
      <c r="H85" s="5" t="inlineStr">
        <is>
          <t>Medium</t>
        </is>
      </c>
      <c r="I85" s="5" t="inlineStr">
        <is>
          <t>The president Hero sets out to save</t>
        </is>
      </c>
      <c r="J85" s="5" t="inlineStr">
        <is>
          <t>Not applicable</t>
        </is>
      </c>
      <c r="K85" s="19" t="inlineStr">
        <is>
          <t>Dual role as the kidnapped president and the impostor forced to sell India.</t>
        </is>
      </c>
      <c r="L85" s="5" t="n"/>
      <c r="M85" s="5" t="inlineStr">
        <is>
          <t>SOURCE-018</t>
        </is>
      </c>
    </row>
    <row r="86" ht="49" customHeight="1">
      <c r="A86" s="15" t="inlineStr">
        <is>
          <t>CAST-085</t>
        </is>
      </c>
      <c r="B86" s="20" t="inlineStr">
        <is>
          <t>FILM-016</t>
        </is>
      </c>
      <c r="C86" s="5" t="inlineStr">
        <is>
          <t>Dilwale Dulhania Le Jayenge</t>
        </is>
      </c>
      <c r="D86" s="17" t="n">
        <v>1995</v>
      </c>
      <c r="E86" s="5" t="inlineStr">
        <is>
          <t>Amrish Puri</t>
        </is>
      </c>
      <c r="F86" s="5" t="inlineStr">
        <is>
          <t>Chaudhary Baldev Singh</t>
        </is>
      </c>
      <c r="G86" s="5" t="inlineStr">
        <is>
          <t>Family</t>
        </is>
      </c>
      <c r="H86" s="5" t="inlineStr">
        <is>
          <t>Major</t>
        </is>
      </c>
      <c r="I86" s="5" t="inlineStr">
        <is>
          <t>Throws Raj out when he discovers the romance</t>
        </is>
      </c>
      <c r="J86" s="5" t="inlineStr">
        <is>
          <t>Simran's patriarchal father, who promised her to Kuljeet and finally relents</t>
        </is>
      </c>
      <c r="K86" s="19" t="inlineStr">
        <is>
          <t>London shopkeeper devoted to tradition who moves his family to Punjab for Simran's arranged wedding.</t>
        </is>
      </c>
      <c r="L86" s="5" t="n"/>
      <c r="M86" s="5" t="inlineStr">
        <is>
          <t>SOURCE-019</t>
        </is>
      </c>
    </row>
    <row r="87" ht="34" customHeight="1">
      <c r="A87" s="15" t="inlineStr">
        <is>
          <t>CAST-086</t>
        </is>
      </c>
      <c r="B87" s="20" t="inlineStr">
        <is>
          <t>FILM-016</t>
        </is>
      </c>
      <c r="C87" s="5" t="inlineStr">
        <is>
          <t>Dilwale Dulhania Le Jayenge</t>
        </is>
      </c>
      <c r="D87" s="17" t="n">
        <v>1995</v>
      </c>
      <c r="E87" s="5" t="inlineStr">
        <is>
          <t>Farida Jalal</t>
        </is>
      </c>
      <c r="F87" s="5" t="inlineStr">
        <is>
          <t>Lajwant "Lajjo" Singh</t>
        </is>
      </c>
      <c r="G87" s="5" t="inlineStr">
        <is>
          <t>Family</t>
        </is>
      </c>
      <c r="H87" s="5" t="inlineStr">
        <is>
          <t>Major</t>
        </is>
      </c>
      <c r="I87" s="5" t="inlineStr">
        <is>
          <t>Discovers the romance and sympathises with Raj</t>
        </is>
      </c>
      <c r="J87" s="5" t="inlineStr">
        <is>
          <t>Simran's mother, who begs the couple to run away</t>
        </is>
      </c>
      <c r="K87" s="19" t="inlineStr">
        <is>
          <t>Mother who wants her daughter's happiness over her husband's promise.</t>
        </is>
      </c>
      <c r="L87" s="5" t="n"/>
      <c r="M87" s="5" t="inlineStr">
        <is>
          <t>SOURCE-019</t>
        </is>
      </c>
    </row>
    <row r="88" ht="34" customHeight="1">
      <c r="A88" s="15" t="inlineStr">
        <is>
          <t>CAST-087</t>
        </is>
      </c>
      <c r="B88" s="20" t="inlineStr">
        <is>
          <t>FILM-016</t>
        </is>
      </c>
      <c r="C88" s="5" t="inlineStr">
        <is>
          <t>Dilwale Dulhania Le Jayenge</t>
        </is>
      </c>
      <c r="D88" s="17" t="n">
        <v>1995</v>
      </c>
      <c r="E88" s="5" t="inlineStr">
        <is>
          <t>Anupam Kher</t>
        </is>
      </c>
      <c r="F88" s="5" t="inlineStr">
        <is>
          <t>Dharamvir Malhotra</t>
        </is>
      </c>
      <c r="G88" s="5" t="inlineStr">
        <is>
          <t>Family</t>
        </is>
      </c>
      <c r="H88" s="5" t="inlineStr">
        <is>
          <t>Medium</t>
        </is>
      </c>
      <c r="I88" s="5" t="inlineStr">
        <is>
          <t>Raj's wealthy, carefree father</t>
        </is>
      </c>
      <c r="J88" s="5" t="inlineStr">
        <is>
          <t>Encourages his son to enjoy his youth</t>
        </is>
      </c>
      <c r="K88" s="19" t="inlineStr">
        <is>
          <t>Businessman father whose permissive values contrast with Baldev's strictness.</t>
        </is>
      </c>
      <c r="L88" s="5" t="n"/>
      <c r="M88" s="5" t="inlineStr">
        <is>
          <t>SOURCE-019</t>
        </is>
      </c>
    </row>
    <row r="89" ht="34" customHeight="1">
      <c r="A89" s="15" t="inlineStr">
        <is>
          <t>CAST-088</t>
        </is>
      </c>
      <c r="B89" s="20" t="inlineStr">
        <is>
          <t>FILM-016</t>
        </is>
      </c>
      <c r="C89" s="5" t="inlineStr">
        <is>
          <t>Dilwale Dulhania Le Jayenge</t>
        </is>
      </c>
      <c r="D89" s="17" t="n">
        <v>1995</v>
      </c>
      <c r="E89" s="5" t="inlineStr">
        <is>
          <t>Parmeet Sethi</t>
        </is>
      </c>
      <c r="F89" s="5" t="inlineStr">
        <is>
          <t>Kuljeet Singh</t>
        </is>
      </c>
      <c r="G89" s="5" t="inlineStr">
        <is>
          <t>Romantic rival</t>
        </is>
      </c>
      <c r="H89" s="5" t="inlineStr">
        <is>
          <t>Major</t>
        </is>
      </c>
      <c r="I89" s="5" t="inlineStr">
        <is>
          <t>Unwittingly brings Raj home as his friend, then ambushes him</t>
        </is>
      </c>
      <c r="J89" s="5" t="inlineStr">
        <is>
          <t>Simran's arrogant, chauvinistic fiancé</t>
        </is>
      </c>
      <c r="K89" s="19" t="inlineStr">
        <is>
          <t>Punjabi groom betrothed to Simran since childhood; Raj beats him and his men at the station.</t>
        </is>
      </c>
      <c r="L89" s="5" t="n"/>
      <c r="M89" s="5" t="inlineStr">
        <is>
          <t>SOURCE-019</t>
        </is>
      </c>
    </row>
    <row r="90" ht="34" customHeight="1">
      <c r="A90" s="15" t="inlineStr">
        <is>
          <t>CAST-089</t>
        </is>
      </c>
      <c r="B90" s="20" t="inlineStr">
        <is>
          <t>FILM-016</t>
        </is>
      </c>
      <c r="C90" s="5" t="inlineStr">
        <is>
          <t>Dilwale Dulhania Le Jayenge</t>
        </is>
      </c>
      <c r="D90" s="17" t="n">
        <v>1995</v>
      </c>
      <c r="E90" s="5" t="inlineStr">
        <is>
          <t>Pooja Ruparel</t>
        </is>
      </c>
      <c r="F90" s="5" t="inlineStr">
        <is>
          <t>Rajeshwari "Chutki" Singh</t>
        </is>
      </c>
      <c r="G90" s="5" t="inlineStr">
        <is>
          <t>Family</t>
        </is>
      </c>
      <c r="H90" s="5" t="inlineStr">
        <is>
          <t>Medium</t>
        </is>
      </c>
      <c r="I90" s="5" t="inlineStr">
        <is>
          <t>Simran's younger sister, part of the household Raj wins over in Punjab.</t>
        </is>
      </c>
      <c r="J90" s="5" t="inlineStr">
        <is>
          <t>Sister of Simran, Raj's love interest.</t>
        </is>
      </c>
      <c r="K90" s="19" t="inlineStr">
        <is>
          <t>Simran's sister in the Singh family. The article notes the film helped her young career.</t>
        </is>
      </c>
      <c r="L90" s="5" t="n"/>
      <c r="M90" s="5" t="inlineStr">
        <is>
          <t>SOURCE-019</t>
        </is>
      </c>
    </row>
    <row r="91" ht="49" customHeight="1">
      <c r="A91" s="15" t="inlineStr">
        <is>
          <t>CAST-090</t>
        </is>
      </c>
      <c r="B91" s="20" t="inlineStr">
        <is>
          <t>FILM-016</t>
        </is>
      </c>
      <c r="C91" s="5" t="inlineStr">
        <is>
          <t>Dilwale Dulhania Le Jayenge</t>
        </is>
      </c>
      <c r="D91" s="17" t="n">
        <v>1995</v>
      </c>
      <c r="E91" s="5" t="inlineStr">
        <is>
          <t>Achala Sachdev</t>
        </is>
      </c>
      <c r="F91" s="5" t="inlineStr">
        <is>
          <t>Simran's grandmother</t>
        </is>
      </c>
      <c r="G91" s="5" t="inlineStr">
        <is>
          <t>Family</t>
        </is>
      </c>
      <c r="H91" s="5" t="inlineStr">
        <is>
          <t>Medium</t>
        </is>
      </c>
      <c r="I91" s="5" t="inlineStr">
        <is>
          <t>Member of the Singh household that Raj sets out to win over.</t>
        </is>
      </c>
      <c r="J91" s="5" t="inlineStr">
        <is>
          <t>Her final wishes bring forward Simran's wedding to Kuljeet, adding pressure on Raj and Simran.</t>
        </is>
      </c>
      <c r="K91" s="19" t="inlineStr">
        <is>
          <t>Simran's ailing grandmother; the wedding date is advanced to fulfil her final wishes.</t>
        </is>
      </c>
      <c r="L91" s="5" t="n"/>
      <c r="M91" s="5" t="inlineStr">
        <is>
          <t>SOURCE-019</t>
        </is>
      </c>
    </row>
    <row r="92" ht="34" customHeight="1">
      <c r="A92" s="15" t="inlineStr">
        <is>
          <t>CAST-091</t>
        </is>
      </c>
      <c r="B92" s="20" t="inlineStr">
        <is>
          <t>FILM-016</t>
        </is>
      </c>
      <c r="C92" s="5" t="inlineStr">
        <is>
          <t>Dilwale Dulhania Le Jayenge</t>
        </is>
      </c>
      <c r="D92" s="17" t="n">
        <v>1995</v>
      </c>
      <c r="E92" s="5" t="inlineStr">
        <is>
          <t>Satish Shah</t>
        </is>
      </c>
      <c r="F92" s="5" t="inlineStr">
        <is>
          <t>Ajit Singh</t>
        </is>
      </c>
      <c r="G92" s="5" t="inlineStr">
        <is>
          <t>Supporting</t>
        </is>
      </c>
      <c r="H92" s="5" t="inlineStr">
        <is>
          <t>Minor</t>
        </is>
      </c>
      <c r="I92" s="5" t="inlineStr">
        <is>
          <t>Father of Kuljeet, the fiance Raj competes with.</t>
        </is>
      </c>
      <c r="J92" s="5" t="inlineStr">
        <is>
          <t>His son is Simran's childhood betrothed, the obstacle to Raj and Simran.</t>
        </is>
      </c>
      <c r="K92" s="19" t="inlineStr">
        <is>
          <t>Baldev's friend and Kuljeet's father, on the other side of Simran's arranged marriage.</t>
        </is>
      </c>
      <c r="L92" s="5" t="n"/>
      <c r="M92" s="5" t="inlineStr">
        <is>
          <t>SOURCE-019</t>
        </is>
      </c>
    </row>
    <row r="93" ht="34" customHeight="1">
      <c r="A93" s="15" t="inlineStr">
        <is>
          <t>CAST-092</t>
        </is>
      </c>
      <c r="B93" s="20" t="inlineStr">
        <is>
          <t>FILM-017</t>
        </is>
      </c>
      <c r="C93" s="5" t="inlineStr">
        <is>
          <t>Ram Jaane</t>
        </is>
      </c>
      <c r="D93" s="17" t="n">
        <v>1995</v>
      </c>
      <c r="E93" s="5" t="inlineStr">
        <is>
          <t>Vivek Mushran</t>
        </is>
      </c>
      <c r="F93" s="5" t="inlineStr">
        <is>
          <t>Murli</t>
        </is>
      </c>
      <c r="G93" s="5" t="inlineStr">
        <is>
          <t>Romantic rival</t>
        </is>
      </c>
      <c r="H93" s="5" t="inlineStr">
        <is>
          <t>Major</t>
        </is>
      </c>
      <c r="I93" s="5" t="inlineStr">
        <is>
          <t>Childhood friend who tries to reform Ram Jaane</t>
        </is>
      </c>
      <c r="J93" s="5" t="inlineStr">
        <is>
          <t>Bela's secret love</t>
        </is>
      </c>
      <c r="K93" s="19" t="inlineStr">
        <is>
          <t>Runs the Apna Ghar home for the homeless and pleads with Ram Jaane not to die as a hero to the boys.</t>
        </is>
      </c>
      <c r="L93" s="5" t="n"/>
      <c r="M93" s="5" t="inlineStr">
        <is>
          <t>SOURCE-020</t>
        </is>
      </c>
    </row>
    <row r="94" ht="34" customHeight="1">
      <c r="A94" s="15" t="inlineStr">
        <is>
          <t>CAST-093</t>
        </is>
      </c>
      <c r="B94" s="20" t="inlineStr">
        <is>
          <t>FILM-017</t>
        </is>
      </c>
      <c r="C94" s="5" t="inlineStr">
        <is>
          <t>Ram Jaane</t>
        </is>
      </c>
      <c r="D94" s="17" t="n">
        <v>1995</v>
      </c>
      <c r="E94" s="5" t="inlineStr">
        <is>
          <t>Puneet Issar</t>
        </is>
      </c>
      <c r="F94" s="5" t="inlineStr">
        <is>
          <t>Inspector Chewte</t>
        </is>
      </c>
      <c r="G94" s="5" t="inlineStr">
        <is>
          <t>Antagonist</t>
        </is>
      </c>
      <c r="H94" s="5" t="inlineStr">
        <is>
          <t>Major</t>
        </is>
      </c>
      <c r="I94" s="5" t="inlineStr">
        <is>
          <t>Corrupt officer who tortures Ram Jaane from boyhood</t>
        </is>
      </c>
      <c r="J94" s="5" t="inlineStr">
        <is>
          <t>Not applicable</t>
        </is>
      </c>
      <c r="K94" s="19" t="inlineStr">
        <is>
          <t>Beats Ram Jaane in jail, murders his mentor Sanavla and is finally shot by him.</t>
        </is>
      </c>
      <c r="L94" s="5" t="n"/>
      <c r="M94" s="5" t="inlineStr">
        <is>
          <t>SOURCE-020</t>
        </is>
      </c>
    </row>
    <row r="95" ht="34" customHeight="1">
      <c r="A95" s="15" t="inlineStr">
        <is>
          <t>CAST-094</t>
        </is>
      </c>
      <c r="B95" s="20" t="inlineStr">
        <is>
          <t>FILM-017</t>
        </is>
      </c>
      <c r="C95" s="5" t="inlineStr">
        <is>
          <t>Ram Jaane</t>
        </is>
      </c>
      <c r="D95" s="17" t="n">
        <v>1995</v>
      </c>
      <c r="E95" s="5" t="inlineStr">
        <is>
          <t>Pankaj Kapur</t>
        </is>
      </c>
      <c r="F95" s="5" t="inlineStr">
        <is>
          <t>Pannu Technicolor</t>
        </is>
      </c>
      <c r="G95" s="5" t="inlineStr">
        <is>
          <t>Antagonist</t>
        </is>
      </c>
      <c r="H95" s="5" t="inlineStr">
        <is>
          <t>Medium</t>
        </is>
      </c>
      <c r="I95" s="5" t="inlineStr">
        <is>
          <t>Former partner in crime</t>
        </is>
      </c>
      <c r="J95" s="5" t="inlineStr">
        <is>
          <t>Not applicable</t>
        </is>
      </c>
      <c r="K95" s="19" t="inlineStr">
        <is>
          <t>Plots with the rival Bhau to kill Ram Jaane and is killed by him.</t>
        </is>
      </c>
      <c r="L95" s="5" t="n"/>
      <c r="M95" s="5" t="inlineStr">
        <is>
          <t>SOURCE-020</t>
        </is>
      </c>
    </row>
    <row r="96" ht="34" customHeight="1">
      <c r="A96" s="15" t="inlineStr">
        <is>
          <t>CAST-095</t>
        </is>
      </c>
      <c r="B96" s="20" t="inlineStr">
        <is>
          <t>FILM-017</t>
        </is>
      </c>
      <c r="C96" s="5" t="inlineStr">
        <is>
          <t>Ram Jaane</t>
        </is>
      </c>
      <c r="D96" s="17" t="n">
        <v>1995</v>
      </c>
      <c r="E96" s="5" t="inlineStr">
        <is>
          <t>Tinnu Anand</t>
        </is>
      </c>
      <c r="F96" s="5" t="inlineStr">
        <is>
          <t>Sameer Sanavla</t>
        </is>
      </c>
      <c r="G96" s="5" t="inlineStr">
        <is>
          <t>Mentor</t>
        </is>
      </c>
      <c r="H96" s="5" t="inlineStr">
        <is>
          <t>Medium</t>
        </is>
      </c>
      <c r="I96" s="5" t="inlineStr">
        <is>
          <t>Gangster who treats Ram Jaane like his own son</t>
        </is>
      </c>
      <c r="J96" s="5" t="inlineStr">
        <is>
          <t>Not applicable</t>
        </is>
      </c>
      <c r="K96" s="19" t="inlineStr">
        <is>
          <t>Ram Jaane's employer, murdered by Chewte.</t>
        </is>
      </c>
      <c r="L96" s="5" t="n"/>
      <c r="M96" s="5" t="inlineStr">
        <is>
          <t>SOURCE-020</t>
        </is>
      </c>
    </row>
    <row r="97" ht="34" customHeight="1">
      <c r="A97" s="15" t="inlineStr">
        <is>
          <t>CAST-096</t>
        </is>
      </c>
      <c r="B97" s="20" t="inlineStr">
        <is>
          <t>FILM-017</t>
        </is>
      </c>
      <c r="C97" s="5" t="inlineStr">
        <is>
          <t>Ram Jaane</t>
        </is>
      </c>
      <c r="D97" s="17" t="n">
        <v>1995</v>
      </c>
      <c r="E97" s="5" t="inlineStr">
        <is>
          <t>Gulshan Grover</t>
        </is>
      </c>
      <c r="F97" s="5" t="inlineStr">
        <is>
          <t>Bhau</t>
        </is>
      </c>
      <c r="G97" s="5" t="inlineStr">
        <is>
          <t>Antagonist</t>
        </is>
      </c>
      <c r="H97" s="5" t="inlineStr">
        <is>
          <t>Medium</t>
        </is>
      </c>
      <c r="I97" s="5" t="inlineStr">
        <is>
          <t>Ram Jaane's rival.</t>
        </is>
      </c>
      <c r="J97" s="5" t="inlineStr">
        <is>
          <t>Not applicable</t>
        </is>
      </c>
      <c r="K97" s="19" t="inlineStr">
        <is>
          <t>Plotted with Technicolor to kill Ram Jaane, who killed them both on discovering the plot.</t>
        </is>
      </c>
      <c r="L97" s="5" t="n"/>
      <c r="M97" s="5" t="inlineStr">
        <is>
          <t>SOURCE-020</t>
        </is>
      </c>
    </row>
    <row r="98" ht="49" customHeight="1">
      <c r="A98" s="15" t="inlineStr">
        <is>
          <t>CAST-097</t>
        </is>
      </c>
      <c r="B98" s="20" t="inlineStr">
        <is>
          <t>FILM-017</t>
        </is>
      </c>
      <c r="C98" s="5" t="inlineStr">
        <is>
          <t>Ram Jaane</t>
        </is>
      </c>
      <c r="D98" s="17" t="n">
        <v>1995</v>
      </c>
      <c r="E98" s="5" t="inlineStr">
        <is>
          <t>G.P Singh</t>
        </is>
      </c>
      <c r="F98" s="5" t="inlineStr">
        <is>
          <t>Baweja Builder</t>
        </is>
      </c>
      <c r="G98" s="5" t="inlineStr">
        <is>
          <t>Antagonist</t>
        </is>
      </c>
      <c r="H98" s="5" t="inlineStr">
        <is>
          <t>Medium</t>
        </is>
      </c>
      <c r="I98" s="5" t="inlineStr">
        <is>
          <t>A criminal with a vendetta against Ram Jaane.</t>
        </is>
      </c>
      <c r="J98" s="5" t="inlineStr">
        <is>
          <t>Not applicable</t>
        </is>
      </c>
      <c r="K98" s="19" t="inlineStr">
        <is>
          <t>Ordered his gang to attack Apna Ghar and its residents; Ram Jaane thwarted the attack and later shot him dead, prompting Chewte's pursuit.</t>
        </is>
      </c>
      <c r="L98" s="5" t="n"/>
      <c r="M98" s="5" t="inlineStr">
        <is>
          <t>SOURCE-020</t>
        </is>
      </c>
    </row>
    <row r="99" ht="34" customHeight="1">
      <c r="A99" s="15" t="inlineStr">
        <is>
          <t>CAST-098</t>
        </is>
      </c>
      <c r="B99" s="20" t="inlineStr">
        <is>
          <t>FILM-018</t>
        </is>
      </c>
      <c r="C99" s="5" t="inlineStr">
        <is>
          <t>Trimurti</t>
        </is>
      </c>
      <c r="D99" s="17" t="n">
        <v>1995</v>
      </c>
      <c r="E99" s="5" t="inlineStr">
        <is>
          <t>Anil Kapoor</t>
        </is>
      </c>
      <c r="F99" s="5" t="inlineStr">
        <is>
          <t>Anand Singh / Sikander</t>
        </is>
      </c>
      <c r="G99" s="5" t="inlineStr">
        <is>
          <t>Co-lead</t>
        </is>
      </c>
      <c r="H99" s="5" t="inlineStr">
        <is>
          <t>Major</t>
        </is>
      </c>
      <c r="I99" s="5" t="inlineStr">
        <is>
          <t>Romi's estranged elder brother, who helps him get rich</t>
        </is>
      </c>
      <c r="J99" s="5" t="inlineStr">
        <is>
          <t>Sympathises with Romi as a romantic at heart</t>
        </is>
      </c>
      <c r="K99" s="19" t="inlineStr">
        <is>
          <t>Left home after a childhood fight with Shakti and became a black-market operator working for Khokha.</t>
        </is>
      </c>
      <c r="L99" s="5" t="n"/>
      <c r="M99" s="5" t="inlineStr">
        <is>
          <t>SOURCE-021</t>
        </is>
      </c>
    </row>
    <row r="100" ht="34" customHeight="1">
      <c r="A100" s="15" t="inlineStr">
        <is>
          <t>CAST-099</t>
        </is>
      </c>
      <c r="B100" s="20" t="inlineStr">
        <is>
          <t>FILM-018</t>
        </is>
      </c>
      <c r="C100" s="5" t="inlineStr">
        <is>
          <t>Trimurti</t>
        </is>
      </c>
      <c r="D100" s="17" t="n">
        <v>1995</v>
      </c>
      <c r="E100" s="5" t="inlineStr">
        <is>
          <t>Jackie Shroff</t>
        </is>
      </c>
      <c r="F100" s="5" t="inlineStr">
        <is>
          <t>Shakti Singh</t>
        </is>
      </c>
      <c r="G100" s="5" t="inlineStr">
        <is>
          <t>Co-lead</t>
        </is>
      </c>
      <c r="H100" s="5" t="inlineStr">
        <is>
          <t>Major</t>
        </is>
      </c>
      <c r="I100" s="5" t="inlineStr">
        <is>
          <t>Romi's elder brother, with whom he lives</t>
        </is>
      </c>
      <c r="J100" s="5" t="inlineStr">
        <is>
          <t>Humiliated when he asks Radha's family for her hand</t>
        </is>
      </c>
      <c r="K100" s="19" t="inlineStr">
        <is>
          <t>Military man and emotional wreck who reunites with his brothers to rescue their mother.</t>
        </is>
      </c>
      <c r="L100" s="5" t="n"/>
      <c r="M100" s="5" t="inlineStr">
        <is>
          <t>SOURCE-021</t>
        </is>
      </c>
    </row>
    <row r="101" ht="34" customHeight="1">
      <c r="A101" s="15" t="inlineStr">
        <is>
          <t>CAST-100</t>
        </is>
      </c>
      <c r="B101" s="20" t="inlineStr">
        <is>
          <t>FILM-018</t>
        </is>
      </c>
      <c r="C101" s="5" t="inlineStr">
        <is>
          <t>Trimurti</t>
        </is>
      </c>
      <c r="D101" s="17" t="n">
        <v>1995</v>
      </c>
      <c r="E101" s="5" t="inlineStr">
        <is>
          <t>Priya Tendulkar</t>
        </is>
      </c>
      <c r="F101" s="5" t="inlineStr">
        <is>
          <t>Satyadevi Singh</t>
        </is>
      </c>
      <c r="G101" s="5" t="inlineStr">
        <is>
          <t>Family</t>
        </is>
      </c>
      <c r="H101" s="5" t="inlineStr">
        <is>
          <t>Major</t>
        </is>
      </c>
      <c r="I101" s="5" t="inlineStr">
        <is>
          <t>Romi's mother, who gave birth to him in jail</t>
        </is>
      </c>
      <c r="J101" s="5" t="inlineStr">
        <is>
          <t>Not applicable</t>
        </is>
      </c>
      <c r="K101" s="19" t="inlineStr">
        <is>
          <t>Police inspector framed by Khokha Singh who hopes her three sons will avenge her.</t>
        </is>
      </c>
      <c r="L101" s="5" t="n"/>
      <c r="M101" s="5" t="inlineStr">
        <is>
          <t>SOURCE-021</t>
        </is>
      </c>
    </row>
    <row r="102" ht="34" customHeight="1">
      <c r="A102" s="15" t="inlineStr">
        <is>
          <t>CAST-101</t>
        </is>
      </c>
      <c r="B102" s="20" t="inlineStr">
        <is>
          <t>FILM-018</t>
        </is>
      </c>
      <c r="C102" s="5" t="inlineStr">
        <is>
          <t>Trimurti</t>
        </is>
      </c>
      <c r="D102" s="17" t="n">
        <v>1995</v>
      </c>
      <c r="E102" s="5" t="inlineStr">
        <is>
          <t>Mohan Agashe</t>
        </is>
      </c>
      <c r="F102" s="5" t="inlineStr">
        <is>
          <t>Khokha Singh</t>
        </is>
      </c>
      <c r="G102" s="5" t="inlineStr">
        <is>
          <t>Antagonist</t>
        </is>
      </c>
      <c r="H102" s="5" t="inlineStr">
        <is>
          <t>Major</t>
        </is>
      </c>
      <c r="I102" s="5" t="inlineStr">
        <is>
          <t>Employs Romi and assigns him to kill his own mother</t>
        </is>
      </c>
      <c r="J102" s="5" t="inlineStr">
        <is>
          <t>Not applicable</t>
        </is>
      </c>
      <c r="K102" s="19" t="inlineStr">
        <is>
          <t>Criminal who entrapped Satyadevi; killed by the reunited brothers.</t>
        </is>
      </c>
      <c r="L102" s="5" t="n"/>
      <c r="M102" s="5" t="inlineStr">
        <is>
          <t>SOURCE-021</t>
        </is>
      </c>
    </row>
    <row r="103" ht="49" customHeight="1">
      <c r="A103" s="15" t="inlineStr">
        <is>
          <t>CAST-102</t>
        </is>
      </c>
      <c r="B103" s="20" t="inlineStr">
        <is>
          <t>FILM-018</t>
        </is>
      </c>
      <c r="C103" s="5" t="inlineStr">
        <is>
          <t>Trimurti</t>
        </is>
      </c>
      <c r="D103" s="17" t="n">
        <v>1995</v>
      </c>
      <c r="E103" s="5" t="inlineStr">
        <is>
          <t>Saeed Jaffrey</t>
        </is>
      </c>
      <c r="F103" s="5" t="inlineStr">
        <is>
          <t>Bhanuwala</t>
        </is>
      </c>
      <c r="G103" s="5" t="inlineStr">
        <is>
          <t>Family</t>
        </is>
      </c>
      <c r="H103" s="5" t="inlineStr">
        <is>
          <t>Medium</t>
        </is>
      </c>
      <c r="I103" s="5" t="inlineStr">
        <is>
          <t>Uncle of Romi and his brothers, Satyadevi's brother.</t>
        </is>
      </c>
      <c r="J103" s="5" t="inlineStr">
        <is>
          <t>Not applicable</t>
        </is>
      </c>
      <c r="K103" s="19" t="inlineStr">
        <is>
          <t>Satyadevi's brother Bhanu, who tells the brothers their mother hopes they will again become her Trimurti, and tells Satyadevi on her release that all is not well with her sons.</t>
        </is>
      </c>
      <c r="L103" s="5" t="n"/>
      <c r="M103" s="5" t="inlineStr">
        <is>
          <t>SOURCE-021</t>
        </is>
      </c>
    </row>
    <row r="104" ht="34" customHeight="1">
      <c r="A104" s="15" t="inlineStr">
        <is>
          <t>CAST-103</t>
        </is>
      </c>
      <c r="B104" s="20" t="inlineStr">
        <is>
          <t>FILM-019</t>
        </is>
      </c>
      <c r="C104" s="5" t="inlineStr">
        <is>
          <t>English Babu Desi Mem</t>
        </is>
      </c>
      <c r="D104" s="17" t="n">
        <v>1996</v>
      </c>
      <c r="E104" s="5" t="inlineStr">
        <is>
          <t>Arhhan Singh</t>
        </is>
      </c>
      <c r="F104" s="5" t="inlineStr">
        <is>
          <t>Nandlal "Nandu" Mayur</t>
        </is>
      </c>
      <c r="G104" s="5" t="inlineStr">
        <is>
          <t>Family</t>
        </is>
      </c>
      <c r="H104" s="5" t="inlineStr">
        <is>
          <t>Major</t>
        </is>
      </c>
      <c r="I104" s="5" t="inlineStr">
        <is>
          <t>Vikram's orphaned nephew and Hari's son</t>
        </is>
      </c>
      <c r="J104" s="5" t="inlineStr">
        <is>
          <t>The custody dispute over him brings Vikram and Bijuriya together</t>
        </is>
      </c>
      <c r="K104" s="19" t="inlineStr">
        <is>
          <t>Raised by Bijuriya, he detests his newfound uncle and does odd jobs to pay for her marriage.</t>
        </is>
      </c>
      <c r="L104" s="5" t="n"/>
      <c r="M104" s="5" t="inlineStr">
        <is>
          <t>SOURCE-022</t>
        </is>
      </c>
    </row>
    <row r="105" ht="34" customHeight="1">
      <c r="A105" s="15" t="inlineStr">
        <is>
          <t>CAST-104</t>
        </is>
      </c>
      <c r="B105" s="20" t="inlineStr">
        <is>
          <t>FILM-019</t>
        </is>
      </c>
      <c r="C105" s="5" t="inlineStr">
        <is>
          <t>English Babu Desi Mem</t>
        </is>
      </c>
      <c r="D105" s="17" t="n">
        <v>1996</v>
      </c>
      <c r="E105" s="5" t="inlineStr">
        <is>
          <t>Saeed Jaffrey</t>
        </is>
      </c>
      <c r="F105" s="5" t="inlineStr">
        <is>
          <t>Lawyer Madadgar</t>
        </is>
      </c>
      <c r="G105" s="5" t="inlineStr">
        <is>
          <t>Supporting</t>
        </is>
      </c>
      <c r="H105" s="5" t="inlineStr">
        <is>
          <t>Medium</t>
        </is>
      </c>
      <c r="I105" s="5" t="inlineStr">
        <is>
          <t>Brings Vikram to Mumbai with a lawsuit</t>
        </is>
      </c>
      <c r="J105" s="5" t="inlineStr">
        <is>
          <t>Sets in motion the meeting of Vikram and Bijuriya</t>
        </is>
      </c>
      <c r="K105" s="19" t="inlineStr">
        <is>
          <t>Family friend of Bijuriya and Katariya who recognises Vikram on television as Nandu's uncle.</t>
        </is>
      </c>
      <c r="L105" s="5" t="n"/>
      <c r="M105" s="5" t="inlineStr">
        <is>
          <t>SOURCE-022</t>
        </is>
      </c>
    </row>
    <row r="106" ht="34" customHeight="1">
      <c r="A106" s="15" t="inlineStr">
        <is>
          <t>CAST-105</t>
        </is>
      </c>
      <c r="B106" s="20" t="inlineStr">
        <is>
          <t>FILM-019</t>
        </is>
      </c>
      <c r="C106" s="5" t="inlineStr">
        <is>
          <t>English Babu Desi Mem</t>
        </is>
      </c>
      <c r="D106" s="17" t="n">
        <v>1996</v>
      </c>
      <c r="E106" s="5" t="inlineStr">
        <is>
          <t>Kiran Kumar</t>
        </is>
      </c>
      <c r="F106" s="5" t="inlineStr">
        <is>
          <t>Bheema Khalasi</t>
        </is>
      </c>
      <c r="G106" s="5" t="inlineStr">
        <is>
          <t>Antagonist</t>
        </is>
      </c>
      <c r="H106" s="5" t="inlineStr">
        <is>
          <t>Medium</t>
        </is>
      </c>
      <c r="I106" s="5" t="inlineStr">
        <is>
          <t>Overpowered by Vikram</t>
        </is>
      </c>
      <c r="J106" s="5" t="inlineStr">
        <is>
          <t>Abducts Bijuriya and tries to rape her</t>
        </is>
      </c>
      <c r="K106" s="19" t="inlineStr">
        <is>
          <t>Goon who covets Bijuriya.</t>
        </is>
      </c>
      <c r="L106" s="5" t="n"/>
      <c r="M106" s="5" t="inlineStr">
        <is>
          <t>SOURCE-022</t>
        </is>
      </c>
    </row>
    <row r="107" ht="34" customHeight="1">
      <c r="A107" s="15" t="inlineStr">
        <is>
          <t>CAST-106</t>
        </is>
      </c>
      <c r="B107" s="20" t="inlineStr">
        <is>
          <t>FILM-020</t>
        </is>
      </c>
      <c r="C107" s="5" t="inlineStr">
        <is>
          <t>Chaahat</t>
        </is>
      </c>
      <c r="D107" s="17" t="n">
        <v>1996</v>
      </c>
      <c r="E107" s="5" t="inlineStr">
        <is>
          <t>Naseeruddin Shah</t>
        </is>
      </c>
      <c r="F107" s="5" t="inlineStr">
        <is>
          <t>Ajay Narang</t>
        </is>
      </c>
      <c r="G107" s="5" t="inlineStr">
        <is>
          <t>Antagonist</t>
        </is>
      </c>
      <c r="H107" s="5" t="inlineStr">
        <is>
          <t>Major</t>
        </is>
      </c>
      <c r="I107" s="5" t="inlineStr">
        <is>
          <t>Hotel owner who forces Roop into his sister's service</t>
        </is>
      </c>
      <c r="J107" s="5" t="inlineStr">
        <is>
          <t>Enforces Reshma's obsession; takes Pooja hostage</t>
        </is>
      </c>
      <c r="K107" s="19" t="inlineStr">
        <is>
          <t>Gangster-like hotelier obsessed with keeping his sister happy; he hangs Roop's father and accidentally shoots Reshma.</t>
        </is>
      </c>
      <c r="L107" s="5" t="n"/>
      <c r="M107" s="5" t="inlineStr">
        <is>
          <t>SOURCE-023</t>
        </is>
      </c>
    </row>
    <row r="108" ht="34" customHeight="1">
      <c r="A108" s="15" t="inlineStr">
        <is>
          <t>CAST-107</t>
        </is>
      </c>
      <c r="B108" s="20" t="inlineStr">
        <is>
          <t>FILM-020</t>
        </is>
      </c>
      <c r="C108" s="5" t="inlineStr">
        <is>
          <t>Chaahat</t>
        </is>
      </c>
      <c r="D108" s="17" t="n">
        <v>1996</v>
      </c>
      <c r="E108" s="5" t="inlineStr">
        <is>
          <t>Anupam Kher</t>
        </is>
      </c>
      <c r="F108" s="5" t="inlineStr">
        <is>
          <t>Shambunath Singh Rathod</t>
        </is>
      </c>
      <c r="G108" s="5" t="inlineStr">
        <is>
          <t>Family</t>
        </is>
      </c>
      <c r="H108" s="5" t="inlineStr">
        <is>
          <t>Major</t>
        </is>
      </c>
      <c r="I108" s="5" t="inlineStr">
        <is>
          <t>Roop's father, also a singer</t>
        </is>
      </c>
      <c r="J108" s="5" t="inlineStr">
        <is>
          <t>Sacrifices himself so Roop can save Pooja</t>
        </is>
      </c>
      <c r="K108" s="19" t="inlineStr">
        <is>
          <t>Falls ill and needs surgery in Bombay; strung up on a gallows by Ajay, he kicks Roop away to free him.</t>
        </is>
      </c>
      <c r="L108" s="5" t="n"/>
      <c r="M108" s="5" t="inlineStr">
        <is>
          <t>SOURCE-023</t>
        </is>
      </c>
    </row>
    <row r="109" ht="34" customHeight="1">
      <c r="A109" s="15" t="inlineStr">
        <is>
          <t>CAST-108</t>
        </is>
      </c>
      <c r="B109" s="20" t="inlineStr">
        <is>
          <t>FILM-020</t>
        </is>
      </c>
      <c r="C109" s="5" t="inlineStr">
        <is>
          <t>Chaahat</t>
        </is>
      </c>
      <c r="D109" s="17" t="n">
        <v>1996</v>
      </c>
      <c r="E109" s="5" t="inlineStr">
        <is>
          <t>Shrivallabh Vyas</t>
        </is>
      </c>
      <c r="F109" s="5" t="inlineStr">
        <is>
          <t>Patel</t>
        </is>
      </c>
      <c r="G109" s="5" t="inlineStr">
        <is>
          <t>Supporting</t>
        </is>
      </c>
      <c r="H109" s="5" t="inlineStr">
        <is>
          <t>Medium</t>
        </is>
      </c>
      <c r="I109" s="5" t="inlineStr">
        <is>
          <t>Ajay Narang's rival, for whom Roop briefly works.</t>
        </is>
      </c>
      <c r="J109" s="5" t="inlineStr">
        <is>
          <t>Not applicable</t>
        </is>
      </c>
      <c r="K109" s="19" t="inlineStr">
        <is>
          <t>A hotel owner Roop chose to work for instead of taking Reshma's offer; Ajay beat him until he agreed to throw Roop out.</t>
        </is>
      </c>
      <c r="L109" s="5" t="n"/>
      <c r="M109" s="5" t="inlineStr">
        <is>
          <t>SOURCE-023</t>
        </is>
      </c>
    </row>
    <row r="110" ht="34" customHeight="1">
      <c r="A110" s="15" t="inlineStr">
        <is>
          <t>CAST-109</t>
        </is>
      </c>
      <c r="B110" s="20" t="inlineStr">
        <is>
          <t>FILM-021</t>
        </is>
      </c>
      <c r="C110" s="5" t="inlineStr">
        <is>
          <t>Army</t>
        </is>
      </c>
      <c r="D110" s="17" t="n">
        <v>1996</v>
      </c>
      <c r="E110" s="5" t="inlineStr">
        <is>
          <t>Danny Denzongpa</t>
        </is>
      </c>
      <c r="F110" s="5" t="inlineStr">
        <is>
          <t>Naagraj</t>
        </is>
      </c>
      <c r="G110" s="5" t="inlineStr">
        <is>
          <t>Antagonist</t>
        </is>
      </c>
      <c r="H110" s="5" t="inlineStr">
        <is>
          <t>Major</t>
        </is>
      </c>
      <c r="I110" s="5" t="inlineStr">
        <is>
          <t>Gangster who kills Arjun</t>
        </is>
      </c>
      <c r="J110" s="5" t="inlineStr">
        <is>
          <t>Widows Geeta</t>
        </is>
      </c>
      <c r="K110" s="19" t="inlineStr">
        <is>
          <t>Notorious gangster who scoffs at the widow's vengeance until she and a band of convicts confront him.</t>
        </is>
      </c>
      <c r="L110" s="5" t="n"/>
      <c r="M110" s="5" t="inlineStr">
        <is>
          <t>SOURCE-024</t>
        </is>
      </c>
    </row>
    <row r="111" ht="34" customHeight="1">
      <c r="A111" s="15" t="inlineStr">
        <is>
          <t>CAST-110</t>
        </is>
      </c>
      <c r="B111" s="20" t="inlineStr">
        <is>
          <t>FILM-021</t>
        </is>
      </c>
      <c r="C111" s="5" t="inlineStr">
        <is>
          <t>Army</t>
        </is>
      </c>
      <c r="D111" s="17" t="n">
        <v>1996</v>
      </c>
      <c r="E111" s="5" t="inlineStr">
        <is>
          <t>Kiran Kumar</t>
        </is>
      </c>
      <c r="F111" s="5" t="inlineStr">
        <is>
          <t>Jailer Raghuveer Singh</t>
        </is>
      </c>
      <c r="G111" s="5" t="inlineStr">
        <is>
          <t>Friend</t>
        </is>
      </c>
      <c r="H111" s="5" t="inlineStr">
        <is>
          <t>Medium</t>
        </is>
      </c>
      <c r="I111" s="5" t="inlineStr">
        <is>
          <t>Arjun's friend</t>
        </is>
      </c>
      <c r="J111" s="5" t="inlineStr">
        <is>
          <t>Not applicable</t>
        </is>
      </c>
      <c r="K111" s="19" t="inlineStr">
        <is>
          <t>Acclaimed jailer and friend of Arjun; the convicts who join Geeta are on the run.</t>
        </is>
      </c>
      <c r="L111" s="5" t="n"/>
      <c r="M111" s="5" t="inlineStr">
        <is>
          <t>SOURCE-024</t>
        </is>
      </c>
    </row>
    <row r="112" ht="34" customHeight="1">
      <c r="A112" s="15" t="inlineStr">
        <is>
          <t>CAST-111</t>
        </is>
      </c>
      <c r="B112" s="20" t="inlineStr">
        <is>
          <t>FILM-022</t>
        </is>
      </c>
      <c r="C112" s="5" t="inlineStr">
        <is>
          <t>Dushman Duniya Ka</t>
        </is>
      </c>
      <c r="D112" s="17" t="n">
        <v>1996</v>
      </c>
      <c r="E112" s="5" t="inlineStr">
        <is>
          <t>Jeetendra</t>
        </is>
      </c>
      <c r="F112" s="5" t="inlineStr">
        <is>
          <t>Mahesh Thakur</t>
        </is>
      </c>
      <c r="G112" s="5" t="inlineStr">
        <is>
          <t>Co-lead</t>
        </is>
      </c>
      <c r="H112" s="5" t="inlineStr">
        <is>
          <t>Major</t>
        </is>
      </c>
      <c r="I112" s="5" t="inlineStr">
        <is>
          <t>Badru's close friend</t>
        </is>
      </c>
      <c r="J112" s="5" t="inlineStr">
        <is>
          <t>Not applicable</t>
        </is>
      </c>
      <c r="K112" s="19" t="inlineStr">
        <is>
          <t>Orphan who marries Reshma with Badru's blessing and builds a family.</t>
        </is>
      </c>
      <c r="L112" s="5" t="n"/>
      <c r="M112" s="5" t="inlineStr">
        <is>
          <t>SOURCE-025</t>
        </is>
      </c>
    </row>
    <row r="113" ht="19" customHeight="1">
      <c r="A113" s="15" t="inlineStr">
        <is>
          <t>CAST-112</t>
        </is>
      </c>
      <c r="B113" s="20" t="inlineStr">
        <is>
          <t>FILM-022</t>
        </is>
      </c>
      <c r="C113" s="5" t="inlineStr">
        <is>
          <t>Dushman Duniya Ka</t>
        </is>
      </c>
      <c r="D113" s="17" t="n">
        <v>1996</v>
      </c>
      <c r="E113" s="5" t="inlineStr">
        <is>
          <t>Sumalatha</t>
        </is>
      </c>
      <c r="F113" s="5" t="inlineStr">
        <is>
          <t>Reshma</t>
        </is>
      </c>
      <c r="G113" s="5" t="inlineStr">
        <is>
          <t>Co-lead</t>
        </is>
      </c>
      <c r="H113" s="5" t="inlineStr">
        <is>
          <t>Major</t>
        </is>
      </c>
      <c r="I113" s="5" t="inlineStr">
        <is>
          <t>Wife of Badru's friend</t>
        </is>
      </c>
      <c r="J113" s="5" t="inlineStr">
        <is>
          <t>Not applicable</t>
        </is>
      </c>
      <c r="K113" s="19" t="inlineStr">
        <is>
          <t>Fellow orphan who marries Mahesh; mother of Lucky.</t>
        </is>
      </c>
      <c r="L113" s="5" t="n"/>
      <c r="M113" s="5" t="inlineStr">
        <is>
          <t>SOURCE-025</t>
        </is>
      </c>
    </row>
    <row r="114" ht="19" customHeight="1">
      <c r="A114" s="15" t="inlineStr">
        <is>
          <t>CAST-113</t>
        </is>
      </c>
      <c r="B114" s="20" t="inlineStr">
        <is>
          <t>FILM-022</t>
        </is>
      </c>
      <c r="C114" s="5" t="inlineStr">
        <is>
          <t>Dushman Duniya Ka</t>
        </is>
      </c>
      <c r="D114" s="17" t="n">
        <v>1996</v>
      </c>
      <c r="E114" s="5" t="inlineStr">
        <is>
          <t>Salman Khan</t>
        </is>
      </c>
      <c r="F114" s="5" t="inlineStr">
        <is>
          <t>Himself</t>
        </is>
      </c>
      <c r="G114" s="5" t="inlineStr">
        <is>
          <t>Self appearance</t>
        </is>
      </c>
      <c r="H114" s="5" t="inlineStr">
        <is>
          <t>Minor</t>
        </is>
      </c>
      <c r="I114" s="5" t="inlineStr">
        <is>
          <t>Fellow guest star</t>
        </is>
      </c>
      <c r="J114" s="5" t="inlineStr">
        <is>
          <t>Not applicable</t>
        </is>
      </c>
      <c r="K114" s="19" t="inlineStr">
        <is>
          <t>Special appearance as himself.</t>
        </is>
      </c>
      <c r="L114" s="5" t="n"/>
      <c r="M114" s="5" t="inlineStr">
        <is>
          <t>SOURCE-025</t>
        </is>
      </c>
    </row>
    <row r="115" ht="64" customHeight="1">
      <c r="A115" s="15" t="inlineStr">
        <is>
          <t>CAST-114</t>
        </is>
      </c>
      <c r="B115" s="20" t="inlineStr">
        <is>
          <t>FILM-022</t>
        </is>
      </c>
      <c r="C115" s="5" t="inlineStr">
        <is>
          <t>Dushman Duniya Ka</t>
        </is>
      </c>
      <c r="D115" s="17" t="n">
        <v>1996</v>
      </c>
      <c r="E115" s="5" t="inlineStr">
        <is>
          <t>Manzoor Ali</t>
        </is>
      </c>
      <c r="F115" s="5" t="inlineStr">
        <is>
          <t>Lucky</t>
        </is>
      </c>
      <c r="G115" s="5" t="inlineStr">
        <is>
          <t>Co-lead</t>
        </is>
      </c>
      <c r="H115" s="5" t="inlineStr">
        <is>
          <t>Major</t>
        </is>
      </c>
      <c r="I115" s="5" t="inlineStr">
        <is>
          <t>Son of Mahesh, the protagonist; Badru, Mahesh's friend, dies during a chase involving the young Lucky.</t>
        </is>
      </c>
      <c r="J115" s="5" t="inlineStr">
        <is>
          <t>Not applicable</t>
        </is>
      </c>
      <c r="K115" s="19" t="inlineStr">
        <is>
          <t>Mahesh and Reshma's son, who falls into drug addiction and crime, kills his mother while trying to take her mangalsutra, and is mercy-killed by his father. The article notes this as Manzoor Ali's debut.</t>
        </is>
      </c>
      <c r="L115" s="5" t="n"/>
      <c r="M115" s="5" t="inlineStr">
        <is>
          <t>SOURCE-025</t>
        </is>
      </c>
    </row>
    <row r="116" ht="49" customHeight="1">
      <c r="A116" s="15" t="inlineStr">
        <is>
          <t>CAST-115</t>
        </is>
      </c>
      <c r="B116" s="20" t="inlineStr">
        <is>
          <t>FILM-022</t>
        </is>
      </c>
      <c r="C116" s="5" t="inlineStr">
        <is>
          <t>Dushman Duniya Ka</t>
        </is>
      </c>
      <c r="D116" s="17" t="n">
        <v>1996</v>
      </c>
      <c r="E116" s="5" t="inlineStr">
        <is>
          <t>Laila</t>
        </is>
      </c>
      <c r="F116" s="5" t="inlineStr">
        <is>
          <t>Lata</t>
        </is>
      </c>
      <c r="G116" s="5" t="inlineStr">
        <is>
          <t>Supporting</t>
        </is>
      </c>
      <c r="H116" s="5" t="inlineStr">
        <is>
          <t>Medium</t>
        </is>
      </c>
      <c r="I116" s="5" t="inlineStr">
        <is>
          <t>Lucky's fiancee; not linked to Badru.</t>
        </is>
      </c>
      <c r="J116" s="5" t="inlineStr">
        <is>
          <t>Not applicable</t>
        </is>
      </c>
      <c r="K116" s="19" t="inlineStr">
        <is>
          <t>Lucky's partner, whom he was about to marry; she broke up with him after his father cast him out. The article notes this as Laila's debut.</t>
        </is>
      </c>
      <c r="L116" s="5" t="n"/>
      <c r="M116" s="5" t="inlineStr">
        <is>
          <t>SOURCE-025</t>
        </is>
      </c>
    </row>
    <row r="117" ht="34" customHeight="1">
      <c r="A117" s="15" t="inlineStr">
        <is>
          <t>CAST-116</t>
        </is>
      </c>
      <c r="B117" s="20" t="inlineStr">
        <is>
          <t>FILM-023</t>
        </is>
      </c>
      <c r="C117" s="5" t="inlineStr">
        <is>
          <t>Gudgudee</t>
        </is>
      </c>
      <c r="D117" s="17" t="n">
        <v>1997</v>
      </c>
      <c r="E117" s="5" t="inlineStr">
        <is>
          <t>Anupam Kher</t>
        </is>
      </c>
      <c r="F117" s="5" t="inlineStr">
        <is>
          <t>Ajay Prasad</t>
        </is>
      </c>
      <c r="G117" s="5" t="inlineStr">
        <is>
          <t>Co-lead</t>
        </is>
      </c>
      <c r="H117" s="5" t="inlineStr">
        <is>
          <t>Major</t>
        </is>
      </c>
      <c r="I117" s="5" t="inlineStr">
        <is>
          <t>Lead of the film in which Khan appears as himself</t>
        </is>
      </c>
      <c r="J117" s="5" t="inlineStr">
        <is>
          <t>Not applicable</t>
        </is>
      </c>
      <c r="K117" s="19" t="inlineStr">
        <is>
          <t>Naive, imaginative married man who travels to Bombay for a wedding and fantasises about his neighbour Chandni.</t>
        </is>
      </c>
      <c r="L117" s="5" t="n"/>
      <c r="M117" s="5" t="inlineStr">
        <is>
          <t>SOURCE-026</t>
        </is>
      </c>
    </row>
    <row r="118" ht="49" customHeight="1">
      <c r="A118" s="15" t="inlineStr">
        <is>
          <t>CAST-117</t>
        </is>
      </c>
      <c r="B118" s="20" t="inlineStr">
        <is>
          <t>FILM-023</t>
        </is>
      </c>
      <c r="C118" s="5" t="inlineStr">
        <is>
          <t>Gudgudee</t>
        </is>
      </c>
      <c r="D118" s="17" t="n">
        <v>1997</v>
      </c>
      <c r="E118" s="5" t="inlineStr">
        <is>
          <t>Pratibha Sinha</t>
        </is>
      </c>
      <c r="F118" s="5" t="inlineStr">
        <is>
          <t>Chandni</t>
        </is>
      </c>
      <c r="G118" s="5" t="inlineStr">
        <is>
          <t>Co-lead</t>
        </is>
      </c>
      <c r="H118" s="5" t="inlineStr">
        <is>
          <t>Major</t>
        </is>
      </c>
      <c r="I118" s="5" t="inlineStr">
        <is>
          <t>Neighbour of the film's protagonist Ajay Prasad; Shah Rukh Khan appears as himself.</t>
        </is>
      </c>
      <c r="J118" s="5" t="inlineStr">
        <is>
          <t>Not applicable</t>
        </is>
      </c>
      <c r="K118" s="19" t="inlineStr">
        <is>
          <t>Ajay's single neighbour in Bombay who acts in commercials, and with whom he begins a comic affair.</t>
        </is>
      </c>
      <c r="L118" s="5" t="n"/>
      <c r="M118" s="5" t="inlineStr">
        <is>
          <t>SOURCE-026</t>
        </is>
      </c>
    </row>
    <row r="119" ht="49" customHeight="1">
      <c r="A119" s="15" t="inlineStr">
        <is>
          <t>CAST-118</t>
        </is>
      </c>
      <c r="B119" s="20" t="inlineStr">
        <is>
          <t>FILM-023</t>
        </is>
      </c>
      <c r="C119" s="5" t="inlineStr">
        <is>
          <t>Gudgudee</t>
        </is>
      </c>
      <c r="D119" s="17" t="n">
        <v>1997</v>
      </c>
      <c r="E119" s="5" t="inlineStr">
        <is>
          <t>Satish Kaushik</t>
        </is>
      </c>
      <c r="F119" s="5" t="inlineStr">
        <is>
          <t>Ravindranath "Ravi"</t>
        </is>
      </c>
      <c r="G119" s="5" t="inlineStr">
        <is>
          <t>Supporting</t>
        </is>
      </c>
      <c r="H119" s="5" t="inlineStr">
        <is>
          <t>Medium</t>
        </is>
      </c>
      <c r="I119" s="5" t="inlineStr">
        <is>
          <t>Host of the film's protagonist Ajay Prasad in Bombay; Shah Rukh Khan appears as himself.</t>
        </is>
      </c>
      <c r="J119" s="5" t="inlineStr">
        <is>
          <t>Not applicable</t>
        </is>
      </c>
      <c r="K119" s="19" t="inlineStr">
        <is>
          <t>Meets Ajay at the airport and drives him to his apartment in a wealthy area of Bombay.</t>
        </is>
      </c>
      <c r="L119" s="5" t="n"/>
      <c r="M119" s="5" t="inlineStr">
        <is>
          <t>SOURCE-026</t>
        </is>
      </c>
    </row>
    <row r="120" ht="34" customHeight="1">
      <c r="A120" s="15" t="inlineStr">
        <is>
          <t>CAST-119</t>
        </is>
      </c>
      <c r="B120" s="20" t="inlineStr">
        <is>
          <t>FILM-024</t>
        </is>
      </c>
      <c r="C120" s="5" t="inlineStr">
        <is>
          <t>Koyla</t>
        </is>
      </c>
      <c r="D120" s="17" t="n">
        <v>1997</v>
      </c>
      <c r="E120" s="5" t="inlineStr">
        <is>
          <t>Amrish Puri</t>
        </is>
      </c>
      <c r="F120" s="5" t="inlineStr">
        <is>
          <t>Raja Saab</t>
        </is>
      </c>
      <c r="G120" s="5" t="inlineStr">
        <is>
          <t>Antagonist</t>
        </is>
      </c>
      <c r="H120" s="5" t="inlineStr">
        <is>
          <t>Major</t>
        </is>
      </c>
      <c r="I120" s="5" t="inlineStr">
        <is>
          <t>Shankar's master and the secret murderer of his parents</t>
        </is>
      </c>
      <c r="J120" s="5" t="inlineStr">
        <is>
          <t>Tricks Gauri into marriage, tortures her and sells her to a brothel</t>
        </is>
      </c>
      <c r="K120" s="19" t="inlineStr">
        <is>
          <t>Ruthless landowner with an appetite for young women who kills anyone defying him; Shankar burns him to death.</t>
        </is>
      </c>
      <c r="L120" s="5" t="inlineStr">
        <is>
          <t>Filmfare Best Villain nomination</t>
        </is>
      </c>
      <c r="M120" s="5" t="inlineStr">
        <is>
          <t>SOURCE-027</t>
        </is>
      </c>
    </row>
    <row r="121" ht="34" customHeight="1">
      <c r="A121" s="15" t="inlineStr">
        <is>
          <t>CAST-120</t>
        </is>
      </c>
      <c r="B121" s="20" t="inlineStr">
        <is>
          <t>FILM-024</t>
        </is>
      </c>
      <c r="C121" s="5" t="inlineStr">
        <is>
          <t>Koyla</t>
        </is>
      </c>
      <c r="D121" s="17" t="n">
        <v>1997</v>
      </c>
      <c r="E121" s="5" t="inlineStr">
        <is>
          <t>Salim Ghouse</t>
        </is>
      </c>
      <c r="F121" s="5" t="inlineStr">
        <is>
          <t>Brijwa Chaudhry</t>
        </is>
      </c>
      <c r="G121" s="5" t="inlineStr">
        <is>
          <t>Antagonist</t>
        </is>
      </c>
      <c r="H121" s="5" t="inlineStr">
        <is>
          <t>Major</t>
        </is>
      </c>
      <c r="I121" s="5" t="inlineStr">
        <is>
          <t>Habitually beats Shankar</t>
        </is>
      </c>
      <c r="J121" s="5" t="inlineStr">
        <is>
          <t>Helps Raja capture the fleeing couple</t>
        </is>
      </c>
      <c r="K121" s="19" t="inlineStr">
        <is>
          <t>Raja's violent, psychopathic brother, who stabs Bindiya and is killed by Shankar.</t>
        </is>
      </c>
      <c r="L121" s="5" t="n"/>
      <c r="M121" s="5" t="inlineStr">
        <is>
          <t>SOURCE-027</t>
        </is>
      </c>
    </row>
    <row r="122" ht="34" customHeight="1">
      <c r="A122" s="15" t="inlineStr">
        <is>
          <t>CAST-121</t>
        </is>
      </c>
      <c r="B122" s="20" t="inlineStr">
        <is>
          <t>FILM-024</t>
        </is>
      </c>
      <c r="C122" s="5" t="inlineStr">
        <is>
          <t>Koyla</t>
        </is>
      </c>
      <c r="D122" s="17" t="n">
        <v>1997</v>
      </c>
      <c r="E122" s="5" t="inlineStr">
        <is>
          <t>Mohnish Behl</t>
        </is>
      </c>
      <c r="F122" s="5" t="inlineStr">
        <is>
          <t>Ashok Singh</t>
        </is>
      </c>
      <c r="G122" s="5" t="inlineStr">
        <is>
          <t>Family</t>
        </is>
      </c>
      <c r="H122" s="5" t="inlineStr">
        <is>
          <t>Medium</t>
        </is>
      </c>
      <c r="I122" s="5" t="inlineStr">
        <is>
          <t>Makes Shankar promise to save Gauri</t>
        </is>
      </c>
      <c r="J122" s="5" t="inlineStr">
        <is>
          <t>Gauri's brother, killed trying to rescue her</t>
        </is>
      </c>
      <c r="K122" s="19" t="inlineStr">
        <is>
          <t>Learns the truth when Shankar writes it in the dirt and is killed by Raja and Brijwa. Special appearance.</t>
        </is>
      </c>
      <c r="L122" s="5" t="n"/>
      <c r="M122" s="5" t="inlineStr">
        <is>
          <t>SOURCE-027</t>
        </is>
      </c>
    </row>
    <row r="123" ht="34" customHeight="1">
      <c r="A123" s="15" t="inlineStr">
        <is>
          <t>CAST-122</t>
        </is>
      </c>
      <c r="B123" s="20" t="inlineStr">
        <is>
          <t>FILM-024</t>
        </is>
      </c>
      <c r="C123" s="5" t="inlineStr">
        <is>
          <t>Koyla</t>
        </is>
      </c>
      <c r="D123" s="17" t="n">
        <v>1997</v>
      </c>
      <c r="E123" s="5" t="inlineStr">
        <is>
          <t>Deepshikha Nagpal</t>
        </is>
      </c>
      <c r="F123" s="5" t="inlineStr">
        <is>
          <t>Bindiya</t>
        </is>
      </c>
      <c r="G123" s="5" t="inlineStr">
        <is>
          <t>Supporting</t>
        </is>
      </c>
      <c r="H123" s="5" t="inlineStr">
        <is>
          <t>Medium</t>
        </is>
      </c>
      <c r="I123" s="5" t="inlineStr">
        <is>
          <t>Raja's former lover, who fell for Shankar</t>
        </is>
      </c>
      <c r="J123" s="5" t="inlineStr">
        <is>
          <t>Saves Gauri from the brothel</t>
        </is>
      </c>
      <c r="K123" s="19" t="inlineStr">
        <is>
          <t>Disowned by Raja; publicly humiliated and stabbed by Brijwa for helping Gauri.</t>
        </is>
      </c>
      <c r="L123" s="5" t="n"/>
      <c r="M123" s="5" t="inlineStr">
        <is>
          <t>SOURCE-027</t>
        </is>
      </c>
    </row>
    <row r="124" ht="34" customHeight="1">
      <c r="A124" s="15" t="inlineStr">
        <is>
          <t>CAST-123</t>
        </is>
      </c>
      <c r="B124" s="20" t="inlineStr">
        <is>
          <t>FILM-025</t>
        </is>
      </c>
      <c r="C124" s="5" t="inlineStr">
        <is>
          <t>Yes Boss</t>
        </is>
      </c>
      <c r="D124" s="17" t="n">
        <v>1997</v>
      </c>
      <c r="E124" s="5" t="inlineStr">
        <is>
          <t>Aditya Pancholi</t>
        </is>
      </c>
      <c r="F124" s="5" t="inlineStr">
        <is>
          <t>Siddharth Chaudhary</t>
        </is>
      </c>
      <c r="G124" s="5" t="inlineStr">
        <is>
          <t>Romantic rival</t>
        </is>
      </c>
      <c r="H124" s="5" t="inlineStr">
        <is>
          <t>Major</t>
        </is>
      </c>
      <c r="I124" s="5" t="inlineStr">
        <is>
          <t>Rahul's lecherous boss</t>
        </is>
      </c>
      <c r="J124" s="5" t="inlineStr">
        <is>
          <t>Pursues Seema and offers Rahul his dream office in exchange for her</t>
        </is>
      </c>
      <c r="K124" s="19" t="inlineStr">
        <is>
          <t>Married businessman who trapped the rich Sheela and conducts affairs that Rahul is paid to hide.</t>
        </is>
      </c>
      <c r="L124" s="5" t="inlineStr">
        <is>
          <t>Filmfare Best Villain nomination</t>
        </is>
      </c>
      <c r="M124" s="5" t="inlineStr">
        <is>
          <t>SOURCE-028</t>
        </is>
      </c>
    </row>
    <row r="125" ht="34" customHeight="1">
      <c r="A125" s="15" t="inlineStr">
        <is>
          <t>CAST-124</t>
        </is>
      </c>
      <c r="B125" s="20" t="inlineStr">
        <is>
          <t>FILM-025</t>
        </is>
      </c>
      <c r="C125" s="5" t="inlineStr">
        <is>
          <t>Yes Boss</t>
        </is>
      </c>
      <c r="D125" s="17" t="n">
        <v>1997</v>
      </c>
      <c r="E125" s="5" t="inlineStr">
        <is>
          <t>Reema Lagoo</t>
        </is>
      </c>
      <c r="F125" s="5" t="inlineStr">
        <is>
          <t>Sonali Joshi</t>
        </is>
      </c>
      <c r="G125" s="5" t="inlineStr">
        <is>
          <t>Family</t>
        </is>
      </c>
      <c r="H125" s="5" t="inlineStr">
        <is>
          <t>Medium</t>
        </is>
      </c>
      <c r="I125" s="5" t="inlineStr">
        <is>
          <t>Rahul's mother, a heart patient</t>
        </is>
      </c>
      <c r="J125" s="5" t="inlineStr">
        <is>
          <t>Believes Rahul has married Seema and embraces the couple</t>
        </is>
      </c>
      <c r="K125" s="19" t="inlineStr">
        <is>
          <t>Her fragile health forces Rahul and Seema to play a married couple.</t>
        </is>
      </c>
      <c r="L125" s="5" t="n"/>
      <c r="M125" s="5" t="inlineStr">
        <is>
          <t>SOURCE-028</t>
        </is>
      </c>
    </row>
    <row r="126" ht="34" customHeight="1">
      <c r="A126" s="15" t="inlineStr">
        <is>
          <t>CAST-125</t>
        </is>
      </c>
      <c r="B126" s="20" t="inlineStr">
        <is>
          <t>FILM-025</t>
        </is>
      </c>
      <c r="C126" s="5" t="inlineStr">
        <is>
          <t>Yes Boss</t>
        </is>
      </c>
      <c r="D126" s="17" t="n">
        <v>1997</v>
      </c>
      <c r="E126" s="5" t="inlineStr">
        <is>
          <t>Gulshan Grover</t>
        </is>
      </c>
      <c r="F126" s="5" t="inlineStr">
        <is>
          <t>Bhushan</t>
        </is>
      </c>
      <c r="G126" s="5" t="inlineStr">
        <is>
          <t>Antagonist</t>
        </is>
      </c>
      <c r="H126" s="5" t="inlineStr">
        <is>
          <t>Medium</t>
        </is>
      </c>
      <c r="I126" s="5" t="inlineStr">
        <is>
          <t>Troublemaker targeting Rahul</t>
        </is>
      </c>
      <c r="J126" s="5" t="inlineStr">
        <is>
          <t>Tells Rahul's mother that Rahul has married Seema</t>
        </is>
      </c>
      <c r="K126" s="19" t="inlineStr">
        <is>
          <t>Sheela's cousin, who exploits Sonali's heart condition with a lie.</t>
        </is>
      </c>
      <c r="L126" s="5" t="n"/>
      <c r="M126" s="5" t="inlineStr">
        <is>
          <t>SOURCE-028</t>
        </is>
      </c>
    </row>
    <row r="127" ht="49" customHeight="1">
      <c r="A127" s="15" t="inlineStr">
        <is>
          <t>CAST-126</t>
        </is>
      </c>
      <c r="B127" s="20" t="inlineStr">
        <is>
          <t>FILM-025</t>
        </is>
      </c>
      <c r="C127" s="5" t="inlineStr">
        <is>
          <t>Yes Boss</t>
        </is>
      </c>
      <c r="D127" s="17" t="n">
        <v>1997</v>
      </c>
      <c r="E127" s="5" t="inlineStr">
        <is>
          <t>Kashmera Shah</t>
        </is>
      </c>
      <c r="F127" s="5" t="inlineStr">
        <is>
          <t>Sheela Chaudhary</t>
        </is>
      </c>
      <c r="G127" s="5" t="inlineStr">
        <is>
          <t>Supporting</t>
        </is>
      </c>
      <c r="H127" s="5" t="inlineStr">
        <is>
          <t>Medium</t>
        </is>
      </c>
      <c r="I127" s="5" t="inlineStr">
        <is>
          <t>Connected to Rahul's boss Siddharth, whose secrets Rahul keeps.</t>
        </is>
      </c>
      <c r="J127" s="5" t="inlineStr">
        <is>
          <t>Not applicable</t>
        </is>
      </c>
      <c r="K127" s="19" t="inlineStr">
        <is>
          <t>The rich Sheela whom Siddharth has deviously trapped; her cousin Bhushan tells Rahul's mother that Rahul has married Seema.</t>
        </is>
      </c>
      <c r="L127" s="5" t="n"/>
      <c r="M127" s="5" t="inlineStr">
        <is>
          <t>SOURCE-028</t>
        </is>
      </c>
    </row>
    <row r="128" ht="34" customHeight="1">
      <c r="A128" s="15" t="inlineStr">
        <is>
          <t>CAST-127</t>
        </is>
      </c>
      <c r="B128" s="20" t="inlineStr">
        <is>
          <t>FILM-026</t>
        </is>
      </c>
      <c r="C128" s="5" t="inlineStr">
        <is>
          <t>Pardes</t>
        </is>
      </c>
      <c r="D128" s="17" t="n">
        <v>1997</v>
      </c>
      <c r="E128" s="5" t="inlineStr">
        <is>
          <t>Apurva Agnihotri</t>
        </is>
      </c>
      <c r="F128" s="5" t="inlineStr">
        <is>
          <t>Rajiv</t>
        </is>
      </c>
      <c r="G128" s="5" t="inlineStr">
        <is>
          <t>Romantic rival</t>
        </is>
      </c>
      <c r="H128" s="5" t="inlineStr">
        <is>
          <t>Major</t>
        </is>
      </c>
      <c r="I128" s="5" t="inlineStr">
        <is>
          <t>Arjun's foster brother</t>
        </is>
      </c>
      <c r="J128" s="5" t="inlineStr">
        <is>
          <t>Ganga's fiancé, who tries to rape her</t>
        </is>
      </c>
      <c r="K128" s="19" t="inlineStr">
        <is>
          <t>Westernised Indian-American playboy who drinks, keeps ex-girlfriends and insults India; exposed and sent back to the US.</t>
        </is>
      </c>
      <c r="L128" s="5" t="n"/>
      <c r="M128" s="5" t="inlineStr">
        <is>
          <t>SOURCE-029</t>
        </is>
      </c>
    </row>
    <row r="129" ht="34" customHeight="1">
      <c r="A129" s="15" t="inlineStr">
        <is>
          <t>CAST-128</t>
        </is>
      </c>
      <c r="B129" s="20" t="inlineStr">
        <is>
          <t>FILM-026</t>
        </is>
      </c>
      <c r="C129" s="5" t="inlineStr">
        <is>
          <t>Pardes</t>
        </is>
      </c>
      <c r="D129" s="17" t="n">
        <v>1997</v>
      </c>
      <c r="E129" s="5" t="inlineStr">
        <is>
          <t>Amrish Puri</t>
        </is>
      </c>
      <c r="F129" s="5" t="inlineStr">
        <is>
          <t>Kishorilal</t>
        </is>
      </c>
      <c r="G129" s="5" t="inlineStr">
        <is>
          <t>Family</t>
        </is>
      </c>
      <c r="H129" s="5" t="inlineStr">
        <is>
          <t>Major</t>
        </is>
      </c>
      <c r="I129" s="5" t="inlineStr">
        <is>
          <t>Arjun's foster father</t>
        </is>
      </c>
      <c r="J129" s="5" t="inlineStr">
        <is>
          <t>Arranges Ganga's match with Rajiv, then gives her to Arjun</t>
        </is>
      </c>
      <c r="K129" s="19" t="inlineStr">
        <is>
          <t>Indian-American businessman who hopes a village bride will 'Indianise' his son and slaps Rajiv once the truth comes out.</t>
        </is>
      </c>
      <c r="L129" s="5" t="n"/>
      <c r="M129" s="5" t="inlineStr">
        <is>
          <t>SOURCE-029</t>
        </is>
      </c>
    </row>
    <row r="130" ht="34" customHeight="1">
      <c r="A130" s="15" t="inlineStr">
        <is>
          <t>CAST-129</t>
        </is>
      </c>
      <c r="B130" s="20" t="inlineStr">
        <is>
          <t>FILM-026</t>
        </is>
      </c>
      <c r="C130" s="5" t="inlineStr">
        <is>
          <t>Pardes</t>
        </is>
      </c>
      <c r="D130" s="17" t="n">
        <v>1997</v>
      </c>
      <c r="E130" s="5" t="inlineStr">
        <is>
          <t>Alok Nath</t>
        </is>
      </c>
      <c r="F130" s="5" t="inlineStr">
        <is>
          <t>Suraj Dev</t>
        </is>
      </c>
      <c r="G130" s="5" t="inlineStr">
        <is>
          <t>Family</t>
        </is>
      </c>
      <c r="H130" s="5" t="inlineStr">
        <is>
          <t>Medium</t>
        </is>
      </c>
      <c r="I130" s="5" t="inlineStr">
        <is>
          <t>Hosts Arjun and Rajiv in the village</t>
        </is>
      </c>
      <c r="J130" s="5" t="inlineStr">
        <is>
          <t>Ganga's father, Kishorilal's best friend</t>
        </is>
      </c>
      <c r="K130" s="19" t="inlineStr">
        <is>
          <t>Villager whose daughter is promised to his friend's son.</t>
        </is>
      </c>
      <c r="L130" s="5" t="n"/>
      <c r="M130" s="5" t="inlineStr">
        <is>
          <t>SOURCE-029</t>
        </is>
      </c>
    </row>
    <row r="131" ht="34" customHeight="1">
      <c r="A131" s="15" t="inlineStr">
        <is>
          <t>CAST-130</t>
        </is>
      </c>
      <c r="B131" s="20" t="inlineStr">
        <is>
          <t>FILM-027</t>
        </is>
      </c>
      <c r="C131" s="5" t="inlineStr">
        <is>
          <t>Dil To Pagal Hai</t>
        </is>
      </c>
      <c r="D131" s="17" t="n">
        <v>1997</v>
      </c>
      <c r="E131" s="5" t="inlineStr">
        <is>
          <t>Akshay Kumar</t>
        </is>
      </c>
      <c r="F131" s="5" t="inlineStr">
        <is>
          <t>Ajay</t>
        </is>
      </c>
      <c r="G131" s="5" t="inlineStr">
        <is>
          <t>Romantic rival</t>
        </is>
      </c>
      <c r="H131" s="5" t="inlineStr">
        <is>
          <t>Major</t>
        </is>
      </c>
      <c r="I131" s="5" t="inlineStr">
        <is>
          <t>Rival for Pooja who finally steps aside</t>
        </is>
      </c>
      <c r="J131" s="5" t="inlineStr">
        <is>
          <t>Pooja's childhood friend and fiancé</t>
        </is>
      </c>
      <c r="K131" s="19" t="inlineStr">
        <is>
          <t>Son of Pooja's foster parents, working in London; he plays her taped confession to unite her with Rahul.</t>
        </is>
      </c>
      <c r="L131" s="5" t="inlineStr">
        <is>
          <t>Filmfare Best Supporting Actor nomination</t>
        </is>
      </c>
      <c r="M131" s="5" t="inlineStr">
        <is>
          <t>SOURCE-030</t>
        </is>
      </c>
    </row>
    <row r="132" ht="34" customHeight="1">
      <c r="A132" s="15" t="inlineStr">
        <is>
          <t>CAST-131</t>
        </is>
      </c>
      <c r="B132" s="20" t="inlineStr">
        <is>
          <t>FILM-027</t>
        </is>
      </c>
      <c r="C132" s="5" t="inlineStr">
        <is>
          <t>Dil To Pagal Hai</t>
        </is>
      </c>
      <c r="D132" s="17" t="n">
        <v>1997</v>
      </c>
      <c r="E132" s="5" t="inlineStr">
        <is>
          <t>Aruna Irani</t>
        </is>
      </c>
      <c r="F132" s="5" t="inlineStr">
        <is>
          <t>Pooja's dance teacher (Tai)</t>
        </is>
      </c>
      <c r="G132" s="5" t="inlineStr">
        <is>
          <t>Mentor</t>
        </is>
      </c>
      <c r="H132" s="5" t="inlineStr">
        <is>
          <t>Minor</t>
        </is>
      </c>
      <c r="I132" s="5" t="inlineStr">
        <is>
          <t>Meets Rahul with Pooja</t>
        </is>
      </c>
      <c r="J132" s="5" t="inlineStr">
        <is>
          <t>Recognises that Rahul and Pooja are deeply in love</t>
        </is>
      </c>
      <c r="K132" s="19" t="inlineStr">
        <is>
          <t>Pooja's former dance tutor.</t>
        </is>
      </c>
      <c r="L132" s="5" t="n"/>
      <c r="M132" s="5" t="inlineStr">
        <is>
          <t>SOURCE-030</t>
        </is>
      </c>
    </row>
    <row r="133" ht="49" customHeight="1">
      <c r="A133" s="15" t="inlineStr">
        <is>
          <t>CAST-132</t>
        </is>
      </c>
      <c r="B133" s="20" t="inlineStr">
        <is>
          <t>FILM-027</t>
        </is>
      </c>
      <c r="C133" s="5" t="inlineStr">
        <is>
          <t>Dil To Pagal Hai</t>
        </is>
      </c>
      <c r="D133" s="17" t="n">
        <v>1997</v>
      </c>
      <c r="E133" s="5" t="inlineStr">
        <is>
          <t>Farida Jalal</t>
        </is>
      </c>
      <c r="F133" s="5" t="inlineStr">
        <is>
          <t>Ajay's mother</t>
        </is>
      </c>
      <c r="G133" s="5" t="inlineStr">
        <is>
          <t>Family</t>
        </is>
      </c>
      <c r="H133" s="5" t="inlineStr">
        <is>
          <t>Medium</t>
        </is>
      </c>
      <c r="I133" s="5" t="inlineStr">
        <is>
          <t>Mother of Rahul's romantic rival Ajay and foster mother of Pooja.</t>
        </is>
      </c>
      <c r="J133" s="5" t="inlineStr">
        <is>
          <t>Her son Ajay is engaged to Pooja, the woman Rahul loves.</t>
        </is>
      </c>
      <c r="K133" s="19" t="inlineStr">
        <is>
          <t>One of the close family friends who raised the orphaned Pooja; her son Ajay grew up as Pooja's best friend and later proposes to her.</t>
        </is>
      </c>
      <c r="L133" s="5" t="n"/>
      <c r="M133" s="5" t="inlineStr">
        <is>
          <t>SOURCE-030</t>
        </is>
      </c>
    </row>
    <row r="134" ht="34" customHeight="1">
      <c r="A134" s="15" t="inlineStr">
        <is>
          <t>CAST-133</t>
        </is>
      </c>
      <c r="B134" s="20" t="inlineStr">
        <is>
          <t>FILM-027</t>
        </is>
      </c>
      <c r="C134" s="5" t="inlineStr">
        <is>
          <t>Dil To Pagal Hai</t>
        </is>
      </c>
      <c r="D134" s="17" t="n">
        <v>1997</v>
      </c>
      <c r="E134" s="5" t="inlineStr">
        <is>
          <t>Deven Verma</t>
        </is>
      </c>
      <c r="F134" s="5" t="inlineStr">
        <is>
          <t>Ajay's father</t>
        </is>
      </c>
      <c r="G134" s="5" t="inlineStr">
        <is>
          <t>Family</t>
        </is>
      </c>
      <c r="H134" s="5" t="inlineStr">
        <is>
          <t>Medium</t>
        </is>
      </c>
      <c r="I134" s="5" t="inlineStr">
        <is>
          <t>Father of Rahul's romantic rival Ajay and foster father of Pooja.</t>
        </is>
      </c>
      <c r="J134" s="5" t="inlineStr">
        <is>
          <t>His son Ajay is engaged to Pooja, the woman Rahul loves.</t>
        </is>
      </c>
      <c r="K134" s="19" t="inlineStr">
        <is>
          <t>One of the close family friends who raised the orphaned Pooja after her parents died.</t>
        </is>
      </c>
      <c r="L134" s="5" t="n"/>
      <c r="M134" s="5" t="inlineStr">
        <is>
          <t>SOURCE-030</t>
        </is>
      </c>
    </row>
    <row r="135" ht="34" customHeight="1">
      <c r="A135" s="15" t="inlineStr">
        <is>
          <t>CAST-134</t>
        </is>
      </c>
      <c r="B135" s="20" t="inlineStr">
        <is>
          <t>FILM-028</t>
        </is>
      </c>
      <c r="C135" s="5" t="inlineStr">
        <is>
          <t>Duplicate</t>
        </is>
      </c>
      <c r="D135" s="17" t="n">
        <v>1998</v>
      </c>
      <c r="E135" s="5" t="inlineStr">
        <is>
          <t>Mohnish Behl</t>
        </is>
      </c>
      <c r="F135" s="5" t="inlineStr">
        <is>
          <t>Ravi Lamba</t>
        </is>
      </c>
      <c r="G135" s="5" t="inlineStr">
        <is>
          <t>Romantic rival</t>
        </is>
      </c>
      <c r="H135" s="5" t="inlineStr">
        <is>
          <t>Medium</t>
        </is>
      </c>
      <c r="I135" s="5" t="inlineStr">
        <is>
          <t>Tries to get Bablu fired</t>
        </is>
      </c>
      <c r="J135" s="5" t="inlineStr">
        <is>
          <t>Has a crush on Sonia and tries to break up the couple</t>
        </is>
      </c>
      <c r="K135" s="19" t="inlineStr">
        <is>
          <t>Manager at the hotel where Bablu and Sonia work.</t>
        </is>
      </c>
      <c r="L135" s="5" t="n"/>
      <c r="M135" s="5" t="inlineStr">
        <is>
          <t>SOURCE-031</t>
        </is>
      </c>
    </row>
    <row r="136" ht="34" customHeight="1">
      <c r="A136" s="15" t="inlineStr">
        <is>
          <t>CAST-135</t>
        </is>
      </c>
      <c r="B136" s="20" t="inlineStr">
        <is>
          <t>FILM-028</t>
        </is>
      </c>
      <c r="C136" s="5" t="inlineStr">
        <is>
          <t>Duplicate</t>
        </is>
      </c>
      <c r="D136" s="17" t="n">
        <v>1998</v>
      </c>
      <c r="E136" s="5" t="inlineStr">
        <is>
          <t>Farida Jalal</t>
        </is>
      </c>
      <c r="F136" s="5" t="inlineStr">
        <is>
          <t>"Bebe" Chaudhary</t>
        </is>
      </c>
      <c r="G136" s="5" t="inlineStr">
        <is>
          <t>Family</t>
        </is>
      </c>
      <c r="H136" s="5" t="inlineStr">
        <is>
          <t>Medium</t>
        </is>
      </c>
      <c r="I136" s="5" t="inlineStr">
        <is>
          <t>Bablu's mother</t>
        </is>
      </c>
      <c r="J136" s="5" t="inlineStr">
        <is>
          <t>Identifies her real son at the climax</t>
        </is>
      </c>
      <c r="K136" s="19" t="inlineStr">
        <is>
          <t>Reveals that the real Bablu would never let his mother be hurt, exposing Manu.</t>
        </is>
      </c>
      <c r="L136" s="5" t="n"/>
      <c r="M136" s="5" t="inlineStr">
        <is>
          <t>SOURCE-031</t>
        </is>
      </c>
    </row>
    <row r="137" ht="34" customHeight="1">
      <c r="A137" s="15" t="inlineStr">
        <is>
          <t>CAST-136</t>
        </is>
      </c>
      <c r="B137" s="20" t="inlineStr">
        <is>
          <t>FILM-028</t>
        </is>
      </c>
      <c r="C137" s="5" t="inlineStr">
        <is>
          <t>Duplicate</t>
        </is>
      </c>
      <c r="D137" s="17" t="n">
        <v>1998</v>
      </c>
      <c r="E137" s="5" t="inlineStr">
        <is>
          <t>Tiku Talsania</t>
        </is>
      </c>
      <c r="F137" s="5" t="inlineStr">
        <is>
          <t>Inspector R. K. Thakur</t>
        </is>
      </c>
      <c r="G137" s="5" t="inlineStr">
        <is>
          <t>Authority figure</t>
        </is>
      </c>
      <c r="H137" s="5" t="inlineStr">
        <is>
          <t>Minor</t>
        </is>
      </c>
      <c r="I137" s="5" t="inlineStr">
        <is>
          <t>Police officer who mistakes Bablu for Manu</t>
        </is>
      </c>
      <c r="J137" s="5" t="inlineStr">
        <is>
          <t>Not applicable</t>
        </is>
      </c>
      <c r="K137" s="19" t="inlineStr">
        <is>
          <t>Leads the hunt for the gangster Manu.</t>
        </is>
      </c>
      <c r="L137" s="5" t="n"/>
      <c r="M137" s="5" t="inlineStr">
        <is>
          <t>SOURCE-031</t>
        </is>
      </c>
    </row>
    <row r="138" ht="34" customHeight="1">
      <c r="A138" s="15" t="inlineStr">
        <is>
          <t>CAST-137</t>
        </is>
      </c>
      <c r="B138" s="20" t="inlineStr">
        <is>
          <t>FILM-028</t>
        </is>
      </c>
      <c r="C138" s="5" t="inlineStr">
        <is>
          <t>Duplicate</t>
        </is>
      </c>
      <c r="D138" s="17" t="n">
        <v>1998</v>
      </c>
      <c r="E138" s="5" t="inlineStr">
        <is>
          <t>Kajol</t>
        </is>
      </c>
      <c r="F138" s="5" t="inlineStr">
        <is>
          <t>Simran Singh</t>
        </is>
      </c>
      <c r="G138" s="5" t="inlineStr">
        <is>
          <t>Cameo</t>
        </is>
      </c>
      <c r="H138" s="5" t="inlineStr">
        <is>
          <t>Minor</t>
        </is>
      </c>
      <c r="I138" s="5" t="inlineStr">
        <is>
          <t>Not documented</t>
        </is>
      </c>
      <c r="J138" s="5" t="inlineStr">
        <is>
          <t>Not applicable</t>
        </is>
      </c>
      <c r="K138" s="19" t="inlineStr">
        <is>
          <t>Uncredited cameo as 'the girl on the station', named after her Dilwale Dulhania Le Jayenge character.</t>
        </is>
      </c>
      <c r="L138" s="5" t="n"/>
      <c r="M138" s="5" t="inlineStr">
        <is>
          <t>SOURCE-031</t>
        </is>
      </c>
    </row>
    <row r="139" ht="34" customHeight="1">
      <c r="A139" s="15" t="inlineStr">
        <is>
          <t>CAST-138</t>
        </is>
      </c>
      <c r="B139" s="20" t="inlineStr">
        <is>
          <t>FILM-029</t>
        </is>
      </c>
      <c r="C139" s="5" t="inlineStr">
        <is>
          <t>Achanak</t>
        </is>
      </c>
      <c r="D139" s="17" t="n">
        <v>1998</v>
      </c>
      <c r="E139" s="5" t="inlineStr">
        <is>
          <t>Govinda</t>
        </is>
      </c>
      <c r="F139" s="5" t="inlineStr">
        <is>
          <t>Arjun Nanda</t>
        </is>
      </c>
      <c r="G139" s="5" t="inlineStr">
        <is>
          <t>Co-lead</t>
        </is>
      </c>
      <c r="H139" s="5" t="inlineStr">
        <is>
          <t>Major</t>
        </is>
      </c>
      <c r="I139" s="5" t="inlineStr">
        <is>
          <t>Lead of the film in which Khan appears as himself</t>
        </is>
      </c>
      <c r="J139" s="5" t="inlineStr">
        <is>
          <t>Not applicable</t>
        </is>
      </c>
      <c r="K139" s="19" t="inlineStr">
        <is>
          <t>Industrialist's son whose family members start dying after he falls in love with Pooja.</t>
        </is>
      </c>
      <c r="L139" s="5" t="n"/>
      <c r="M139" s="5" t="inlineStr">
        <is>
          <t>SOURCE-032</t>
        </is>
      </c>
    </row>
    <row r="140" ht="19" customHeight="1">
      <c r="A140" s="15" t="inlineStr">
        <is>
          <t>CAST-139</t>
        </is>
      </c>
      <c r="B140" s="20" t="inlineStr">
        <is>
          <t>FILM-029</t>
        </is>
      </c>
      <c r="C140" s="5" t="inlineStr">
        <is>
          <t>Achanak</t>
        </is>
      </c>
      <c r="D140" s="17" t="n">
        <v>1998</v>
      </c>
      <c r="E140" s="5" t="inlineStr">
        <is>
          <t>Sanjay Dutt</t>
        </is>
      </c>
      <c r="F140" s="5" t="inlineStr">
        <is>
          <t>Himself</t>
        </is>
      </c>
      <c r="G140" s="5" t="inlineStr">
        <is>
          <t>Self appearance</t>
        </is>
      </c>
      <c r="H140" s="5" t="inlineStr">
        <is>
          <t>Minor</t>
        </is>
      </c>
      <c r="I140" s="5" t="inlineStr">
        <is>
          <t>Fellow star appearing as himself</t>
        </is>
      </c>
      <c r="J140" s="5" t="inlineStr">
        <is>
          <t>Not applicable</t>
        </is>
      </c>
      <c r="K140" s="19" t="inlineStr">
        <is>
          <t>Cameo as himself.</t>
        </is>
      </c>
      <c r="L140" s="5" t="n"/>
      <c r="M140" s="5" t="inlineStr">
        <is>
          <t>SOURCE-032</t>
        </is>
      </c>
    </row>
    <row r="141" ht="49" customHeight="1">
      <c r="A141" s="15" t="inlineStr">
        <is>
          <t>CAST-140</t>
        </is>
      </c>
      <c r="B141" s="20" t="inlineStr">
        <is>
          <t>FILM-029</t>
        </is>
      </c>
      <c r="C141" s="5" t="inlineStr">
        <is>
          <t>Achanak</t>
        </is>
      </c>
      <c r="D141" s="17" t="n">
        <v>1998</v>
      </c>
      <c r="E141" s="5" t="inlineStr">
        <is>
          <t>Manisha Koirala</t>
        </is>
      </c>
      <c r="F141" s="5" t="inlineStr">
        <is>
          <t>Pooja</t>
        </is>
      </c>
      <c r="G141" s="5" t="inlineStr">
        <is>
          <t>Co-lead</t>
        </is>
      </c>
      <c r="H141" s="5" t="inlineStr">
        <is>
          <t>Major</t>
        </is>
      </c>
      <c r="I141" s="5" t="inlineStr">
        <is>
          <t>Love interest of the film's protagonist Arjun Nanda; Shah Rukh Khan appears only as himself in a cameo.</t>
        </is>
      </c>
      <c r="J141" s="5" t="inlineStr">
        <is>
          <t>Not applicable</t>
        </is>
      </c>
      <c r="K141" s="19" t="inlineStr">
        <is>
          <t>Arjun falls in love with her; she is wrongly convicted of murder, and the two later work together to expose the truth while on the run from the police and criminals.</t>
        </is>
      </c>
      <c r="L141" s="5" t="n"/>
      <c r="M141" s="5" t="inlineStr">
        <is>
          <t>SOURCE-032</t>
        </is>
      </c>
    </row>
    <row r="142" ht="34" customHeight="1">
      <c r="A142" s="15" t="inlineStr">
        <is>
          <t>CAST-141</t>
        </is>
      </c>
      <c r="B142" s="20" t="inlineStr">
        <is>
          <t>FILM-030</t>
        </is>
      </c>
      <c r="C142" s="5" t="inlineStr">
        <is>
          <t>Dil Se..</t>
        </is>
      </c>
      <c r="D142" s="17" t="n">
        <v>1998</v>
      </c>
      <c r="E142" s="5" t="inlineStr">
        <is>
          <t>Preity Zinta</t>
        </is>
      </c>
      <c r="F142" s="5" t="inlineStr">
        <is>
          <t>Preeti Nair</t>
        </is>
      </c>
      <c r="G142" s="5" t="inlineStr">
        <is>
          <t>Supporting</t>
        </is>
      </c>
      <c r="H142" s="5" t="inlineStr">
        <is>
          <t>Medium</t>
        </is>
      </c>
      <c r="I142" s="5" t="inlineStr">
        <is>
          <t>Woman from Kerala whom Amar's family arranges for him to marry</t>
        </is>
      </c>
      <c r="J142" s="5" t="inlineStr">
        <is>
          <t>Amar's fiancée while he still loves Meghna</t>
        </is>
      </c>
      <c r="K142" s="19" t="inlineStr">
        <is>
          <t>Vibrant young woman with whom Amar is on an outing when he spots Meghna's handler. Zinta's film debut.</t>
        </is>
      </c>
      <c r="L142" s="5" t="inlineStr">
        <is>
          <t>Filmfare Best Female Debut; Filmfare Best Supporting Actress nomination</t>
        </is>
      </c>
      <c r="M142" s="5" t="inlineStr">
        <is>
          <t>SOURCE-033</t>
        </is>
      </c>
    </row>
    <row r="143" ht="34" customHeight="1">
      <c r="A143" s="15" t="inlineStr">
        <is>
          <t>CAST-142</t>
        </is>
      </c>
      <c r="B143" s="20" t="inlineStr">
        <is>
          <t>FILM-030</t>
        </is>
      </c>
      <c r="C143" s="5" t="inlineStr">
        <is>
          <t>Dil Se..</t>
        </is>
      </c>
      <c r="D143" s="17" t="n">
        <v>1998</v>
      </c>
      <c r="E143" s="5" t="inlineStr">
        <is>
          <t>Piyush Mishra</t>
        </is>
      </c>
      <c r="F143" s="5" t="inlineStr">
        <is>
          <t>CBI Officer Arun Kashyap</t>
        </is>
      </c>
      <c r="G143" s="5" t="inlineStr">
        <is>
          <t>Authority figure</t>
        </is>
      </c>
      <c r="H143" s="5" t="inlineStr">
        <is>
          <t>Medium</t>
        </is>
      </c>
      <c r="I143" s="5" t="inlineStr">
        <is>
          <t>Investigates Amar as a terrorist suspect</t>
        </is>
      </c>
      <c r="J143" s="5" t="inlineStr">
        <is>
          <t>His arrest of Amar nearly prevents the final encounter</t>
        </is>
      </c>
      <c r="K143" s="19" t="inlineStr">
        <is>
          <t>CBI officer who takes over the case after the handler's suicide and sedates Amar in custody.</t>
        </is>
      </c>
      <c r="L143" s="5" t="n"/>
      <c r="M143" s="5" t="inlineStr">
        <is>
          <t>SOURCE-033</t>
        </is>
      </c>
    </row>
    <row r="144" ht="34" customHeight="1">
      <c r="A144" s="15" t="inlineStr">
        <is>
          <t>CAST-143</t>
        </is>
      </c>
      <c r="B144" s="20" t="inlineStr">
        <is>
          <t>FILM-030</t>
        </is>
      </c>
      <c r="C144" s="5" t="inlineStr">
        <is>
          <t>Dil Se..</t>
        </is>
      </c>
      <c r="D144" s="17" t="n">
        <v>1998</v>
      </c>
      <c r="E144" s="5" t="inlineStr">
        <is>
          <t>Malaika Arora</t>
        </is>
      </c>
      <c r="F144" s="5" t="inlineStr">
        <is>
          <t>Dancer in 'Chaiyya Chaiyya'</t>
        </is>
      </c>
      <c r="G144" s="5" t="inlineStr">
        <is>
          <t>Cameo</t>
        </is>
      </c>
      <c r="H144" s="5" t="inlineStr">
        <is>
          <t>Minor</t>
        </is>
      </c>
      <c r="I144" s="5" t="inlineStr">
        <is>
          <t>Dances in the song with Amar</t>
        </is>
      </c>
      <c r="J144" s="5" t="inlineStr">
        <is>
          <t>Not applicable</t>
        </is>
      </c>
      <c r="K144" s="19" t="inlineStr">
        <is>
          <t>Special appearance in the song 'Chaiyya Chaiyya'.</t>
        </is>
      </c>
      <c r="L144" s="5" t="n"/>
      <c r="M144" s="5" t="inlineStr">
        <is>
          <t>SOURCE-033</t>
        </is>
      </c>
    </row>
    <row r="145" ht="49" customHeight="1">
      <c r="A145" s="15" t="inlineStr">
        <is>
          <t>CAST-144</t>
        </is>
      </c>
      <c r="B145" s="20" t="inlineStr">
        <is>
          <t>FILM-030</t>
        </is>
      </c>
      <c r="C145" s="5" t="inlineStr">
        <is>
          <t>Dil Se..</t>
        </is>
      </c>
      <c r="D145" s="17" t="n">
        <v>1998</v>
      </c>
      <c r="E145" s="5" t="inlineStr">
        <is>
          <t>Zohra Sehgal</t>
        </is>
      </c>
      <c r="F145" s="5" t="inlineStr">
        <is>
          <t>Amar's grandmother</t>
        </is>
      </c>
      <c r="G145" s="5" t="inlineStr">
        <is>
          <t>Family</t>
        </is>
      </c>
      <c r="H145" s="5" t="inlineStr">
        <is>
          <t>Minor</t>
        </is>
      </c>
      <c r="I145" s="5" t="inlineStr">
        <is>
          <t>Amar's grandmother.</t>
        </is>
      </c>
      <c r="J145" s="5" t="inlineStr">
        <is>
          <t>Part of the family that arranges Amar's marriage proposal with Preeti Nair.</t>
        </is>
      </c>
      <c r="K145" s="19" t="inlineStr">
        <is>
          <t>Credited as Amar's grandmother; Amar's family arranges his match with Preeti after he returns to Delhi.</t>
        </is>
      </c>
      <c r="L145" s="5" t="n"/>
      <c r="M145" s="5" t="inlineStr">
        <is>
          <t>SOURCE-033</t>
        </is>
      </c>
    </row>
    <row r="146" ht="49" customHeight="1">
      <c r="A146" s="15" t="inlineStr">
        <is>
          <t>CAST-145</t>
        </is>
      </c>
      <c r="B146" s="20" t="inlineStr">
        <is>
          <t>FILM-030</t>
        </is>
      </c>
      <c r="C146" s="5" t="inlineStr">
        <is>
          <t>Dil Se..</t>
        </is>
      </c>
      <c r="D146" s="17" t="n">
        <v>1998</v>
      </c>
      <c r="E146" s="5" t="inlineStr">
        <is>
          <t>Arundathi Nag</t>
        </is>
      </c>
      <c r="F146" s="5" t="inlineStr">
        <is>
          <t>Kanval Dev Burman</t>
        </is>
      </c>
      <c r="G146" s="5" t="inlineStr">
        <is>
          <t>Authority figure</t>
        </is>
      </c>
      <c r="H146" s="5" t="inlineStr">
        <is>
          <t>Minor</t>
        </is>
      </c>
      <c r="I146" s="5" t="inlineStr">
        <is>
          <t>Station director at All India Radio, where Amar works as a program executive.</t>
        </is>
      </c>
      <c r="J146" s="5" t="inlineStr">
        <is>
          <t>Not applicable</t>
        </is>
      </c>
      <c r="K146" s="19" t="inlineStr">
        <is>
          <t>Credited as the All India Radio station director; Amar is an AIR program executive sent to Assam on assignment.</t>
        </is>
      </c>
      <c r="L146" s="5" t="n"/>
      <c r="M146" s="5" t="inlineStr">
        <is>
          <t>SOURCE-033</t>
        </is>
      </c>
    </row>
    <row r="147" ht="34" customHeight="1">
      <c r="A147" s="15" t="inlineStr">
        <is>
          <t>CAST-146</t>
        </is>
      </c>
      <c r="B147" s="20" t="inlineStr">
        <is>
          <t>FILM-031</t>
        </is>
      </c>
      <c r="C147" s="5" t="inlineStr">
        <is>
          <t>Kuch Kuch Hota Hai</t>
        </is>
      </c>
      <c r="D147" s="17" t="n">
        <v>1998</v>
      </c>
      <c r="E147" s="5" t="inlineStr">
        <is>
          <t>Salman Khan</t>
        </is>
      </c>
      <c r="F147" s="5" t="inlineStr">
        <is>
          <t>Aman Mehra</t>
        </is>
      </c>
      <c r="G147" s="5" t="inlineStr">
        <is>
          <t>Romantic rival</t>
        </is>
      </c>
      <c r="H147" s="5" t="inlineStr">
        <is>
          <t>Major</t>
        </is>
      </c>
      <c r="I147" s="5" t="inlineStr">
        <is>
          <t>Rival for Anjali who steps aside</t>
        </is>
      </c>
      <c r="J147" s="5" t="inlineStr">
        <is>
          <t>Anjali's fiancé, who calls off the wedding so she can marry Rahul</t>
        </is>
      </c>
      <c r="K147" s="19" t="inlineStr">
        <is>
          <t>Arrives at the summer camp as Anjali's fiancé and, seeing her feelings, hands her to Rahul at the altar.</t>
        </is>
      </c>
      <c r="L147" s="5" t="inlineStr">
        <is>
          <t>Filmfare Best Supporting Actor</t>
        </is>
      </c>
      <c r="M147" s="5" t="inlineStr">
        <is>
          <t>SOURCE-034</t>
        </is>
      </c>
    </row>
    <row r="148" ht="34" customHeight="1">
      <c r="A148" s="15" t="inlineStr">
        <is>
          <t>CAST-147</t>
        </is>
      </c>
      <c r="B148" s="20" t="inlineStr">
        <is>
          <t>FILM-031</t>
        </is>
      </c>
      <c r="C148" s="5" t="inlineStr">
        <is>
          <t>Kuch Kuch Hota Hai</t>
        </is>
      </c>
      <c r="D148" s="17" t="n">
        <v>1998</v>
      </c>
      <c r="E148" s="5" t="inlineStr">
        <is>
          <t>Sana Saeed</t>
        </is>
      </c>
      <c r="F148" s="5" t="inlineStr">
        <is>
          <t>Anjali Khanna</t>
        </is>
      </c>
      <c r="G148" s="5" t="inlineStr">
        <is>
          <t>Family</t>
        </is>
      </c>
      <c r="H148" s="5" t="inlineStr">
        <is>
          <t>Major</t>
        </is>
      </c>
      <c r="I148" s="5" t="inlineStr">
        <is>
          <t>Rahul and Tina's daughter</t>
        </is>
      </c>
      <c r="J148" s="5" t="inlineStr">
        <is>
          <t>Carries out her dead mother's wish to reunite Rahul and Anjali Sharma</t>
        </is>
      </c>
      <c r="K148" s="19" t="inlineStr">
        <is>
          <t>Eight-year-old who reads Tina's letters and engineers the reunion at a Shimla summer camp.</t>
        </is>
      </c>
      <c r="L148" s="5" t="n"/>
      <c r="M148" s="5" t="inlineStr">
        <is>
          <t>SOURCE-034</t>
        </is>
      </c>
    </row>
    <row r="149" ht="34" customHeight="1">
      <c r="A149" s="15" t="inlineStr">
        <is>
          <t>CAST-148</t>
        </is>
      </c>
      <c r="B149" s="20" t="inlineStr">
        <is>
          <t>FILM-031</t>
        </is>
      </c>
      <c r="C149" s="5" t="inlineStr">
        <is>
          <t>Kuch Kuch Hota Hai</t>
        </is>
      </c>
      <c r="D149" s="17" t="n">
        <v>1998</v>
      </c>
      <c r="E149" s="5" t="inlineStr">
        <is>
          <t>Farida Jalal</t>
        </is>
      </c>
      <c r="F149" s="5" t="inlineStr">
        <is>
          <t>Mrs. Khanna</t>
        </is>
      </c>
      <c r="G149" s="5" t="inlineStr">
        <is>
          <t>Family</t>
        </is>
      </c>
      <c r="H149" s="5" t="inlineStr">
        <is>
          <t>Medium</t>
        </is>
      </c>
      <c r="I149" s="5" t="inlineStr">
        <is>
          <t>Rahul's mother</t>
        </is>
      </c>
      <c r="J149" s="5" t="inlineStr">
        <is>
          <t>Supports the family during the reunion plan</t>
        </is>
      </c>
      <c r="K149" s="19" t="inlineStr">
        <is>
          <t>Helps raise her granddaughter after Tina's death.</t>
        </is>
      </c>
      <c r="L149" s="5" t="n"/>
      <c r="M149" s="5" t="inlineStr">
        <is>
          <t>SOURCE-034</t>
        </is>
      </c>
    </row>
    <row r="150" ht="19" customHeight="1">
      <c r="A150" s="15" t="inlineStr">
        <is>
          <t>CAST-149</t>
        </is>
      </c>
      <c r="B150" s="20" t="inlineStr">
        <is>
          <t>FILM-031</t>
        </is>
      </c>
      <c r="C150" s="5" t="inlineStr">
        <is>
          <t>Kuch Kuch Hota Hai</t>
        </is>
      </c>
      <c r="D150" s="17" t="n">
        <v>1998</v>
      </c>
      <c r="E150" s="5" t="inlineStr">
        <is>
          <t>Anupam Kher</t>
        </is>
      </c>
      <c r="F150" s="5" t="inlineStr">
        <is>
          <t>Mr. Malhotra</t>
        </is>
      </c>
      <c r="G150" s="5" t="inlineStr">
        <is>
          <t>Authority figure</t>
        </is>
      </c>
      <c r="H150" s="5" t="inlineStr">
        <is>
          <t>Medium</t>
        </is>
      </c>
      <c r="I150" s="5" t="inlineStr">
        <is>
          <t>Rahul's college principal</t>
        </is>
      </c>
      <c r="J150" s="5" t="inlineStr">
        <is>
          <t>Tina's father</t>
        </is>
      </c>
      <c r="K150" s="19" t="inlineStr">
        <is>
          <t>Principal of the college where Rahul, Anjali and Tina meet.</t>
        </is>
      </c>
      <c r="L150" s="5" t="n"/>
      <c r="M150" s="5" t="inlineStr">
        <is>
          <t>SOURCE-034</t>
        </is>
      </c>
    </row>
    <row r="151" ht="34" customHeight="1">
      <c r="A151" s="15" t="inlineStr">
        <is>
          <t>CAST-150</t>
        </is>
      </c>
      <c r="B151" s="20" t="inlineStr">
        <is>
          <t>FILM-031</t>
        </is>
      </c>
      <c r="C151" s="5" t="inlineStr">
        <is>
          <t>Kuch Kuch Hota Hai</t>
        </is>
      </c>
      <c r="D151" s="17" t="n">
        <v>1998</v>
      </c>
      <c r="E151" s="5" t="inlineStr">
        <is>
          <t>Reema Lagoo</t>
        </is>
      </c>
      <c r="F151" s="5" t="inlineStr">
        <is>
          <t>Mrs. Sharma</t>
        </is>
      </c>
      <c r="G151" s="5" t="inlineStr">
        <is>
          <t>Family</t>
        </is>
      </c>
      <c r="H151" s="5" t="inlineStr">
        <is>
          <t>Medium</t>
        </is>
      </c>
      <c r="I151" s="5" t="inlineStr">
        <is>
          <t>Mother of Rahul's college best friend Anjali Sharma.</t>
        </is>
      </c>
      <c r="J151" s="5" t="inlineStr">
        <is>
          <t>Mother of Anjali Sharma, whom Rahul eventually marries.</t>
        </is>
      </c>
      <c r="K151" s="19" t="inlineStr">
        <is>
          <t>Credited as Anjali Sharma's mother; Anjali's wedding to Aman is called off and Rahul takes his place as the groom.</t>
        </is>
      </c>
      <c r="L151" s="5" t="n"/>
      <c r="M151" s="5" t="inlineStr">
        <is>
          <t>SOURCE-034</t>
        </is>
      </c>
    </row>
    <row r="152" ht="49" customHeight="1">
      <c r="A152" s="15" t="inlineStr">
        <is>
          <t>CAST-151</t>
        </is>
      </c>
      <c r="B152" s="20" t="inlineStr">
        <is>
          <t>FILM-031</t>
        </is>
      </c>
      <c r="C152" s="5" t="inlineStr">
        <is>
          <t>Kuch Kuch Hota Hai</t>
        </is>
      </c>
      <c r="D152" s="17" t="n">
        <v>1998</v>
      </c>
      <c r="E152" s="5" t="inlineStr">
        <is>
          <t>Archana Puran Singh</t>
        </is>
      </c>
      <c r="F152" s="5" t="inlineStr">
        <is>
          <t>Ms. Braganza</t>
        </is>
      </c>
      <c r="G152" s="5" t="inlineStr">
        <is>
          <t>Comic support</t>
        </is>
      </c>
      <c r="H152" s="5" t="inlineStr">
        <is>
          <t>Minor</t>
        </is>
      </c>
      <c r="I152" s="5" t="inlineStr">
        <is>
          <t>Not described in the plot summary.</t>
        </is>
      </c>
      <c r="J152" s="5" t="inlineStr">
        <is>
          <t>Not applicable</t>
        </is>
      </c>
      <c r="K152" s="19" t="inlineStr">
        <is>
          <t>Credited as Ms. Braganza; the plot summary does not describe her role.</t>
        </is>
      </c>
      <c r="L152" s="5" t="inlineStr">
        <is>
          <t>Screen Award for Best Comedian win; Filmfare Award for Best Performance in a Comic Role nomination</t>
        </is>
      </c>
      <c r="M152" s="5" t="inlineStr">
        <is>
          <t>SOURCE-034</t>
        </is>
      </c>
    </row>
    <row r="153" ht="49" customHeight="1">
      <c r="A153" s="15" t="inlineStr">
        <is>
          <t>CAST-152</t>
        </is>
      </c>
      <c r="B153" s="20" t="inlineStr">
        <is>
          <t>FILM-031</t>
        </is>
      </c>
      <c r="C153" s="5" t="inlineStr">
        <is>
          <t>Kuch Kuch Hota Hai</t>
        </is>
      </c>
      <c r="D153" s="17" t="n">
        <v>1998</v>
      </c>
      <c r="E153" s="5" t="inlineStr">
        <is>
          <t>Johnny Lever</t>
        </is>
      </c>
      <c r="F153" s="5" t="inlineStr">
        <is>
          <t>Colonel Joshua Almeida</t>
        </is>
      </c>
      <c r="G153" s="5" t="inlineStr">
        <is>
          <t>Comic support</t>
        </is>
      </c>
      <c r="H153" s="5" t="inlineStr">
        <is>
          <t>Minor</t>
        </is>
      </c>
      <c r="I153" s="5" t="inlineStr">
        <is>
          <t>Manager of the Shimla summer camp where Rahul reunites with Anjali Sharma.</t>
        </is>
      </c>
      <c r="J153" s="5" t="inlineStr">
        <is>
          <t>Runs the camp where Rahul and Anjali Sharma meet again and grow close.</t>
        </is>
      </c>
      <c r="K153" s="19" t="inlineStr">
        <is>
          <t>Credited as the summer camp manager at the Shimla workshop attended by young Anjali, where Sharma is an instructor.</t>
        </is>
      </c>
      <c r="L153" s="5" t="inlineStr">
        <is>
          <t>Filmfare Award for Best Performance in a Comic Role nomination</t>
        </is>
      </c>
      <c r="M153" s="5" t="inlineStr">
        <is>
          <t>SOURCE-034</t>
        </is>
      </c>
    </row>
    <row r="154" ht="49" customHeight="1">
      <c r="A154" s="15" t="inlineStr">
        <is>
          <t>CAST-153</t>
        </is>
      </c>
      <c r="B154" s="20" t="inlineStr">
        <is>
          <t>FILM-032</t>
        </is>
      </c>
      <c r="C154" s="5" t="inlineStr">
        <is>
          <t>Baadshah</t>
        </is>
      </c>
      <c r="D154" s="17" t="n">
        <v>1999</v>
      </c>
      <c r="E154" s="5" t="inlineStr">
        <is>
          <t>Amrish Puri</t>
        </is>
      </c>
      <c r="F154" s="5" t="inlineStr">
        <is>
          <t>Suraj Singh Thapar</t>
        </is>
      </c>
      <c r="G154" s="5" t="inlineStr">
        <is>
          <t>Antagonist</t>
        </is>
      </c>
      <c r="H154" s="5" t="inlineStr">
        <is>
          <t>Major</t>
        </is>
      </c>
      <c r="I154" s="5" t="inlineStr">
        <is>
          <t>Blackmails Baadshah into attempting the assassination</t>
        </is>
      </c>
      <c r="J154" s="5" t="inlineStr">
        <is>
          <t>His plot kills Seema's brother</t>
        </is>
      </c>
      <c r="K154" s="19" t="inlineStr">
        <is>
          <t>Tycoon whose chemical plant is being shut down; he plots to assassinate Goa's Chief Minister and dies in his own car bomb.</t>
        </is>
      </c>
      <c r="L154" s="5" t="inlineStr">
        <is>
          <t>Filmfare Best Villain nomination</t>
        </is>
      </c>
      <c r="M154" s="5" t="inlineStr">
        <is>
          <t>SOURCE-035</t>
        </is>
      </c>
    </row>
    <row r="155" ht="34" customHeight="1">
      <c r="A155" s="15" t="inlineStr">
        <is>
          <t>CAST-154</t>
        </is>
      </c>
      <c r="B155" s="20" t="inlineStr">
        <is>
          <t>FILM-032</t>
        </is>
      </c>
      <c r="C155" s="5" t="inlineStr">
        <is>
          <t>Baadshah</t>
        </is>
      </c>
      <c r="D155" s="17" t="n">
        <v>1999</v>
      </c>
      <c r="E155" s="5" t="inlineStr">
        <is>
          <t>Raakhee Gulzar</t>
        </is>
      </c>
      <c r="F155" s="5" t="inlineStr">
        <is>
          <t>Gayatri Devi Bachchan</t>
        </is>
      </c>
      <c r="G155" s="5" t="inlineStr">
        <is>
          <t>Authority figure</t>
        </is>
      </c>
      <c r="H155" s="5" t="inlineStr">
        <is>
          <t>Medium</t>
        </is>
      </c>
      <c r="I155" s="5" t="inlineStr">
        <is>
          <t>The Chief Minister Baadshah saves</t>
        </is>
      </c>
      <c r="J155" s="5" t="inlineStr">
        <is>
          <t>Not applicable</t>
        </is>
      </c>
      <c r="K155" s="19" t="inlineStr">
        <is>
          <t>Goa's Chief Minister, who learns that her own husband is behind the plot to kill her.</t>
        </is>
      </c>
      <c r="L155" s="5" t="n"/>
      <c r="M155" s="5" t="inlineStr">
        <is>
          <t>SOURCE-035</t>
        </is>
      </c>
    </row>
    <row r="156" ht="34" customHeight="1">
      <c r="A156" s="15" t="inlineStr">
        <is>
          <t>CAST-155</t>
        </is>
      </c>
      <c r="B156" s="20" t="inlineStr">
        <is>
          <t>FILM-032</t>
        </is>
      </c>
      <c r="C156" s="5" t="inlineStr">
        <is>
          <t>Baadshah</t>
        </is>
      </c>
      <c r="D156" s="17" t="n">
        <v>1999</v>
      </c>
      <c r="E156" s="5" t="inlineStr">
        <is>
          <t>Johnny Lever</t>
        </is>
      </c>
      <c r="F156" s="5" t="inlineStr">
        <is>
          <t>Ram Lal</t>
        </is>
      </c>
      <c r="G156" s="5" t="inlineStr">
        <is>
          <t>Comic support</t>
        </is>
      </c>
      <c r="H156" s="5" t="inlineStr">
        <is>
          <t>Medium</t>
        </is>
      </c>
      <c r="I156" s="5" t="inlineStr">
        <is>
          <t>Baadshah's personal assistant</t>
        </is>
      </c>
      <c r="J156" s="5" t="inlineStr">
        <is>
          <t>Not applicable</t>
        </is>
      </c>
      <c r="K156" s="19" t="inlineStr">
        <is>
          <t>Held hostage by Thapar's gang with Baadshah's other employees.</t>
        </is>
      </c>
      <c r="L156" s="5" t="n"/>
      <c r="M156" s="5" t="inlineStr">
        <is>
          <t>SOURCE-035</t>
        </is>
      </c>
    </row>
    <row r="157" ht="34" customHeight="1">
      <c r="A157" s="15" t="inlineStr">
        <is>
          <t>CAST-156</t>
        </is>
      </c>
      <c r="B157" s="20" t="inlineStr">
        <is>
          <t>FILM-032</t>
        </is>
      </c>
      <c r="C157" s="5" t="inlineStr">
        <is>
          <t>Baadshah</t>
        </is>
      </c>
      <c r="D157" s="17" t="n">
        <v>1999</v>
      </c>
      <c r="E157" s="5" t="inlineStr">
        <is>
          <t>Sharat Saxena</t>
        </is>
      </c>
      <c r="F157" s="5" t="inlineStr">
        <is>
          <t>Moti</t>
        </is>
      </c>
      <c r="G157" s="5" t="inlineStr">
        <is>
          <t>Antagonist</t>
        </is>
      </c>
      <c r="H157" s="5" t="inlineStr">
        <is>
          <t>Medium</t>
        </is>
      </c>
      <c r="I157" s="5" t="inlineStr">
        <is>
          <t>Assassin who kills the real CBI agent and fights Baadshah</t>
        </is>
      </c>
      <c r="J157" s="5" t="inlineStr">
        <is>
          <t>Kills Seema's brother</t>
        </is>
      </c>
      <c r="K157" s="19" t="inlineStr">
        <is>
          <t>Rani's boyfriend, sent to take the agent's identity; he detonates the bomb that kills Thapar.</t>
        </is>
      </c>
      <c r="L157" s="5" t="n"/>
      <c r="M157" s="5" t="inlineStr">
        <is>
          <t>SOURCE-035</t>
        </is>
      </c>
    </row>
    <row r="158" ht="64" customHeight="1">
      <c r="A158" s="15" t="inlineStr">
        <is>
          <t>CAST-157</t>
        </is>
      </c>
      <c r="B158" s="20" t="inlineStr">
        <is>
          <t>FILM-032</t>
        </is>
      </c>
      <c r="C158" s="5" t="inlineStr">
        <is>
          <t>Baadshah</t>
        </is>
      </c>
      <c r="D158" s="17" t="n">
        <v>1999</v>
      </c>
      <c r="E158" s="5" t="inlineStr">
        <is>
          <t>Deepshikha Nagpal</t>
        </is>
      </c>
      <c r="F158" s="5" t="inlineStr">
        <is>
          <t>Rani</t>
        </is>
      </c>
      <c r="G158" s="5" t="inlineStr">
        <is>
          <t>Antagonist</t>
        </is>
      </c>
      <c r="H158" s="5" t="inlineStr">
        <is>
          <t>Medium</t>
        </is>
      </c>
      <c r="I158" s="5" t="inlineStr">
        <is>
          <t>Suraj Singh Thapar's assistant in the assassination plot that Baadshah becomes caught up in.</t>
        </is>
      </c>
      <c r="J158" s="5" t="inlineStr">
        <is>
          <t>Not applicable</t>
        </is>
      </c>
      <c r="K158" s="19" t="inlineStr">
        <is>
          <t>Hires the contract killer Shiva to assassinate the Chief Minister, then sends her boyfriend Moti to eliminate "Baadshah" and take his identity; she realises Moti killed the wrong man.</t>
        </is>
      </c>
      <c r="L158" s="5" t="n"/>
      <c r="M158" s="5" t="inlineStr">
        <is>
          <t>SOURCE-035</t>
        </is>
      </c>
    </row>
    <row r="159" ht="49" customHeight="1">
      <c r="A159" s="15" t="inlineStr">
        <is>
          <t>CAST-158</t>
        </is>
      </c>
      <c r="B159" s="20" t="inlineStr">
        <is>
          <t>FILM-032</t>
        </is>
      </c>
      <c r="C159" s="5" t="inlineStr">
        <is>
          <t>Baadshah</t>
        </is>
      </c>
      <c r="D159" s="17" t="n">
        <v>1999</v>
      </c>
      <c r="E159" s="5" t="inlineStr">
        <is>
          <t>Avtar Gill</t>
        </is>
      </c>
      <c r="F159" s="5" t="inlineStr">
        <is>
          <t>K. Jhunjhunwala</t>
        </is>
      </c>
      <c r="G159" s="5" t="inlineStr">
        <is>
          <t>Antagonist</t>
        </is>
      </c>
      <c r="H159" s="5" t="inlineStr">
        <is>
          <t>Minor</t>
        </is>
      </c>
      <c r="I159" s="5" t="inlineStr">
        <is>
          <t>A client who deceives Baadshah with a false case.</t>
        </is>
      </c>
      <c r="J159" s="5" t="inlineStr">
        <is>
          <t>His scheme leads Baadshah to woo Seema.</t>
        </is>
      </c>
      <c r="K159" s="19" t="inlineStr">
        <is>
          <t>Claims to be dying and hires Baadshah to stop his daughter Seema from refusing Nitin; he and Nitin are actually a father-son duo wanted by the CBI for bank fraud, and are arrested.</t>
        </is>
      </c>
      <c r="L159" s="5" t="n"/>
      <c r="M159" s="5" t="inlineStr">
        <is>
          <t>SOURCE-035</t>
        </is>
      </c>
    </row>
    <row r="160" ht="49" customHeight="1">
      <c r="A160" s="15" t="inlineStr">
        <is>
          <t>CAST-159</t>
        </is>
      </c>
      <c r="B160" s="20" t="inlineStr">
        <is>
          <t>FILM-032</t>
        </is>
      </c>
      <c r="C160" s="5" t="inlineStr">
        <is>
          <t>Baadshah</t>
        </is>
      </c>
      <c r="D160" s="17" t="n">
        <v>1999</v>
      </c>
      <c r="E160" s="5" t="inlineStr">
        <is>
          <t>Razak Khan</t>
        </is>
      </c>
      <c r="F160" s="5" t="inlineStr">
        <is>
          <t>Manik Chand</t>
        </is>
      </c>
      <c r="G160" s="5" t="inlineStr">
        <is>
          <t>Antagonist</t>
        </is>
      </c>
      <c r="H160" s="5" t="inlineStr">
        <is>
          <t>Medium</t>
        </is>
      </c>
      <c r="I160" s="5" t="inlineStr">
        <is>
          <t>One of the kidnappers Baadshah is hired to track down.</t>
        </is>
      </c>
      <c r="J160" s="5" t="inlineStr">
        <is>
          <t>Not applicable</t>
        </is>
      </c>
      <c r="K160" s="19" t="inlineStr">
        <is>
          <t>Saxena's partner; the two kidnap Mahendra Seth's child for ransom and hold him in Goa. The article names Razak Khan among the main cast.</t>
        </is>
      </c>
      <c r="L160" s="5" t="n"/>
      <c r="M160" s="5" t="inlineStr">
        <is>
          <t>SOURCE-035</t>
        </is>
      </c>
    </row>
    <row r="161" ht="49" customHeight="1">
      <c r="A161" s="15" t="inlineStr">
        <is>
          <t>CAST-160</t>
        </is>
      </c>
      <c r="B161" s="20" t="inlineStr">
        <is>
          <t>FILM-033</t>
        </is>
      </c>
      <c r="C161" s="5" t="inlineStr">
        <is>
          <t>Phir Bhi Dil Hai Hindustani</t>
        </is>
      </c>
      <c r="D161" s="17" t="n">
        <v>2000</v>
      </c>
      <c r="E161" s="5" t="inlineStr">
        <is>
          <t>Paresh Rawal</t>
        </is>
      </c>
      <c r="F161" s="5" t="inlineStr">
        <is>
          <t>Mohan Joshi</t>
        </is>
      </c>
      <c r="G161" s="5" t="inlineStr">
        <is>
          <t>Supporting</t>
        </is>
      </c>
      <c r="H161" s="5" t="inlineStr">
        <is>
          <t>Major</t>
        </is>
      </c>
      <c r="I161" s="5" t="inlineStr">
        <is>
          <t>The man whose cause Ajay takes up</t>
        </is>
      </c>
      <c r="J161" s="5" t="inlineStr">
        <is>
          <t>Helps Ajay and Ria realise their love</t>
        </is>
      </c>
      <c r="K161" s="19" t="inlineStr">
        <is>
          <t>Father who kills the politician's brother-in-law for raping and murdering his daughter, is branded a terrorist and sentenced to death.</t>
        </is>
      </c>
      <c r="L161" s="5" t="n"/>
      <c r="M161" s="5" t="inlineStr">
        <is>
          <t>SOURCE-036</t>
        </is>
      </c>
    </row>
    <row r="162" ht="34" customHeight="1">
      <c r="A162" s="15" t="inlineStr">
        <is>
          <t>CAST-161</t>
        </is>
      </c>
      <c r="B162" s="20" t="inlineStr">
        <is>
          <t>FILM-033</t>
        </is>
      </c>
      <c r="C162" s="5" t="inlineStr">
        <is>
          <t>Phir Bhi Dil Hai Hindustani</t>
        </is>
      </c>
      <c r="D162" s="17" t="n">
        <v>2000</v>
      </c>
      <c r="E162" s="5" t="inlineStr">
        <is>
          <t>Johnny Lever</t>
        </is>
      </c>
      <c r="F162" s="5" t="inlineStr">
        <is>
          <t>Pappu Junior (Choti)</t>
        </is>
      </c>
      <c r="G162" s="5" t="inlineStr">
        <is>
          <t>Comic support</t>
        </is>
      </c>
      <c r="H162" s="5" t="inlineStr">
        <is>
          <t>Medium</t>
        </is>
      </c>
      <c r="I162" s="5" t="inlineStr">
        <is>
          <t>Small-time gangster Ajay recruits for a staged attack</t>
        </is>
      </c>
      <c r="J162" s="5" t="inlineStr">
        <is>
          <t>Helps the couple steal back the tape</t>
        </is>
      </c>
      <c r="K162" s="19" t="inlineStr">
        <is>
          <t>Struggles for recognition in his gang; his staged attack spirals into a real murder case.</t>
        </is>
      </c>
      <c r="L162" s="5" t="inlineStr">
        <is>
          <t>Filmfare, IIFA and Screen Best Comedian nominations</t>
        </is>
      </c>
      <c r="M162" s="5" t="inlineStr">
        <is>
          <t>SOURCE-036</t>
        </is>
      </c>
    </row>
    <row r="163" ht="34" customHeight="1">
      <c r="A163" s="15" t="inlineStr">
        <is>
          <t>CAST-162</t>
        </is>
      </c>
      <c r="B163" s="20" t="inlineStr">
        <is>
          <t>FILM-033</t>
        </is>
      </c>
      <c r="C163" s="5" t="inlineStr">
        <is>
          <t>Phir Bhi Dil Hai Hindustani</t>
        </is>
      </c>
      <c r="D163" s="17" t="n">
        <v>2000</v>
      </c>
      <c r="E163" s="5" t="inlineStr">
        <is>
          <t>Shakti Kapoor</t>
        </is>
      </c>
      <c r="F163" s="5" t="inlineStr">
        <is>
          <t>Minister Ramakant Dua</t>
        </is>
      </c>
      <c r="G163" s="5" t="inlineStr">
        <is>
          <t>Antagonist</t>
        </is>
      </c>
      <c r="H163" s="5" t="inlineStr">
        <is>
          <t>Medium</t>
        </is>
      </c>
      <c r="I163" s="5" t="inlineStr">
        <is>
          <t>Corrupt politician Ajay exposes</t>
        </is>
      </c>
      <c r="J163" s="5" t="inlineStr">
        <is>
          <t>Not applicable</t>
        </is>
      </c>
      <c r="K163" s="19" t="inlineStr">
        <is>
          <t>Shields his brother-in-law's crimes and suppresses Mohan's confession.</t>
        </is>
      </c>
      <c r="L163" s="5" t="n"/>
      <c r="M163" s="5" t="inlineStr">
        <is>
          <t>SOURCE-036</t>
        </is>
      </c>
    </row>
    <row r="164" ht="19" customHeight="1">
      <c r="A164" s="15" t="inlineStr">
        <is>
          <t>CAST-163</t>
        </is>
      </c>
      <c r="B164" s="20" t="inlineStr">
        <is>
          <t>FILM-033</t>
        </is>
      </c>
      <c r="C164" s="5" t="inlineStr">
        <is>
          <t>Phir Bhi Dil Hai Hindustani</t>
        </is>
      </c>
      <c r="D164" s="17" t="n">
        <v>2000</v>
      </c>
      <c r="E164" s="5" t="inlineStr">
        <is>
          <t>Satish Shah</t>
        </is>
      </c>
      <c r="F164" s="5" t="inlineStr">
        <is>
          <t>Kaka</t>
        </is>
      </c>
      <c r="G164" s="5" t="inlineStr">
        <is>
          <t>Authority figure</t>
        </is>
      </c>
      <c r="H164" s="5" t="inlineStr">
        <is>
          <t>Minor</t>
        </is>
      </c>
      <c r="I164" s="5" t="inlineStr">
        <is>
          <t>Head of KTV and Ajay's boss</t>
        </is>
      </c>
      <c r="J164" s="5" t="inlineStr">
        <is>
          <t>Not applicable</t>
        </is>
      </c>
      <c r="K164" s="19" t="inlineStr">
        <is>
          <t>Media boss who helps confiscate the confession tape.</t>
        </is>
      </c>
      <c r="L164" s="5" t="n"/>
      <c r="M164" s="5" t="inlineStr">
        <is>
          <t>SOURCE-036</t>
        </is>
      </c>
    </row>
    <row r="165" ht="64" customHeight="1">
      <c r="A165" s="15" t="inlineStr">
        <is>
          <t>CAST-164</t>
        </is>
      </c>
      <c r="B165" s="20" t="inlineStr">
        <is>
          <t>FILM-033</t>
        </is>
      </c>
      <c r="C165" s="5" t="inlineStr">
        <is>
          <t>Phir Bhi Dil Hai Hindustani</t>
        </is>
      </c>
      <c r="D165" s="17" t="n">
        <v>2000</v>
      </c>
      <c r="E165" s="5" t="inlineStr">
        <is>
          <t>Mahavir Shah</t>
        </is>
      </c>
      <c r="F165" s="5" t="inlineStr">
        <is>
          <t>Madanlal Gupta</t>
        </is>
      </c>
      <c r="G165" s="5" t="inlineStr">
        <is>
          <t>Antagonist</t>
        </is>
      </c>
      <c r="H165" s="5" t="inlineStr">
        <is>
          <t>Medium</t>
        </is>
      </c>
      <c r="I165" s="5" t="inlineStr">
        <is>
          <t>Target of Ajay's staged on-air attack.</t>
        </is>
      </c>
      <c r="J165" s="5" t="inlineStr">
        <is>
          <t>Not applicable</t>
        </is>
      </c>
      <c r="K165" s="19" t="inlineStr">
        <is>
          <t>Minister Ramakant Dua's brother-in-law; Ajay's publicity stunt against him goes wrong when Mohan Joshi kills him, later revealed as revenge for the rape and murder of Mohan's daughter.</t>
        </is>
      </c>
      <c r="L165" s="5" t="n"/>
      <c r="M165" s="5" t="inlineStr">
        <is>
          <t>SOURCE-036</t>
        </is>
      </c>
    </row>
    <row r="166" ht="49" customHeight="1">
      <c r="A166" s="15" t="inlineStr">
        <is>
          <t>CAST-165</t>
        </is>
      </c>
      <c r="B166" s="20" t="inlineStr">
        <is>
          <t>FILM-033</t>
        </is>
      </c>
      <c r="C166" s="5" t="inlineStr">
        <is>
          <t>Phir Bhi Dil Hai Hindustani</t>
        </is>
      </c>
      <c r="D166" s="17" t="n">
        <v>2000</v>
      </c>
      <c r="E166" s="5" t="inlineStr">
        <is>
          <t>Dalip Tahil</t>
        </is>
      </c>
      <c r="F166" s="5" t="inlineStr">
        <is>
          <t>Shenoy</t>
        </is>
      </c>
      <c r="G166" s="5" t="inlineStr">
        <is>
          <t>Antagonist</t>
        </is>
      </c>
      <c r="H166" s="5" t="inlineStr">
        <is>
          <t>Medium</t>
        </is>
      </c>
      <c r="I166" s="5" t="inlineStr">
        <is>
          <t>Head of the rival Galaxy TV channel.</t>
        </is>
      </c>
      <c r="J166" s="5" t="inlineStr">
        <is>
          <t>Boss of Ajay's rival and later love interest Ria.</t>
        </is>
      </c>
      <c r="K166" s="19" t="inlineStr">
        <is>
          <t>Ria's boss at Galaxy TV; among the media superiors who deceive Ajay and Ria and confiscate Mohan's confession tape, and who fall after the public outcry.</t>
        </is>
      </c>
      <c r="L166" s="5" t="n"/>
      <c r="M166" s="5" t="inlineStr">
        <is>
          <t>SOURCE-036</t>
        </is>
      </c>
    </row>
    <row r="167" ht="34" customHeight="1">
      <c r="A167" s="15" t="inlineStr">
        <is>
          <t>CAST-166</t>
        </is>
      </c>
      <c r="B167" s="20" t="inlineStr">
        <is>
          <t>FILM-034</t>
        </is>
      </c>
      <c r="C167" s="5" t="inlineStr">
        <is>
          <t>Hey Ram</t>
        </is>
      </c>
      <c r="D167" s="17" t="n">
        <v>2000</v>
      </c>
      <c r="E167" s="5" t="inlineStr">
        <is>
          <t>Kamal Haasan</t>
        </is>
      </c>
      <c r="F167" s="5" t="inlineStr">
        <is>
          <t>Saket Ram</t>
        </is>
      </c>
      <c r="G167" s="5" t="inlineStr">
        <is>
          <t>Co-lead</t>
        </is>
      </c>
      <c r="H167" s="5" t="inlineStr">
        <is>
          <t>Major</t>
        </is>
      </c>
      <c r="I167" s="5" t="inlineStr">
        <is>
          <t>Amjad's closest friend</t>
        </is>
      </c>
      <c r="J167" s="5" t="inlineStr">
        <is>
          <t>Not applicable</t>
        </is>
      </c>
      <c r="K167" s="19" t="inlineStr">
        <is>
          <t>Archaeologist radicalised by his wife's murder who plots to kill Gandhi, then renounces hatred after Amjad's death.</t>
        </is>
      </c>
      <c r="L167" s="5" t="n"/>
      <c r="M167" s="5" t="inlineStr">
        <is>
          <t>SOURCE-037</t>
        </is>
      </c>
    </row>
    <row r="168" ht="34" customHeight="1">
      <c r="A168" s="15" t="inlineStr">
        <is>
          <t>CAST-167</t>
        </is>
      </c>
      <c r="B168" s="20" t="inlineStr">
        <is>
          <t>FILM-034</t>
        </is>
      </c>
      <c r="C168" s="5" t="inlineStr">
        <is>
          <t>Hey Ram</t>
        </is>
      </c>
      <c r="D168" s="17" t="n">
        <v>2000</v>
      </c>
      <c r="E168" s="5" t="inlineStr">
        <is>
          <t>Atul Kulkarni</t>
        </is>
      </c>
      <c r="F168" s="5" t="inlineStr">
        <is>
          <t>Shriram Abhyankar</t>
        </is>
      </c>
      <c r="G168" s="5" t="inlineStr">
        <is>
          <t>Antagonist</t>
        </is>
      </c>
      <c r="H168" s="5" t="inlineStr">
        <is>
          <t>Major</t>
        </is>
      </c>
      <c r="I168" s="5" t="inlineStr">
        <is>
          <t>Radicalises Amjad's friend Ram</t>
        </is>
      </c>
      <c r="J168" s="5" t="inlineStr">
        <is>
          <t>Not applicable</t>
        </is>
      </c>
      <c r="K168" s="19" t="inlineStr">
        <is>
          <t>Leader of a militant Hindu faction who recruits Ram and assigns him to assassinate Gandhi.</t>
        </is>
      </c>
      <c r="L168" s="5" t="inlineStr">
        <is>
          <t>National Film Award for Best Supporting Actor</t>
        </is>
      </c>
      <c r="M168" s="5" t="inlineStr">
        <is>
          <t>SOURCE-037</t>
        </is>
      </c>
    </row>
    <row r="169" ht="34" customHeight="1">
      <c r="A169" s="15" t="inlineStr">
        <is>
          <t>CAST-168</t>
        </is>
      </c>
      <c r="B169" s="20" t="inlineStr">
        <is>
          <t>FILM-034</t>
        </is>
      </c>
      <c r="C169" s="5" t="inlineStr">
        <is>
          <t>Hey Ram</t>
        </is>
      </c>
      <c r="D169" s="17" t="n">
        <v>2000</v>
      </c>
      <c r="E169" s="5" t="inlineStr">
        <is>
          <t>Naseeruddin Shah</t>
        </is>
      </c>
      <c r="F169" s="5" t="inlineStr">
        <is>
          <t>Mahatma Gandhi</t>
        </is>
      </c>
      <c r="G169" s="5" t="inlineStr">
        <is>
          <t>Supporting</t>
        </is>
      </c>
      <c r="H169" s="5" t="inlineStr">
        <is>
          <t>Medium</t>
        </is>
      </c>
      <c r="I169" s="5" t="inlineStr">
        <is>
          <t>The leader Amjad's sacrifice brings Ram to</t>
        </is>
      </c>
      <c r="J169" s="5" t="inlineStr">
        <is>
          <t>Not applicable</t>
        </is>
      </c>
      <c r="K169" s="19" t="inlineStr">
        <is>
          <t>Invites Ram to join his peace march moments before he is assassinated by Godse.</t>
        </is>
      </c>
      <c r="L169" s="5" t="n"/>
      <c r="M169" s="5" t="inlineStr">
        <is>
          <t>SOURCE-037</t>
        </is>
      </c>
    </row>
    <row r="170" ht="34" customHeight="1">
      <c r="A170" s="15" t="inlineStr">
        <is>
          <t>CAST-169</t>
        </is>
      </c>
      <c r="B170" s="20" t="inlineStr">
        <is>
          <t>FILM-034</t>
        </is>
      </c>
      <c r="C170" s="5" t="inlineStr">
        <is>
          <t>Hey Ram</t>
        </is>
      </c>
      <c r="D170" s="17" t="n">
        <v>2000</v>
      </c>
      <c r="E170" s="5" t="inlineStr">
        <is>
          <t>Rani Mukerji</t>
        </is>
      </c>
      <c r="F170" s="5" t="inlineStr">
        <is>
          <t>Aparna Ram</t>
        </is>
      </c>
      <c r="G170" s="5" t="inlineStr">
        <is>
          <t>Supporting</t>
        </is>
      </c>
      <c r="H170" s="5" t="inlineStr">
        <is>
          <t>Medium</t>
        </is>
      </c>
      <c r="I170" s="5" t="inlineStr">
        <is>
          <t>Wife of Amjad's friend</t>
        </is>
      </c>
      <c r="J170" s="5" t="inlineStr">
        <is>
          <t>Not applicable</t>
        </is>
      </c>
      <c r="K170" s="19" t="inlineStr">
        <is>
          <t>Ram's first wife, raped and murdered during the Direct Action Day riots.</t>
        </is>
      </c>
      <c r="L170" s="5" t="n"/>
      <c r="M170" s="5" t="inlineStr">
        <is>
          <t>SOURCE-037</t>
        </is>
      </c>
    </row>
    <row r="171" ht="49" customHeight="1">
      <c r="A171" s="15" t="inlineStr">
        <is>
          <t>CAST-170</t>
        </is>
      </c>
      <c r="B171" s="20" t="inlineStr">
        <is>
          <t>FILM-034</t>
        </is>
      </c>
      <c r="C171" s="5" t="inlineStr">
        <is>
          <t>Hey Ram</t>
        </is>
      </c>
      <c r="D171" s="17" t="n">
        <v>2000</v>
      </c>
      <c r="E171" s="5" t="inlineStr">
        <is>
          <t>Vasundhara Das</t>
        </is>
      </c>
      <c r="F171" s="5" t="inlineStr">
        <is>
          <t>Mythili Ram Iyengar</t>
        </is>
      </c>
      <c r="G171" s="5" t="inlineStr">
        <is>
          <t>Supporting</t>
        </is>
      </c>
      <c r="H171" s="5" t="inlineStr">
        <is>
          <t>Medium</t>
        </is>
      </c>
      <c r="I171" s="5" t="inlineStr">
        <is>
          <t>Second wife of Amjad's closest friend, Saket Ram.</t>
        </is>
      </c>
      <c r="J171" s="5" t="inlineStr">
        <is>
          <t>Not applicable</t>
        </is>
      </c>
      <c r="K171" s="19" t="inlineStr">
        <is>
          <t>Ram marries her under family pressure after Aparna's death; she and her family are devout followers of Gandhi, and Ram later abandons her while she is pregnant.</t>
        </is>
      </c>
      <c r="L171" s="5" t="inlineStr">
        <is>
          <t>Screen Award for Most Promising Newcomer (Female) nomination</t>
        </is>
      </c>
      <c r="M171" s="5" t="inlineStr">
        <is>
          <t>SOURCE-037</t>
        </is>
      </c>
    </row>
    <row r="172" ht="34" customHeight="1">
      <c r="A172" s="15" t="inlineStr">
        <is>
          <t>CAST-171</t>
        </is>
      </c>
      <c r="B172" s="20" t="inlineStr">
        <is>
          <t>FILM-034</t>
        </is>
      </c>
      <c r="C172" s="5" t="inlineStr">
        <is>
          <t>Hey Ram</t>
        </is>
      </c>
      <c r="D172" s="17" t="n">
        <v>2000</v>
      </c>
      <c r="E172" s="5" t="inlineStr">
        <is>
          <t>Iravati Harshe</t>
        </is>
      </c>
      <c r="F172" s="5" t="inlineStr">
        <is>
          <t>Nafisa</t>
        </is>
      </c>
      <c r="G172" s="5" t="inlineStr">
        <is>
          <t>Family</t>
        </is>
      </c>
      <c r="H172" s="5" t="inlineStr">
        <is>
          <t>Minor</t>
        </is>
      </c>
      <c r="I172" s="5" t="inlineStr">
        <is>
          <t>Amjad's wife.</t>
        </is>
      </c>
      <c r="J172" s="5" t="inlineStr">
        <is>
          <t>Not applicable</t>
        </is>
      </c>
      <c r="K172" s="19" t="inlineStr">
        <is>
          <t>Among the displaced Muslim families Amjad shelters inside the Chandni Chowk soda factory.</t>
        </is>
      </c>
      <c r="L172" s="5" t="n"/>
      <c r="M172" s="5" t="inlineStr">
        <is>
          <t>SOURCE-037</t>
        </is>
      </c>
    </row>
    <row r="173" ht="34" customHeight="1">
      <c r="A173" s="15" t="inlineStr">
        <is>
          <t>CAST-172</t>
        </is>
      </c>
      <c r="B173" s="20" t="inlineStr">
        <is>
          <t>FILM-035</t>
        </is>
      </c>
      <c r="C173" s="5" t="inlineStr">
        <is>
          <t>Josh</t>
        </is>
      </c>
      <c r="D173" s="17" t="n">
        <v>2000</v>
      </c>
      <c r="E173" s="5" t="inlineStr">
        <is>
          <t>Aishwarya Rai</t>
        </is>
      </c>
      <c r="F173" s="5" t="inlineStr">
        <is>
          <t>Shirley Dias</t>
        </is>
      </c>
      <c r="G173" s="5" t="inlineStr">
        <is>
          <t>Family</t>
        </is>
      </c>
      <c r="H173" s="5" t="inlineStr">
        <is>
          <t>Major</t>
        </is>
      </c>
      <c r="I173" s="5" t="inlineStr">
        <is>
          <t>Max's twin sister</t>
        </is>
      </c>
      <c r="J173" s="5" t="inlineStr">
        <is>
          <t>Falls for Rahul, the brother of Max's rival</t>
        </is>
      </c>
      <c r="K173" s="19" t="inlineStr">
        <is>
          <t>Member of the Eagles' motorcycle crew whose romance with Rahul crosses the gang divide.</t>
        </is>
      </c>
      <c r="L173" s="5" t="n"/>
      <c r="M173" s="5" t="inlineStr">
        <is>
          <t>SOURCE-038</t>
        </is>
      </c>
    </row>
    <row r="174" ht="34" customHeight="1">
      <c r="A174" s="15" t="inlineStr">
        <is>
          <t>CAST-173</t>
        </is>
      </c>
      <c r="B174" s="20" t="inlineStr">
        <is>
          <t>FILM-035</t>
        </is>
      </c>
      <c r="C174" s="5" t="inlineStr">
        <is>
          <t>Josh</t>
        </is>
      </c>
      <c r="D174" s="17" t="n">
        <v>2000</v>
      </c>
      <c r="E174" s="5" t="inlineStr">
        <is>
          <t>Chandrachur Singh</t>
        </is>
      </c>
      <c r="F174" s="5" t="inlineStr">
        <is>
          <t>Rahul Sharma</t>
        </is>
      </c>
      <c r="G174" s="5" t="inlineStr">
        <is>
          <t>Co-lead</t>
        </is>
      </c>
      <c r="H174" s="5" t="inlineStr">
        <is>
          <t>Major</t>
        </is>
      </c>
      <c r="I174" s="5" t="inlineStr">
        <is>
          <t>Rival's brother who wins Max's respect</t>
        </is>
      </c>
      <c r="J174" s="5" t="inlineStr">
        <is>
          <t>Shirley's suitor and eventual husband</t>
        </is>
      </c>
      <c r="K174" s="19" t="inlineStr">
        <is>
          <t>Mumbai pastry chef who settles in Vasco for Shirley and proves in court that Max acted in self-defence.</t>
        </is>
      </c>
      <c r="L174" s="5" t="inlineStr">
        <is>
          <t>IIFA Best Supporting Actor nomination</t>
        </is>
      </c>
      <c r="M174" s="5" t="inlineStr">
        <is>
          <t>SOURCE-038</t>
        </is>
      </c>
    </row>
    <row r="175" ht="34" customHeight="1">
      <c r="A175" s="15" t="inlineStr">
        <is>
          <t>CAST-174</t>
        </is>
      </c>
      <c r="B175" s="20" t="inlineStr">
        <is>
          <t>FILM-035</t>
        </is>
      </c>
      <c r="C175" s="5" t="inlineStr">
        <is>
          <t>Josh</t>
        </is>
      </c>
      <c r="D175" s="17" t="n">
        <v>2000</v>
      </c>
      <c r="E175" s="5" t="inlineStr">
        <is>
          <t>Sharad Kapoor</t>
        </is>
      </c>
      <c r="F175" s="5" t="inlineStr">
        <is>
          <t>Prakash Sharma</t>
        </is>
      </c>
      <c r="G175" s="5" t="inlineStr">
        <is>
          <t>Antagonist</t>
        </is>
      </c>
      <c r="H175" s="5" t="inlineStr">
        <is>
          <t>Major</t>
        </is>
      </c>
      <c r="I175" s="5" t="inlineStr">
        <is>
          <t>Leader of the rival Bichhoos</t>
        </is>
      </c>
      <c r="J175" s="5" t="inlineStr">
        <is>
          <t>Plots to marry Rahul to Shirley to seize her land</t>
        </is>
      </c>
      <c r="K175" s="19" t="inlineStr">
        <is>
          <t>Delinquent gang leader involved in real-estate schemes who tries to kill Max and is shot in the struggle.</t>
        </is>
      </c>
      <c r="L175" s="5" t="inlineStr">
        <is>
          <t>Filmfare and IIFA Best Villain nominations</t>
        </is>
      </c>
      <c r="M175" s="5" t="inlineStr">
        <is>
          <t>SOURCE-038</t>
        </is>
      </c>
    </row>
    <row r="176" ht="19" customHeight="1">
      <c r="A176" s="15" t="inlineStr">
        <is>
          <t>CAST-175</t>
        </is>
      </c>
      <c r="B176" s="20" t="inlineStr">
        <is>
          <t>FILM-035</t>
        </is>
      </c>
      <c r="C176" s="5" t="inlineStr">
        <is>
          <t>Josh</t>
        </is>
      </c>
      <c r="D176" s="17" t="n">
        <v>2000</v>
      </c>
      <c r="E176" s="5" t="inlineStr">
        <is>
          <t>Priya Gill</t>
        </is>
      </c>
      <c r="F176" s="5" t="inlineStr">
        <is>
          <t>Rosanne</t>
        </is>
      </c>
      <c r="G176" s="5" t="inlineStr">
        <is>
          <t>Cameo</t>
        </is>
      </c>
      <c r="H176" s="5" t="inlineStr">
        <is>
          <t>Minor</t>
        </is>
      </c>
      <c r="I176" s="5" t="inlineStr">
        <is>
          <t>Max's love interest</t>
        </is>
      </c>
      <c r="J176" s="5" t="inlineStr">
        <is>
          <t>Not applicable</t>
        </is>
      </c>
      <c r="K176" s="19" t="inlineStr">
        <is>
          <t>Special appearance; not described in the plot summary.</t>
        </is>
      </c>
      <c r="L176" s="5" t="n"/>
      <c r="M176" s="5" t="inlineStr">
        <is>
          <t>SOURCE-038</t>
        </is>
      </c>
    </row>
    <row r="177" ht="49" customHeight="1">
      <c r="A177" s="15" t="inlineStr">
        <is>
          <t>CAST-176</t>
        </is>
      </c>
      <c r="B177" s="20" t="inlineStr">
        <is>
          <t>FILM-035</t>
        </is>
      </c>
      <c r="C177" s="5" t="inlineStr">
        <is>
          <t>Josh</t>
        </is>
      </c>
      <c r="D177" s="17" t="n">
        <v>2000</v>
      </c>
      <c r="E177" s="5" t="inlineStr">
        <is>
          <t>Sharat Saxena</t>
        </is>
      </c>
      <c r="F177" s="5" t="inlineStr">
        <is>
          <t>Police Inspector</t>
        </is>
      </c>
      <c r="G177" s="5" t="inlineStr">
        <is>
          <t>Authority figure</t>
        </is>
      </c>
      <c r="H177" s="5" t="inlineStr">
        <is>
          <t>Minor</t>
        </is>
      </c>
      <c r="I177" s="5" t="inlineStr">
        <is>
          <t>The town inspector who intervenes in fights between Max's Eagles and the Bichhoos.</t>
        </is>
      </c>
      <c r="J177" s="5" t="inlineStr">
        <is>
          <t>Not applicable</t>
        </is>
      </c>
      <c r="K177" s="19" t="inlineStr">
        <is>
          <t>With Fr. Jacob, usually steps in when the rival gangs of Vasco clash.</t>
        </is>
      </c>
      <c r="L177" s="5" t="n"/>
      <c r="M177" s="5" t="inlineStr">
        <is>
          <t>SOURCE-038</t>
        </is>
      </c>
    </row>
    <row r="178" ht="64" customHeight="1">
      <c r="A178" s="15" t="inlineStr">
        <is>
          <t>CAST-177</t>
        </is>
      </c>
      <c r="B178" s="20" t="inlineStr">
        <is>
          <t>FILM-035</t>
        </is>
      </c>
      <c r="C178" s="5" t="inlineStr">
        <is>
          <t>Josh</t>
        </is>
      </c>
      <c r="D178" s="17" t="n">
        <v>2000</v>
      </c>
      <c r="E178" s="5" t="inlineStr">
        <is>
          <t>Raymond Albuquerque</t>
        </is>
      </c>
      <c r="F178" s="5" t="inlineStr">
        <is>
          <t>Alberto Vasco</t>
        </is>
      </c>
      <c r="G178" s="5" t="inlineStr">
        <is>
          <t>Family</t>
        </is>
      </c>
      <c r="H178" s="5" t="inlineStr">
        <is>
          <t>Minor</t>
        </is>
      </c>
      <c r="I178" s="5" t="inlineStr">
        <is>
          <t>Max's biological father.</t>
        </is>
      </c>
      <c r="J178" s="5" t="inlineStr">
        <is>
          <t>Not applicable</t>
        </is>
      </c>
      <c r="K178" s="19" t="inlineStr">
        <is>
          <t>Vasco's landlord, after whom the town is named; Max and Shirley are his illegitimate children, and the disputed village ground he placed in their mother's name proves to be their inheritance.</t>
        </is>
      </c>
      <c r="L178" s="5" t="n"/>
      <c r="M178" s="5" t="inlineStr">
        <is>
          <t>SOURCE-038</t>
        </is>
      </c>
    </row>
    <row r="179" ht="34" customHeight="1">
      <c r="A179" s="15" t="inlineStr">
        <is>
          <t>CAST-178</t>
        </is>
      </c>
      <c r="B179" s="20" t="inlineStr">
        <is>
          <t>FILM-036</t>
        </is>
      </c>
      <c r="C179" s="5" t="inlineStr">
        <is>
          <t>Har Dil Jo Pyar Karega</t>
        </is>
      </c>
      <c r="D179" s="17" t="n">
        <v>2000</v>
      </c>
      <c r="E179" s="5" t="inlineStr">
        <is>
          <t>Salman Khan</t>
        </is>
      </c>
      <c r="F179" s="5" t="inlineStr">
        <is>
          <t>Raj Sharma / Romi</t>
        </is>
      </c>
      <c r="G179" s="5" t="inlineStr">
        <is>
          <t>Co-lead</t>
        </is>
      </c>
      <c r="H179" s="5" t="inlineStr">
        <is>
          <t>Major</t>
        </is>
      </c>
      <c r="I179" s="5" t="inlineStr">
        <is>
          <t>Lead of the film in which Khan makes a special appearance</t>
        </is>
      </c>
      <c r="J179" s="5" t="inlineStr">
        <is>
          <t>Loses Pooja's affections to Jahnvi's, leaving Pooja free for Rahul</t>
        </is>
      </c>
      <c r="K179" s="19" t="inlineStr">
        <is>
          <t>Struggling singer who rescues Pooja and is mistaken for her secret husband Romi.</t>
        </is>
      </c>
      <c r="L179" s="5" t="n"/>
      <c r="M179" s="5" t="inlineStr">
        <is>
          <t>SOURCE-039</t>
        </is>
      </c>
    </row>
    <row r="180" ht="34" customHeight="1">
      <c r="A180" s="15" t="inlineStr">
        <is>
          <t>CAST-179</t>
        </is>
      </c>
      <c r="B180" s="20" t="inlineStr">
        <is>
          <t>FILM-036</t>
        </is>
      </c>
      <c r="C180" s="5" t="inlineStr">
        <is>
          <t>Har Dil Jo Pyar Karega</t>
        </is>
      </c>
      <c r="D180" s="17" t="n">
        <v>2000</v>
      </c>
      <c r="E180" s="5" t="inlineStr">
        <is>
          <t>Rani Mukerji</t>
        </is>
      </c>
      <c r="F180" s="5" t="inlineStr">
        <is>
          <t>Pooja Oberoi</t>
        </is>
      </c>
      <c r="G180" s="5" t="inlineStr">
        <is>
          <t>Co-lead</t>
        </is>
      </c>
      <c r="H180" s="5" t="inlineStr">
        <is>
          <t>Major</t>
        </is>
      </c>
      <c r="I180" s="5" t="inlineStr">
        <is>
          <t>The heiress who chooses Rahul</t>
        </is>
      </c>
      <c r="J180" s="5" t="inlineStr">
        <is>
          <t>Chooses Rahul as her husband at the end</t>
        </is>
      </c>
      <c r="K180" s="19" t="inlineStr">
        <is>
          <t>Wakes from a coma, falls for Raj, and gives him up to her friend Jahnvi.</t>
        </is>
      </c>
      <c r="L180" s="5" t="inlineStr">
        <is>
          <t>Filmfare Best Supporting Actress nomination</t>
        </is>
      </c>
      <c r="M180" s="5" t="inlineStr">
        <is>
          <t>SOURCE-039</t>
        </is>
      </c>
    </row>
    <row r="181" ht="34" customHeight="1">
      <c r="A181" s="15" t="inlineStr">
        <is>
          <t>CAST-180</t>
        </is>
      </c>
      <c r="B181" s="20" t="inlineStr">
        <is>
          <t>FILM-036</t>
        </is>
      </c>
      <c r="C181" s="5" t="inlineStr">
        <is>
          <t>Har Dil Jo Pyar Karega</t>
        </is>
      </c>
      <c r="D181" s="17" t="n">
        <v>2000</v>
      </c>
      <c r="E181" s="5" t="inlineStr">
        <is>
          <t>Preity Zinta</t>
        </is>
      </c>
      <c r="F181" s="5" t="inlineStr">
        <is>
          <t>Jahnvi Verma</t>
        </is>
      </c>
      <c r="G181" s="5" t="inlineStr">
        <is>
          <t>Co-lead</t>
        </is>
      </c>
      <c r="H181" s="5" t="inlineStr">
        <is>
          <t>Major</t>
        </is>
      </c>
      <c r="I181" s="5" t="inlineStr">
        <is>
          <t>Not directly connected</t>
        </is>
      </c>
      <c r="J181" s="5" t="inlineStr">
        <is>
          <t>Raj's true love</t>
        </is>
      </c>
      <c r="K181" s="19" t="inlineStr">
        <is>
          <t>Pooja's best friend, who falls for Raj and steps back before Pooja reunites them.</t>
        </is>
      </c>
      <c r="L181" s="5" t="n"/>
      <c r="M181" s="5" t="inlineStr">
        <is>
          <t>SOURCE-039</t>
        </is>
      </c>
    </row>
    <row r="182" ht="34" customHeight="1">
      <c r="A182" s="15" t="inlineStr">
        <is>
          <t>CAST-181</t>
        </is>
      </c>
      <c r="B182" s="20" t="inlineStr">
        <is>
          <t>FILM-036</t>
        </is>
      </c>
      <c r="C182" s="5" t="inlineStr">
        <is>
          <t>Har Dil Jo Pyar Karega</t>
        </is>
      </c>
      <c r="D182" s="17" t="n">
        <v>2000</v>
      </c>
      <c r="E182" s="5" t="inlineStr">
        <is>
          <t>Sana Saeed</t>
        </is>
      </c>
      <c r="F182" s="5" t="inlineStr">
        <is>
          <t>Anjali Khanna</t>
        </is>
      </c>
      <c r="G182" s="5" t="inlineStr">
        <is>
          <t>Family</t>
        </is>
      </c>
      <c r="H182" s="5" t="inlineStr">
        <is>
          <t>Minor</t>
        </is>
      </c>
      <c r="I182" s="5" t="inlineStr">
        <is>
          <t>Rahul's daughter</t>
        </is>
      </c>
      <c r="J182" s="5" t="inlineStr">
        <is>
          <t>Not applicable</t>
        </is>
      </c>
      <c r="K182" s="19" t="inlineStr">
        <is>
          <t>Special appearance reprising the name of her Kuch Kuch Hota Hai character.</t>
        </is>
      </c>
      <c r="L182" s="5" t="n"/>
      <c r="M182" s="5" t="inlineStr">
        <is>
          <t>SOURCE-039</t>
        </is>
      </c>
    </row>
    <row r="183" ht="34" customHeight="1">
      <c r="A183" s="15" t="inlineStr">
        <is>
          <t>CAST-182</t>
        </is>
      </c>
      <c r="B183" s="20" t="inlineStr">
        <is>
          <t>FILM-037</t>
        </is>
      </c>
      <c r="C183" s="5" t="inlineStr">
        <is>
          <t>Mohabbatein</t>
        </is>
      </c>
      <c r="D183" s="17" t="n">
        <v>2000</v>
      </c>
      <c r="E183" s="5" t="inlineStr">
        <is>
          <t>Amitabh Bachchan</t>
        </is>
      </c>
      <c r="F183" s="5" t="inlineStr">
        <is>
          <t>Narayan Shankar</t>
        </is>
      </c>
      <c r="G183" s="5" t="inlineStr">
        <is>
          <t>Antagonist</t>
        </is>
      </c>
      <c r="H183" s="5" t="inlineStr">
        <is>
          <t>Major</t>
        </is>
      </c>
      <c r="I183" s="5" t="inlineStr">
        <is>
          <t>Raj's former principal and ideological adversary</t>
        </is>
      </c>
      <c r="J183" s="5" t="inlineStr">
        <is>
          <t>Megha's father, whose ban on love led to her suicide</t>
        </is>
      </c>
      <c r="K183" s="19" t="inlineStr">
        <is>
          <t>Principal of Gurukul for 25 years who forbids romance, then apologises to the students and hands the school to Raj.</t>
        </is>
      </c>
      <c r="L183" s="5" t="inlineStr">
        <is>
          <t>Filmfare Best Supporting Actor</t>
        </is>
      </c>
      <c r="M183" s="5" t="inlineStr">
        <is>
          <t>SOURCE-040</t>
        </is>
      </c>
    </row>
    <row r="184" ht="34" customHeight="1">
      <c r="A184" s="15" t="inlineStr">
        <is>
          <t>CAST-183</t>
        </is>
      </c>
      <c r="B184" s="20" t="inlineStr">
        <is>
          <t>FILM-037</t>
        </is>
      </c>
      <c r="C184" s="5" t="inlineStr">
        <is>
          <t>Mohabbatein</t>
        </is>
      </c>
      <c r="D184" s="17" t="n">
        <v>2000</v>
      </c>
      <c r="E184" s="5" t="inlineStr">
        <is>
          <t>Uday Chopra</t>
        </is>
      </c>
      <c r="F184" s="5" t="inlineStr">
        <is>
          <t>Vikram "Vicky" Oberoi</t>
        </is>
      </c>
      <c r="G184" s="5" t="inlineStr">
        <is>
          <t>Supporting</t>
        </is>
      </c>
      <c r="H184" s="5" t="inlineStr">
        <is>
          <t>Medium</t>
        </is>
      </c>
      <c r="I184" s="5" t="inlineStr">
        <is>
          <t>One of Raj's three students in love</t>
        </is>
      </c>
      <c r="J184" s="5" t="inlineStr">
        <is>
          <t>Not applicable</t>
        </is>
      </c>
      <c r="K184" s="19" t="inlineStr">
        <is>
          <t>Blackmails Ishika into a date, lies about his class, and wins her after confessing.</t>
        </is>
      </c>
      <c r="L184" s="5" t="n"/>
      <c r="M184" s="5" t="inlineStr">
        <is>
          <t>SOURCE-040</t>
        </is>
      </c>
    </row>
    <row r="185" ht="34" customHeight="1">
      <c r="A185" s="15" t="inlineStr">
        <is>
          <t>CAST-184</t>
        </is>
      </c>
      <c r="B185" s="20" t="inlineStr">
        <is>
          <t>FILM-037</t>
        </is>
      </c>
      <c r="C185" s="5" t="inlineStr">
        <is>
          <t>Mohabbatein</t>
        </is>
      </c>
      <c r="D185" s="17" t="n">
        <v>2000</v>
      </c>
      <c r="E185" s="5" t="inlineStr">
        <is>
          <t>Jugal Hansraj</t>
        </is>
      </c>
      <c r="F185" s="5" t="inlineStr">
        <is>
          <t>Sameer Sharma</t>
        </is>
      </c>
      <c r="G185" s="5" t="inlineStr">
        <is>
          <t>Supporting</t>
        </is>
      </c>
      <c r="H185" s="5" t="inlineStr">
        <is>
          <t>Medium</t>
        </is>
      </c>
      <c r="I185" s="5" t="inlineStr">
        <is>
          <t>One of Raj's three students in love</t>
        </is>
      </c>
      <c r="J185" s="5" t="inlineStr">
        <is>
          <t>Not applicable</t>
        </is>
      </c>
      <c r="K185" s="19" t="inlineStr">
        <is>
          <t>Works as a waiter, with Raj's help, to be near his childhood sweetheart Sanjana.</t>
        </is>
      </c>
      <c r="L185" s="5" t="n"/>
      <c r="M185" s="5" t="inlineStr">
        <is>
          <t>SOURCE-040</t>
        </is>
      </c>
    </row>
    <row r="186" ht="34" customHeight="1">
      <c r="A186" s="15" t="inlineStr">
        <is>
          <t>CAST-185</t>
        </is>
      </c>
      <c r="B186" s="20" t="inlineStr">
        <is>
          <t>FILM-037</t>
        </is>
      </c>
      <c r="C186" s="5" t="inlineStr">
        <is>
          <t>Mohabbatein</t>
        </is>
      </c>
      <c r="D186" s="17" t="n">
        <v>2000</v>
      </c>
      <c r="E186" s="5" t="inlineStr">
        <is>
          <t>Jimmy Sheirgill</t>
        </is>
      </c>
      <c r="F186" s="5" t="inlineStr">
        <is>
          <t>Karan Choudhary</t>
        </is>
      </c>
      <c r="G186" s="5" t="inlineStr">
        <is>
          <t>Supporting</t>
        </is>
      </c>
      <c r="H186" s="5" t="inlineStr">
        <is>
          <t>Medium</t>
        </is>
      </c>
      <c r="I186" s="5" t="inlineStr">
        <is>
          <t>One of Raj's three students in love</t>
        </is>
      </c>
      <c r="J186" s="5" t="inlineStr">
        <is>
          <t>Not applicable</t>
        </is>
      </c>
      <c r="K186" s="19" t="inlineStr">
        <is>
          <t>Becomes piano teacher to a widow's nephew, with Raj's help, and wins the widow Kiran's love.</t>
        </is>
      </c>
      <c r="L186" s="5" t="n"/>
      <c r="M186" s="5" t="inlineStr">
        <is>
          <t>SOURCE-040</t>
        </is>
      </c>
    </row>
    <row r="187" ht="64" customHeight="1">
      <c r="A187" s="15" t="inlineStr">
        <is>
          <t>CAST-186</t>
        </is>
      </c>
      <c r="B187" s="20" t="inlineStr">
        <is>
          <t>FILM-037</t>
        </is>
      </c>
      <c r="C187" s="5" t="inlineStr">
        <is>
          <t>Mohabbatein</t>
        </is>
      </c>
      <c r="D187" s="17" t="n">
        <v>2000</v>
      </c>
      <c r="E187" s="5" t="inlineStr">
        <is>
          <t>Shamita Shetty</t>
        </is>
      </c>
      <c r="F187" s="5" t="inlineStr">
        <is>
          <t>Ishika "Isha" Dhanrajgir</t>
        </is>
      </c>
      <c r="G187" s="5" t="inlineStr">
        <is>
          <t>Supporting</t>
        </is>
      </c>
      <c r="H187" s="5" t="inlineStr">
        <is>
          <t>Medium</t>
        </is>
      </c>
      <c r="I187" s="5" t="inlineStr">
        <is>
          <t>Love interest of Vicky, one of the students Raj encourages to love.</t>
        </is>
      </c>
      <c r="J187" s="5" t="inlineStr">
        <is>
          <t>Not applicable</t>
        </is>
      </c>
      <c r="K187" s="19" t="inlineStr">
        <is>
          <t>A student at the neighbouring girls' school; after being paired with Vicky for a dance competition, she falls in love with him and accepts him when he admits lying about his family's status.</t>
        </is>
      </c>
      <c r="L187" s="5" t="n"/>
      <c r="M187" s="5" t="inlineStr">
        <is>
          <t>SOURCE-040</t>
        </is>
      </c>
    </row>
    <row r="188" ht="49" customHeight="1">
      <c r="A188" s="15" t="inlineStr">
        <is>
          <t>CAST-187</t>
        </is>
      </c>
      <c r="B188" s="20" t="inlineStr">
        <is>
          <t>FILM-037</t>
        </is>
      </c>
      <c r="C188" s="5" t="inlineStr">
        <is>
          <t>Mohabbatein</t>
        </is>
      </c>
      <c r="D188" s="17" t="n">
        <v>2000</v>
      </c>
      <c r="E188" s="5" t="inlineStr">
        <is>
          <t>Kim Sharma</t>
        </is>
      </c>
      <c r="F188" s="5" t="inlineStr">
        <is>
          <t>Sanjana "Sanju" Paul</t>
        </is>
      </c>
      <c r="G188" s="5" t="inlineStr">
        <is>
          <t>Supporting</t>
        </is>
      </c>
      <c r="H188" s="5" t="inlineStr">
        <is>
          <t>Medium</t>
        </is>
      </c>
      <c r="I188" s="5" t="inlineStr">
        <is>
          <t>Love interest of Sameer, one of the students Raj encourages to love.</t>
        </is>
      </c>
      <c r="J188" s="5" t="inlineStr">
        <is>
          <t>Not applicable</t>
        </is>
      </c>
      <c r="K188" s="19" t="inlineStr">
        <is>
          <t>Sameer's childhood sweetheart, initially in a relationship with Deepak; after Deepak mistreats her she realises Sameer is her soulmate.</t>
        </is>
      </c>
      <c r="L188" s="5" t="n"/>
      <c r="M188" s="5" t="inlineStr">
        <is>
          <t>SOURCE-040</t>
        </is>
      </c>
    </row>
    <row r="189" ht="34" customHeight="1">
      <c r="A189" s="15" t="inlineStr">
        <is>
          <t>CAST-188</t>
        </is>
      </c>
      <c r="B189" s="20" t="inlineStr">
        <is>
          <t>FILM-037</t>
        </is>
      </c>
      <c r="C189" s="5" t="inlineStr">
        <is>
          <t>Mohabbatein</t>
        </is>
      </c>
      <c r="D189" s="17" t="n">
        <v>2000</v>
      </c>
      <c r="E189" s="5" t="inlineStr">
        <is>
          <t>Preeti Jhangiani</t>
        </is>
      </c>
      <c r="F189" s="5" t="inlineStr">
        <is>
          <t>Kiran Khanna</t>
        </is>
      </c>
      <c r="G189" s="5" t="inlineStr">
        <is>
          <t>Supporting</t>
        </is>
      </c>
      <c r="H189" s="5" t="inlineStr">
        <is>
          <t>Medium</t>
        </is>
      </c>
      <c r="I189" s="5" t="inlineStr">
        <is>
          <t>Love interest of Karan, one of the students Raj encourages to love.</t>
        </is>
      </c>
      <c r="J189" s="5" t="inlineStr">
        <is>
          <t>Not applicable</t>
        </is>
      </c>
      <c r="K189" s="19" t="inlineStr">
        <is>
          <t>A widow whom Karan falls for; with Raj's help Karan becomes piano teacher to her nephew and slowly wins her love.</t>
        </is>
      </c>
      <c r="L189" s="5" t="n"/>
      <c r="M189" s="5" t="inlineStr">
        <is>
          <t>SOURCE-040</t>
        </is>
      </c>
    </row>
    <row r="190" ht="49" customHeight="1">
      <c r="A190" s="15" t="inlineStr">
        <is>
          <t>CAST-189</t>
        </is>
      </c>
      <c r="B190" s="20" t="inlineStr">
        <is>
          <t>FILM-038</t>
        </is>
      </c>
      <c r="C190" s="5" t="inlineStr">
        <is>
          <t>Gaja Gamini</t>
        </is>
      </c>
      <c r="D190" s="17" t="n">
        <v>2000</v>
      </c>
      <c r="E190" s="5" t="inlineStr">
        <is>
          <t>Madhuri Dixit</t>
        </is>
      </c>
      <c r="F190" s="5" t="inlineStr">
        <is>
          <t>Gaja Gamini / Sangeeta / Shakuntala / Monika / Mona Lisa</t>
        </is>
      </c>
      <c r="G190" s="5" t="inlineStr">
        <is>
          <t>Co-lead</t>
        </is>
      </c>
      <c r="H190" s="5" t="inlineStr">
        <is>
          <t>Major</t>
        </is>
      </c>
      <c r="I190" s="5" t="inlineStr">
        <is>
          <t>Title figure of the film in which Khan appears</t>
        </is>
      </c>
      <c r="J190" s="5" t="inlineStr">
        <is>
          <t>Not applicable</t>
        </is>
      </c>
      <c r="K190" s="19" t="inlineStr">
        <is>
          <t>The eternal feminine muse in several incarnations.</t>
        </is>
      </c>
      <c r="L190" s="5" t="n"/>
      <c r="M190" s="5" t="inlineStr">
        <is>
          <t>SOURCE-041</t>
        </is>
      </c>
    </row>
    <row r="191" ht="49" customHeight="1">
      <c r="A191" s="15" t="inlineStr">
        <is>
          <t>CAST-190</t>
        </is>
      </c>
      <c r="B191" s="20" t="inlineStr">
        <is>
          <t>FILM-038</t>
        </is>
      </c>
      <c r="C191" s="5" t="inlineStr">
        <is>
          <t>Gaja Gamini</t>
        </is>
      </c>
      <c r="D191" s="17" t="n">
        <v>2000</v>
      </c>
      <c r="E191" s="5" t="inlineStr">
        <is>
          <t>Naseeruddin Shah</t>
        </is>
      </c>
      <c r="F191" s="5" t="inlineStr">
        <is>
          <t>Leonardo da Vinci</t>
        </is>
      </c>
      <c r="G191" s="5" t="inlineStr">
        <is>
          <t>Supporting</t>
        </is>
      </c>
      <c r="H191" s="5" t="inlineStr">
        <is>
          <t>Medium</t>
        </is>
      </c>
      <c r="I191" s="5" t="inlineStr">
        <is>
          <t>Obsessed with Gaja Gamini in her Mona Lisa incarnation; Shah Rukh Khan appears as himself in a cameo.</t>
        </is>
      </c>
      <c r="J191" s="5" t="inlineStr">
        <is>
          <t>Not applicable</t>
        </is>
      </c>
      <c r="K191" s="19" t="inlineStr">
        <is>
          <t>The Renaissance painter whose obsession with Gaja Gamini inspires the 'Mona Lisa'.</t>
        </is>
      </c>
      <c r="L191" s="5" t="n"/>
      <c r="M191" s="5" t="inlineStr">
        <is>
          <t>SOURCE-041</t>
        </is>
      </c>
    </row>
    <row r="192" ht="49" customHeight="1">
      <c r="A192" s="15" t="inlineStr">
        <is>
          <t>CAST-191</t>
        </is>
      </c>
      <c r="B192" s="20" t="inlineStr">
        <is>
          <t>FILM-038</t>
        </is>
      </c>
      <c r="C192" s="5" t="inlineStr">
        <is>
          <t>Gaja Gamini</t>
        </is>
      </c>
      <c r="D192" s="17" t="n">
        <v>2000</v>
      </c>
      <c r="E192" s="5" t="inlineStr">
        <is>
          <t>Inder Kumar</t>
        </is>
      </c>
      <c r="F192" s="5" t="inlineStr">
        <is>
          <t>Kamdev</t>
        </is>
      </c>
      <c r="G192" s="5" t="inlineStr">
        <is>
          <t>Supporting</t>
        </is>
      </c>
      <c r="H192" s="5" t="inlineStr">
        <is>
          <t>Medium</t>
        </is>
      </c>
      <c r="I192" s="5" t="inlineStr">
        <is>
          <t>Pursues the film's central figure, Gaja Gamini; Shah Rukh Khan appears as himself in a cameo.</t>
        </is>
      </c>
      <c r="J192" s="5" t="inlineStr">
        <is>
          <t>Not applicable</t>
        </is>
      </c>
      <c r="K192" s="19" t="inlineStr">
        <is>
          <t>The God of Love, who walks the earth throughout history trying to win Gaja Gamini's love.</t>
        </is>
      </c>
      <c r="L192" s="5" t="n"/>
      <c r="M192" s="5" t="inlineStr">
        <is>
          <t>SOURCE-041</t>
        </is>
      </c>
    </row>
    <row r="193" ht="34" customHeight="1">
      <c r="A193" s="15" t="inlineStr">
        <is>
          <t>CAST-192</t>
        </is>
      </c>
      <c r="B193" s="20" t="inlineStr">
        <is>
          <t>FILM-039</t>
        </is>
      </c>
      <c r="C193" s="5" t="inlineStr">
        <is>
          <t>One 2 Ka 4</t>
        </is>
      </c>
      <c r="D193" s="17" t="n">
        <v>2001</v>
      </c>
      <c r="E193" s="5" t="inlineStr">
        <is>
          <t>Jackie Shroff</t>
        </is>
      </c>
      <c r="F193" s="5" t="inlineStr">
        <is>
          <t>SSP Javed Abbas</t>
        </is>
      </c>
      <c r="G193" s="5" t="inlineStr">
        <is>
          <t>Co-lead</t>
        </is>
      </c>
      <c r="H193" s="5" t="inlineStr">
        <is>
          <t>Major</t>
        </is>
      </c>
      <c r="I193" s="5" t="inlineStr">
        <is>
          <t>Arun's partner and close friend</t>
        </is>
      </c>
      <c r="J193" s="5" t="inlineStr">
        <is>
          <t>Not applicable</t>
        </is>
      </c>
      <c r="K193" s="19" t="inlineStr">
        <is>
          <t>Widowed father of four who entrusts his children to Arun and is killed during a drug raid.</t>
        </is>
      </c>
      <c r="L193" s="5" t="n"/>
      <c r="M193" s="5" t="inlineStr">
        <is>
          <t>SOURCE-042</t>
        </is>
      </c>
    </row>
    <row r="194" ht="34" customHeight="1">
      <c r="A194" s="15" t="inlineStr">
        <is>
          <t>CAST-193</t>
        </is>
      </c>
      <c r="B194" s="20" t="inlineStr">
        <is>
          <t>FILM-039</t>
        </is>
      </c>
      <c r="C194" s="5" t="inlineStr">
        <is>
          <t>One 2 Ka 4</t>
        </is>
      </c>
      <c r="D194" s="17" t="n">
        <v>2001</v>
      </c>
      <c r="E194" s="5" t="inlineStr">
        <is>
          <t>Nirmal Pandey</t>
        </is>
      </c>
      <c r="F194" s="5" t="inlineStr">
        <is>
          <t>Krishan Kant Virmani (KKV)</t>
        </is>
      </c>
      <c r="G194" s="5" t="inlineStr">
        <is>
          <t>Antagonist</t>
        </is>
      </c>
      <c r="H194" s="5" t="inlineStr">
        <is>
          <t>Major</t>
        </is>
      </c>
      <c r="I194" s="5" t="inlineStr">
        <is>
          <t>Drug lord Arun hunts</t>
        </is>
      </c>
      <c r="J194" s="5" t="inlineStr">
        <is>
          <t>Geeta works undercover at his nightclub</t>
        </is>
      </c>
      <c r="K194" s="19" t="inlineStr">
        <is>
          <t>Drug lord protected by corrupt officials; he kills the CBI chief and is shot by Sawant.</t>
        </is>
      </c>
      <c r="L194" s="5" t="n"/>
      <c r="M194" s="5" t="inlineStr">
        <is>
          <t>SOURCE-042</t>
        </is>
      </c>
    </row>
    <row r="195" ht="34" customHeight="1">
      <c r="A195" s="15" t="inlineStr">
        <is>
          <t>CAST-194</t>
        </is>
      </c>
      <c r="B195" s="20" t="inlineStr">
        <is>
          <t>FILM-039</t>
        </is>
      </c>
      <c r="C195" s="5" t="inlineStr">
        <is>
          <t>One 2 Ka 4</t>
        </is>
      </c>
      <c r="D195" s="17" t="n">
        <v>2001</v>
      </c>
      <c r="E195" s="5" t="inlineStr">
        <is>
          <t>Raj Zutshi</t>
        </is>
      </c>
      <c r="F195" s="5" t="inlineStr">
        <is>
          <t>Inspector Sawant</t>
        </is>
      </c>
      <c r="G195" s="5" t="inlineStr">
        <is>
          <t>Antagonist</t>
        </is>
      </c>
      <c r="H195" s="5" t="inlineStr">
        <is>
          <t>Medium</t>
        </is>
      </c>
      <c r="I195" s="5" t="inlineStr">
        <is>
          <t>Colleague revealed as Javed's killer</t>
        </is>
      </c>
      <c r="J195" s="5" t="inlineStr">
        <is>
          <t>Not applicable</t>
        </is>
      </c>
      <c r="K195" s="19" t="inlineStr">
        <is>
          <t>Shoots KKV at the airport, then admits he murdered Javed out of resentment.</t>
        </is>
      </c>
      <c r="L195" s="5" t="n"/>
      <c r="M195" s="5" t="inlineStr">
        <is>
          <t>SOURCE-042</t>
        </is>
      </c>
    </row>
    <row r="196" ht="64" customHeight="1">
      <c r="A196" s="15" t="inlineStr">
        <is>
          <t>CAST-195</t>
        </is>
      </c>
      <c r="B196" s="20" t="inlineStr">
        <is>
          <t>FILM-039</t>
        </is>
      </c>
      <c r="C196" s="5" t="inlineStr">
        <is>
          <t>One 2 Ka 4</t>
        </is>
      </c>
      <c r="D196" s="17" t="n">
        <v>2001</v>
      </c>
      <c r="E196" s="5" t="inlineStr">
        <is>
          <t>Keith Stevenson</t>
        </is>
      </c>
      <c r="F196" s="5" t="inlineStr">
        <is>
          <t>CBI chief</t>
        </is>
      </c>
      <c r="G196" s="5" t="inlineStr">
        <is>
          <t>Antagonist</t>
        </is>
      </c>
      <c r="H196" s="5" t="inlineStr">
        <is>
          <t>Medium</t>
        </is>
      </c>
      <c r="I196" s="5" t="inlineStr">
        <is>
          <t>The hidden head of the police conspiracy Arun uncovers.</t>
        </is>
      </c>
      <c r="J196" s="5" t="inlineStr">
        <is>
          <t>Not applicable</t>
        </is>
      </c>
      <c r="K196" s="19" t="inlineStr">
        <is>
          <t>Arun's investigation into Javed's death traces the conspiracy to the CBI Chief, who has been secretly collaborating with KKV; KKV kills him at the airport as he tries to flee the country.</t>
        </is>
      </c>
      <c r="L196" s="5" t="n"/>
      <c r="M196" s="5" t="inlineStr">
        <is>
          <t>SOURCE-042</t>
        </is>
      </c>
    </row>
    <row r="197" ht="34" customHeight="1">
      <c r="A197" s="15" t="inlineStr">
        <is>
          <t>CAST-196</t>
        </is>
      </c>
      <c r="B197" s="20" t="inlineStr">
        <is>
          <t>FILM-039</t>
        </is>
      </c>
      <c r="C197" s="5" t="inlineStr">
        <is>
          <t>One 2 Ka 4</t>
        </is>
      </c>
      <c r="D197" s="17" t="n">
        <v>2001</v>
      </c>
      <c r="E197" s="5" t="inlineStr">
        <is>
          <t>Madhur Mittal</t>
        </is>
      </c>
      <c r="F197" s="5" t="inlineStr">
        <is>
          <t>Michael Abbas</t>
        </is>
      </c>
      <c r="G197" s="5" t="inlineStr">
        <is>
          <t>Family</t>
        </is>
      </c>
      <c r="H197" s="5" t="inlineStr">
        <is>
          <t>Minor</t>
        </is>
      </c>
      <c r="I197" s="5" t="inlineStr">
        <is>
          <t>One of Javed's four children, whom Arun takes responsibility for.</t>
        </is>
      </c>
      <c r="J197" s="5" t="inlineStr">
        <is>
          <t>Not applicable</t>
        </is>
      </c>
      <c r="K197" s="19" t="inlineStr">
        <is>
          <t>Javed's son; after Javed's death Arun reluctantly takes on the care of the children and reunites with them at the end.</t>
        </is>
      </c>
      <c r="L197" s="5" t="n"/>
      <c r="M197" s="5" t="inlineStr">
        <is>
          <t>SOURCE-042</t>
        </is>
      </c>
    </row>
    <row r="198" ht="34" customHeight="1">
      <c r="A198" s="15" t="inlineStr">
        <is>
          <t>CAST-197</t>
        </is>
      </c>
      <c r="B198" s="20" t="inlineStr">
        <is>
          <t>FILM-040</t>
        </is>
      </c>
      <c r="C198" s="5" t="inlineStr">
        <is>
          <t>Aśoka</t>
        </is>
      </c>
      <c r="D198" s="17" t="n">
        <v>2001</v>
      </c>
      <c r="E198" s="5" t="inlineStr">
        <is>
          <t>Danny Denzongpa</t>
        </is>
      </c>
      <c r="F198" s="5" t="inlineStr">
        <is>
          <t>Virat</t>
        </is>
      </c>
      <c r="G198" s="5" t="inlineStr">
        <is>
          <t>Friend</t>
        </is>
      </c>
      <c r="H198" s="5" t="inlineStr">
        <is>
          <t>Major</t>
        </is>
      </c>
      <c r="I198" s="5" t="inlineStr">
        <is>
          <t>Warrior who twice saves Asoka and swears to protect him</t>
        </is>
      </c>
      <c r="J198" s="5" t="inlineStr">
        <is>
          <t>Not applicable</t>
        </is>
      </c>
      <c r="K198" s="19" t="inlineStr">
        <is>
          <t>Stops Asoka's suicide attempt and kills Susima when he attacks Asoka from behind.</t>
        </is>
      </c>
      <c r="L198" s="5" t="n"/>
      <c r="M198" s="5" t="inlineStr">
        <is>
          <t>SOURCE-043</t>
        </is>
      </c>
    </row>
    <row r="199" ht="34" customHeight="1">
      <c r="A199" s="15" t="inlineStr">
        <is>
          <t>CAST-198</t>
        </is>
      </c>
      <c r="B199" s="20" t="inlineStr">
        <is>
          <t>FILM-040</t>
        </is>
      </c>
      <c r="C199" s="5" t="inlineStr">
        <is>
          <t>Aśoka</t>
        </is>
      </c>
      <c r="D199" s="17" t="n">
        <v>2001</v>
      </c>
      <c r="E199" s="5" t="inlineStr">
        <is>
          <t>Ajith Kumar</t>
        </is>
      </c>
      <c r="F199" s="5" t="inlineStr">
        <is>
          <t>Susima</t>
        </is>
      </c>
      <c r="G199" s="5" t="inlineStr">
        <is>
          <t>Antagonist</t>
        </is>
      </c>
      <c r="H199" s="5" t="inlineStr">
        <is>
          <t>Major</t>
        </is>
      </c>
      <c r="I199" s="5" t="inlineStr">
        <is>
          <t>Asoka's elder half-brother and rival for the throne</t>
        </is>
      </c>
      <c r="J199" s="5" t="inlineStr">
        <is>
          <t>Not applicable</t>
        </is>
      </c>
      <c r="K199" s="19" t="inlineStr">
        <is>
          <t>Withholds reinforcements, sends assassins and has Asoka's mother killed. Ajith's Hindi debut, as a special appearance.</t>
        </is>
      </c>
      <c r="L199" s="5" t="n"/>
      <c r="M199" s="5" t="inlineStr">
        <is>
          <t>SOURCE-043</t>
        </is>
      </c>
    </row>
    <row r="200" ht="34" customHeight="1">
      <c r="A200" s="15" t="inlineStr">
        <is>
          <t>CAST-199</t>
        </is>
      </c>
      <c r="B200" s="20" t="inlineStr">
        <is>
          <t>FILM-040</t>
        </is>
      </c>
      <c r="C200" s="5" t="inlineStr">
        <is>
          <t>Aśoka</t>
        </is>
      </c>
      <c r="D200" s="17" t="n">
        <v>2001</v>
      </c>
      <c r="E200" s="5" t="inlineStr">
        <is>
          <t>Rahul Dev</t>
        </is>
      </c>
      <c r="F200" s="5" t="inlineStr">
        <is>
          <t>Bheema</t>
        </is>
      </c>
      <c r="G200" s="5" t="inlineStr">
        <is>
          <t>Supporting</t>
        </is>
      </c>
      <c r="H200" s="5" t="inlineStr">
        <is>
          <t>Medium</t>
        </is>
      </c>
      <c r="I200" s="5" t="inlineStr">
        <is>
          <t>Tries to assassinate Asoka before recognising him as Pawan</t>
        </is>
      </c>
      <c r="J200" s="5" t="inlineStr">
        <is>
          <t>Kaurwaki's protector, who falsely reports her death</t>
        </is>
      </c>
      <c r="K200" s="19" t="inlineStr">
        <is>
          <t>Faithful guardian of Kalinga's royal children; dies muttering Pawan's name to Kaurwaki.</t>
        </is>
      </c>
      <c r="L200" s="5" t="n"/>
      <c r="M200" s="5" t="inlineStr">
        <is>
          <t>SOURCE-043</t>
        </is>
      </c>
    </row>
    <row r="201" ht="34" customHeight="1">
      <c r="A201" s="15" t="inlineStr">
        <is>
          <t>CAST-200</t>
        </is>
      </c>
      <c r="B201" s="20" t="inlineStr">
        <is>
          <t>FILM-040</t>
        </is>
      </c>
      <c r="C201" s="5" t="inlineStr">
        <is>
          <t>Aśoka</t>
        </is>
      </c>
      <c r="D201" s="17" t="n">
        <v>2001</v>
      </c>
      <c r="E201" s="5" t="inlineStr">
        <is>
          <t>Subhashini Ali</t>
        </is>
      </c>
      <c r="F201" s="5" t="inlineStr">
        <is>
          <t>Empress Dharma</t>
        </is>
      </c>
      <c r="G201" s="5" t="inlineStr">
        <is>
          <t>Family</t>
        </is>
      </c>
      <c r="H201" s="5" t="inlineStr">
        <is>
          <t>Medium</t>
        </is>
      </c>
      <c r="I201" s="5" t="inlineStr">
        <is>
          <t>Asoka's mother</t>
        </is>
      </c>
      <c r="J201" s="5" t="inlineStr">
        <is>
          <t>Her exile of Asoka leads him to Kaurwaki</t>
        </is>
      </c>
      <c r="K201" s="19" t="inlineStr">
        <is>
          <t>Sends Asoka away to end the princes' feud; stabbed to death by Susima's assassins.</t>
        </is>
      </c>
      <c r="L201" s="5" t="n"/>
      <c r="M201" s="5" t="inlineStr">
        <is>
          <t>SOURCE-043</t>
        </is>
      </c>
    </row>
    <row r="202" ht="49" customHeight="1">
      <c r="A202" s="15" t="inlineStr">
        <is>
          <t>CAST-201</t>
        </is>
      </c>
      <c r="B202" s="20" t="inlineStr">
        <is>
          <t>FILM-040</t>
        </is>
      </c>
      <c r="C202" s="5" t="inlineStr">
        <is>
          <t>Aśoka</t>
        </is>
      </c>
      <c r="D202" s="17" t="n">
        <v>2001</v>
      </c>
      <c r="E202" s="5" t="inlineStr">
        <is>
          <t>Sooraj Balaji</t>
        </is>
      </c>
      <c r="F202" s="5" t="inlineStr">
        <is>
          <t>Arya</t>
        </is>
      </c>
      <c r="G202" s="5" t="inlineStr">
        <is>
          <t>Supporting</t>
        </is>
      </c>
      <c r="H202" s="5" t="inlineStr">
        <is>
          <t>Medium</t>
        </is>
      </c>
      <c r="I202" s="5" t="inlineStr">
        <is>
          <t>Kaurwaki's little brother, with whom Asoka develops a close bond.</t>
        </is>
      </c>
      <c r="J202" s="5" t="inlineStr">
        <is>
          <t>Brother of Asoka's beloved Kaurwaki.</t>
        </is>
      </c>
      <c r="K202" s="19" t="inlineStr">
        <is>
          <t>The prince of Kalinga who flees with Kaurwaki and Bheema; he dies in Asoka's arms after the Kalinga war, prompting Asoka's realisation of what his conquest has cost.</t>
        </is>
      </c>
      <c r="L202" s="5" t="n"/>
      <c r="M202" s="5" t="inlineStr">
        <is>
          <t>SOURCE-043</t>
        </is>
      </c>
    </row>
    <row r="203" ht="49" customHeight="1">
      <c r="A203" s="15" t="inlineStr">
        <is>
          <t>CAST-202</t>
        </is>
      </c>
      <c r="B203" s="20" t="inlineStr">
        <is>
          <t>FILM-040</t>
        </is>
      </c>
      <c r="C203" s="5" t="inlineStr">
        <is>
          <t>Aśoka</t>
        </is>
      </c>
      <c r="D203" s="17" t="n">
        <v>2001</v>
      </c>
      <c r="E203" s="5" t="inlineStr">
        <is>
          <t>Gerson Da Cunha</t>
        </is>
      </c>
      <c r="F203" s="5" t="inlineStr">
        <is>
          <t>Bindusara</t>
        </is>
      </c>
      <c r="G203" s="5" t="inlineStr">
        <is>
          <t>Family</t>
        </is>
      </c>
      <c r="H203" s="5" t="inlineStr">
        <is>
          <t>Medium</t>
        </is>
      </c>
      <c r="I203" s="5" t="inlineStr">
        <is>
          <t>Asoka's father, the Maurya emperor.</t>
        </is>
      </c>
      <c r="J203" s="5" t="inlineStr">
        <is>
          <t>Not applicable</t>
        </is>
      </c>
      <c r="K203" s="19" t="inlineStr">
        <is>
          <t>Succeeds Chandragupta, favours Susima over Asoka, and is unhappy with the princes' rivalry; his illness and death precede the final struggle for the throne.</t>
        </is>
      </c>
      <c r="L203" s="5" t="n"/>
      <c r="M203" s="5" t="inlineStr">
        <is>
          <t>SOURCE-043</t>
        </is>
      </c>
    </row>
    <row r="204" ht="49" customHeight="1">
      <c r="A204" s="15" t="inlineStr">
        <is>
          <t>CAST-203</t>
        </is>
      </c>
      <c r="B204" s="20" t="inlineStr">
        <is>
          <t>FILM-040</t>
        </is>
      </c>
      <c r="C204" s="5" t="inlineStr">
        <is>
          <t>Aśoka</t>
        </is>
      </c>
      <c r="D204" s="17" t="n">
        <v>2001</v>
      </c>
      <c r="E204" s="5" t="inlineStr">
        <is>
          <t>Umesh Mehra</t>
        </is>
      </c>
      <c r="F204" s="5" t="inlineStr">
        <is>
          <t>Chandragupta Maurya</t>
        </is>
      </c>
      <c r="G204" s="5" t="inlineStr">
        <is>
          <t>Family</t>
        </is>
      </c>
      <c r="H204" s="5" t="inlineStr">
        <is>
          <t>Minor</t>
        </is>
      </c>
      <c r="I204" s="5" t="inlineStr">
        <is>
          <t>Asoka's grandfather.</t>
        </is>
      </c>
      <c r="J204" s="5" t="inlineStr">
        <is>
          <t>Not applicable</t>
        </is>
      </c>
      <c r="K204" s="19" t="inlineStr">
        <is>
          <t>Abdicates to embrace Jainism and warns the young Asoka that his sword is evil; Asoka finally throws the sword into the water at the same spot.</t>
        </is>
      </c>
      <c r="L204" s="5" t="n"/>
      <c r="M204" s="5" t="inlineStr">
        <is>
          <t>SOURCE-043</t>
        </is>
      </c>
    </row>
    <row r="205" ht="34" customHeight="1">
      <c r="A205" s="15" t="inlineStr">
        <is>
          <t>CAST-204</t>
        </is>
      </c>
      <c r="B205" s="20" t="inlineStr">
        <is>
          <t>FILM-041</t>
        </is>
      </c>
      <c r="C205" s="5" t="inlineStr">
        <is>
          <t>Kabhi Khushi Kabhie Gham</t>
        </is>
      </c>
      <c r="D205" s="17" t="n">
        <v>2001</v>
      </c>
      <c r="E205" s="5" t="inlineStr">
        <is>
          <t>Amitabh Bachchan</t>
        </is>
      </c>
      <c r="F205" s="5" t="inlineStr">
        <is>
          <t>Yashvardhan "Yash" Raichand</t>
        </is>
      </c>
      <c r="G205" s="5" t="inlineStr">
        <is>
          <t>Family</t>
        </is>
      </c>
      <c r="H205" s="5" t="inlineStr">
        <is>
          <t>Major</t>
        </is>
      </c>
      <c r="I205" s="5" t="inlineStr">
        <is>
          <t>Rahul's adoptive father</t>
        </is>
      </c>
      <c r="J205" s="5" t="inlineStr">
        <is>
          <t>Disowns Rahul for marrying Anjali</t>
        </is>
      </c>
      <c r="K205" s="19" t="inlineStr">
        <is>
          <t>Delhi tycoon whose pride keeps his family apart for a decade until he publicly admits he always loved Rahul.</t>
        </is>
      </c>
      <c r="L205" s="5" t="n"/>
      <c r="M205" s="5" t="inlineStr">
        <is>
          <t>SOURCE-044</t>
        </is>
      </c>
    </row>
    <row r="206" ht="34" customHeight="1">
      <c r="A206" s="15" t="inlineStr">
        <is>
          <t>CAST-205</t>
        </is>
      </c>
      <c r="B206" s="20" t="inlineStr">
        <is>
          <t>FILM-041</t>
        </is>
      </c>
      <c r="C206" s="5" t="inlineStr">
        <is>
          <t>Kabhi Khushi Kabhie Gham</t>
        </is>
      </c>
      <c r="D206" s="17" t="n">
        <v>2001</v>
      </c>
      <c r="E206" s="5" t="inlineStr">
        <is>
          <t>Jaya Bachchan</t>
        </is>
      </c>
      <c r="F206" s="5" t="inlineStr">
        <is>
          <t>Nandini Raichand</t>
        </is>
      </c>
      <c r="G206" s="5" t="inlineStr">
        <is>
          <t>Family</t>
        </is>
      </c>
      <c r="H206" s="5" t="inlineStr">
        <is>
          <t>Major</t>
        </is>
      </c>
      <c r="I206" s="5" t="inlineStr">
        <is>
          <t>Rahul's adoptive mother</t>
        </is>
      </c>
      <c r="J206" s="5" t="inlineStr">
        <is>
          <t>Sends the nanny with the exiled couple</t>
        </is>
      </c>
      <c r="K206" s="19" t="inlineStr">
        <is>
          <t>Heartbroken mother whose longing for Rahul motivates the reunion.</t>
        </is>
      </c>
      <c r="L206" s="5" t="n"/>
      <c r="M206" s="5" t="inlineStr">
        <is>
          <t>SOURCE-044</t>
        </is>
      </c>
    </row>
    <row r="207" ht="34" customHeight="1">
      <c r="A207" s="15" t="inlineStr">
        <is>
          <t>CAST-206</t>
        </is>
      </c>
      <c r="B207" s="20" t="inlineStr">
        <is>
          <t>FILM-041</t>
        </is>
      </c>
      <c r="C207" s="5" t="inlineStr">
        <is>
          <t>Kabhi Khushi Kabhie Gham</t>
        </is>
      </c>
      <c r="D207" s="17" t="n">
        <v>2001</v>
      </c>
      <c r="E207" s="5" t="inlineStr">
        <is>
          <t>Hrithik Roshan</t>
        </is>
      </c>
      <c r="F207" s="5" t="inlineStr">
        <is>
          <t>Rohan Raichand</t>
        </is>
      </c>
      <c r="G207" s="5" t="inlineStr">
        <is>
          <t>Family</t>
        </is>
      </c>
      <c r="H207" s="5" t="inlineStr">
        <is>
          <t>Major</t>
        </is>
      </c>
      <c r="I207" s="5" t="inlineStr">
        <is>
          <t>Rahul's younger brother</t>
        </is>
      </c>
      <c r="J207" s="5" t="inlineStr">
        <is>
          <t>Works to bring Rahul and Anjali home</t>
        </is>
      </c>
      <c r="K207" s="19" t="inlineStr">
        <is>
          <t>Goes to London under a false name, lodges with Rahul, and falls for Anjali's sister Pooja.</t>
        </is>
      </c>
      <c r="L207" s="5" t="n"/>
      <c r="M207" s="5" t="inlineStr">
        <is>
          <t>SOURCE-044</t>
        </is>
      </c>
    </row>
    <row r="208" ht="34" customHeight="1">
      <c r="A208" s="15" t="inlineStr">
        <is>
          <t>CAST-207</t>
        </is>
      </c>
      <c r="B208" s="20" t="inlineStr">
        <is>
          <t>FILM-041</t>
        </is>
      </c>
      <c r="C208" s="5" t="inlineStr">
        <is>
          <t>Kabhi Khushi Kabhie Gham</t>
        </is>
      </c>
      <c r="D208" s="17" t="n">
        <v>2001</v>
      </c>
      <c r="E208" s="5" t="inlineStr">
        <is>
          <t>Kareena Kapoor</t>
        </is>
      </c>
      <c r="F208" s="5" t="inlineStr">
        <is>
          <t>Pooja Sharma</t>
        </is>
      </c>
      <c r="G208" s="5" t="inlineStr">
        <is>
          <t>Family</t>
        </is>
      </c>
      <c r="H208" s="5" t="inlineStr">
        <is>
          <t>Major</t>
        </is>
      </c>
      <c r="I208" s="5" t="inlineStr">
        <is>
          <t>Rahul's sister-in-law</t>
        </is>
      </c>
      <c r="J208" s="5" t="inlineStr">
        <is>
          <t>Anjali's younger sister; plots the reunion with Rohan</t>
        </is>
      </c>
      <c r="K208" s="19" t="inlineStr">
        <is>
          <t>Popular London student and fashion diva who marries Rohan.</t>
        </is>
      </c>
      <c r="L208" s="5" t="n"/>
      <c r="M208" s="5" t="inlineStr">
        <is>
          <t>SOURCE-044</t>
        </is>
      </c>
    </row>
    <row r="209" ht="34" customHeight="1">
      <c r="A209" s="15" t="inlineStr">
        <is>
          <t>CAST-208</t>
        </is>
      </c>
      <c r="B209" s="20" t="inlineStr">
        <is>
          <t>FILM-041</t>
        </is>
      </c>
      <c r="C209" s="5" t="inlineStr">
        <is>
          <t>Kabhi Khushi Kabhie Gham</t>
        </is>
      </c>
      <c r="D209" s="17" t="n">
        <v>2001</v>
      </c>
      <c r="E209" s="5" t="inlineStr">
        <is>
          <t>Rani Mukerji</t>
        </is>
      </c>
      <c r="F209" s="5" t="inlineStr">
        <is>
          <t>Naina Kapoor</t>
        </is>
      </c>
      <c r="G209" s="5" t="inlineStr">
        <is>
          <t>Romantic rival</t>
        </is>
      </c>
      <c r="H209" s="5" t="inlineStr">
        <is>
          <t>Minor</t>
        </is>
      </c>
      <c r="I209" s="5" t="inlineStr">
        <is>
          <t>Family friend Yash wants Rahul to marry</t>
        </is>
      </c>
      <c r="J209" s="5" t="inlineStr">
        <is>
          <t>Quietly loves Rahul but steps aside for Anjali</t>
        </is>
      </c>
      <c r="K209" s="19" t="inlineStr">
        <is>
          <t>Extended guest appearance as Rahul's childhood friend.</t>
        </is>
      </c>
      <c r="L209" s="5" t="n"/>
      <c r="M209" s="5" t="inlineStr">
        <is>
          <t>SOURCE-044</t>
        </is>
      </c>
    </row>
    <row r="210" ht="34" customHeight="1">
      <c r="A210" s="15" t="inlineStr">
        <is>
          <t>CAST-209</t>
        </is>
      </c>
      <c r="B210" s="20" t="inlineStr">
        <is>
          <t>FILM-041</t>
        </is>
      </c>
      <c r="C210" s="5" t="inlineStr">
        <is>
          <t>Kabhi Khushi Kabhie Gham</t>
        </is>
      </c>
      <c r="D210" s="17" t="n">
        <v>2001</v>
      </c>
      <c r="E210" s="5" t="inlineStr">
        <is>
          <t>Farida Jalal</t>
        </is>
      </c>
      <c r="F210" s="5" t="inlineStr">
        <is>
          <t>Sayeeda Begum</t>
        </is>
      </c>
      <c r="G210" s="5" t="inlineStr">
        <is>
          <t>Family</t>
        </is>
      </c>
      <c r="H210" s="5" t="inlineStr">
        <is>
          <t>Medium</t>
        </is>
      </c>
      <c r="I210" s="5" t="inlineStr">
        <is>
          <t>Rahul's childhood nanny.</t>
        </is>
      </c>
      <c r="J210" s="5" t="inlineStr">
        <is>
          <t>Accompanies Rahul and Anjali to London after their marriage.</t>
        </is>
      </c>
      <c r="K210" s="19" t="inlineStr">
        <is>
          <t>The family nanny whom Nandini sends with Rahul, Anjali and Pooja when Yash disowns Rahul.</t>
        </is>
      </c>
      <c r="L210" s="5" t="n"/>
      <c r="M210" s="5" t="inlineStr">
        <is>
          <t>SOURCE-044</t>
        </is>
      </c>
    </row>
    <row r="211" ht="34" customHeight="1">
      <c r="A211" s="15" t="inlineStr">
        <is>
          <t>CAST-210</t>
        </is>
      </c>
      <c r="B211" s="20" t="inlineStr">
        <is>
          <t>FILM-041</t>
        </is>
      </c>
      <c r="C211" s="5" t="inlineStr">
        <is>
          <t>Kabhi Khushi Kabhie Gham</t>
        </is>
      </c>
      <c r="D211" s="17" t="n">
        <v>2001</v>
      </c>
      <c r="E211" s="5" t="inlineStr">
        <is>
          <t>Alok Nath</t>
        </is>
      </c>
      <c r="F211" s="5" t="inlineStr">
        <is>
          <t>Om Sharma</t>
        </is>
      </c>
      <c r="G211" s="5" t="inlineStr">
        <is>
          <t>Family</t>
        </is>
      </c>
      <c r="H211" s="5" t="inlineStr">
        <is>
          <t>Minor</t>
        </is>
      </c>
      <c r="I211" s="5" t="inlineStr">
        <is>
          <t>Father of Rahul's wife Anjali.</t>
        </is>
      </c>
      <c r="J211" s="5" t="inlineStr">
        <is>
          <t>His sudden death leads Rahul to marry Anjali.</t>
        </is>
      </c>
      <c r="K211" s="19" t="inlineStr">
        <is>
          <t>Anjali and Pooja's father; Rahul marries Anjali after his sudden death, defying Yash.</t>
        </is>
      </c>
      <c r="L211" s="5" t="n"/>
      <c r="M211" s="5" t="inlineStr">
        <is>
          <t>SOURCE-044</t>
        </is>
      </c>
    </row>
    <row r="212" ht="34" customHeight="1">
      <c r="A212" s="15" t="inlineStr">
        <is>
          <t>CAST-211</t>
        </is>
      </c>
      <c r="B212" s="20" t="inlineStr">
        <is>
          <t>FILM-042</t>
        </is>
      </c>
      <c r="C212" s="5" t="inlineStr">
        <is>
          <t>Hum Tumhare Hain Sanam</t>
        </is>
      </c>
      <c r="D212" s="17" t="n">
        <v>2002</v>
      </c>
      <c r="E212" s="5" t="inlineStr">
        <is>
          <t>Salman Khan</t>
        </is>
      </c>
      <c r="F212" s="5" t="inlineStr">
        <is>
          <t>Suraj Chauhan</t>
        </is>
      </c>
      <c r="G212" s="5" t="inlineStr">
        <is>
          <t>Co-lead</t>
        </is>
      </c>
      <c r="H212" s="5" t="inlineStr">
        <is>
          <t>Major</t>
        </is>
      </c>
      <c r="I212" s="5" t="inlineStr">
        <is>
          <t>Man Gopal wrongly suspects</t>
        </is>
      </c>
      <c r="J212" s="5" t="inlineStr">
        <is>
          <t>Radha's adoptive brother, mistaken by Gopal for her lover</t>
        </is>
      </c>
      <c r="K212" s="19" t="inlineStr">
        <is>
          <t>Orphan adopted by Radha's mother who becomes a famous singer and credits Radha for his success.</t>
        </is>
      </c>
      <c r="L212" s="5" t="n"/>
      <c r="M212" s="5" t="inlineStr">
        <is>
          <t>SOURCE-045</t>
        </is>
      </c>
    </row>
    <row r="213" ht="34" customHeight="1">
      <c r="A213" s="15" t="inlineStr">
        <is>
          <t>CAST-212</t>
        </is>
      </c>
      <c r="B213" s="20" t="inlineStr">
        <is>
          <t>FILM-042</t>
        </is>
      </c>
      <c r="C213" s="5" t="inlineStr">
        <is>
          <t>Hum Tumhare Hain Sanam</t>
        </is>
      </c>
      <c r="D213" s="17" t="n">
        <v>2002</v>
      </c>
      <c r="E213" s="5" t="inlineStr">
        <is>
          <t>Alok Nath</t>
        </is>
      </c>
      <c r="F213" s="5" t="inlineStr">
        <is>
          <t>Dev Narayan</t>
        </is>
      </c>
      <c r="G213" s="5" t="inlineStr">
        <is>
          <t>Family</t>
        </is>
      </c>
      <c r="H213" s="5" t="inlineStr">
        <is>
          <t>Medium</t>
        </is>
      </c>
      <c r="I213" s="5" t="inlineStr">
        <is>
          <t>Raised the orphaned Gopal</t>
        </is>
      </c>
      <c r="J213" s="5" t="inlineStr">
        <is>
          <t>Radha's grandfather, who arranges the marriage</t>
        </is>
      </c>
      <c r="K213" s="19" t="inlineStr">
        <is>
          <t>Patriarch whose refusal to pay for his son-in-law's surgery once split the family.</t>
        </is>
      </c>
      <c r="L213" s="5" t="n"/>
      <c r="M213" s="5" t="inlineStr">
        <is>
          <t>SOURCE-045</t>
        </is>
      </c>
    </row>
    <row r="214" ht="34" customHeight="1">
      <c r="A214" s="15" t="inlineStr">
        <is>
          <t>CAST-213</t>
        </is>
      </c>
      <c r="B214" s="20" t="inlineStr">
        <is>
          <t>FILM-042</t>
        </is>
      </c>
      <c r="C214" s="5" t="inlineStr">
        <is>
          <t>Hum Tumhare Hain Sanam</t>
        </is>
      </c>
      <c r="D214" s="17" t="n">
        <v>2002</v>
      </c>
      <c r="E214" s="5" t="inlineStr">
        <is>
          <t>Aishwarya Rai</t>
        </is>
      </c>
      <c r="F214" s="5" t="inlineStr">
        <is>
          <t>Suman</t>
        </is>
      </c>
      <c r="G214" s="5" t="inlineStr">
        <is>
          <t>Cameo</t>
        </is>
      </c>
      <c r="H214" s="5" t="inlineStr">
        <is>
          <t>Minor</t>
        </is>
      </c>
      <c r="I214" s="5" t="inlineStr">
        <is>
          <t>Not directly connected</t>
        </is>
      </c>
      <c r="J214" s="5" t="inlineStr">
        <is>
          <t>Suraj's girlfriend, whose existence helps dispel Gopal's suspicion</t>
        </is>
      </c>
      <c r="K214" s="19" t="inlineStr">
        <is>
          <t>Special appearance.</t>
        </is>
      </c>
      <c r="L214" s="5" t="n"/>
      <c r="M214" s="5" t="inlineStr">
        <is>
          <t>SOURCE-045</t>
        </is>
      </c>
    </row>
    <row r="215" ht="49" customHeight="1">
      <c r="A215" s="15" t="inlineStr">
        <is>
          <t>CAST-214</t>
        </is>
      </c>
      <c r="B215" s="20" t="inlineStr">
        <is>
          <t>FILM-042</t>
        </is>
      </c>
      <c r="C215" s="5" t="inlineStr">
        <is>
          <t>Hum Tumhare Hain Sanam</t>
        </is>
      </c>
      <c r="D215" s="17" t="n">
        <v>2002</v>
      </c>
      <c r="E215" s="5" t="inlineStr">
        <is>
          <t>Atul Agnihotri</t>
        </is>
      </c>
      <c r="F215" s="5" t="inlineStr">
        <is>
          <t>Prashant Chauhan</t>
        </is>
      </c>
      <c r="G215" s="5" t="inlineStr">
        <is>
          <t>Family</t>
        </is>
      </c>
      <c r="H215" s="5" t="inlineStr">
        <is>
          <t>Medium</t>
        </is>
      </c>
      <c r="I215" s="5" t="inlineStr">
        <is>
          <t>Gopal's brother-in-law.</t>
        </is>
      </c>
      <c r="J215" s="5" t="inlineStr">
        <is>
          <t>Brother of Gopal's wife Radha.</t>
        </is>
      </c>
      <c r="K215" s="19" t="inlineStr">
        <is>
          <t>Radha's brother, who moves into Dev's house with her; an incident results in Prashant being thrown out as Gopal's suspicions grow.</t>
        </is>
      </c>
      <c r="L215" s="5" t="n"/>
      <c r="M215" s="5" t="inlineStr">
        <is>
          <t>SOURCE-045</t>
        </is>
      </c>
    </row>
    <row r="216" ht="64" customHeight="1">
      <c r="A216" s="15" t="inlineStr">
        <is>
          <t>CAST-215</t>
        </is>
      </c>
      <c r="B216" s="20" t="inlineStr">
        <is>
          <t>FILM-042</t>
        </is>
      </c>
      <c r="C216" s="5" t="inlineStr">
        <is>
          <t>Hum Tumhare Hain Sanam</t>
        </is>
      </c>
      <c r="D216" s="17" t="n">
        <v>2002</v>
      </c>
      <c r="E216" s="5" t="inlineStr">
        <is>
          <t>Aruna Irani</t>
        </is>
      </c>
      <c r="F216" s="5" t="inlineStr">
        <is>
          <t>Laxmi Chauhan</t>
        </is>
      </c>
      <c r="G216" s="5" t="inlineStr">
        <is>
          <t>Family</t>
        </is>
      </c>
      <c r="H216" s="5" t="inlineStr">
        <is>
          <t>Minor</t>
        </is>
      </c>
      <c r="I216" s="5" t="inlineStr">
        <is>
          <t>Gopal's future mother-in-law.</t>
        </is>
      </c>
      <c r="J216" s="5" t="inlineStr">
        <is>
          <t>Mother of Gopal's wife Radha.</t>
        </is>
      </c>
      <c r="K216" s="19" t="inlineStr">
        <is>
          <t>Dev's daughter, who leaves with her children after he refuses to pay for her husband's surgery and adopts the orphan Suraj; her death in an accident brings Radha back to Dev's house.</t>
        </is>
      </c>
      <c r="L216" s="5" t="n"/>
      <c r="M216" s="5" t="inlineStr">
        <is>
          <t>SOURCE-045</t>
        </is>
      </c>
    </row>
    <row r="217" ht="19" customHeight="1">
      <c r="A217" s="15" t="inlineStr">
        <is>
          <t>CAST-216</t>
        </is>
      </c>
      <c r="B217" s="20" t="inlineStr">
        <is>
          <t>FILM-042</t>
        </is>
      </c>
      <c r="C217" s="5" t="inlineStr">
        <is>
          <t>Hum Tumhare Hain Sanam</t>
        </is>
      </c>
      <c r="D217" s="17" t="n">
        <v>2002</v>
      </c>
      <c r="E217" s="5" t="inlineStr">
        <is>
          <t>Suman Ranganathan</t>
        </is>
      </c>
      <c r="F217" s="5" t="inlineStr">
        <is>
          <t>Nita Sharma</t>
        </is>
      </c>
      <c r="G217" s="5" t="inlineStr">
        <is>
          <t>Family</t>
        </is>
      </c>
      <c r="H217" s="5" t="inlineStr">
        <is>
          <t>Minor</t>
        </is>
      </c>
      <c r="I217" s="5" t="inlineStr">
        <is>
          <t>Gopal's sister.</t>
        </is>
      </c>
      <c r="J217" s="5" t="inlineStr">
        <is>
          <t>Not applicable</t>
        </is>
      </c>
      <c r="K217" s="19" t="inlineStr">
        <is>
          <t>One of the two orphans, with Gopal, raised by Dev Narayan.</t>
        </is>
      </c>
      <c r="L217" s="5" t="n"/>
      <c r="M217" s="5" t="inlineStr">
        <is>
          <t>SOURCE-045</t>
        </is>
      </c>
    </row>
    <row r="218" ht="34" customHeight="1">
      <c r="A218" s="15" t="inlineStr">
        <is>
          <t>CAST-217</t>
        </is>
      </c>
      <c r="B218" s="20" t="inlineStr">
        <is>
          <t>FILM-043</t>
        </is>
      </c>
      <c r="C218" s="5" t="inlineStr">
        <is>
          <t>Devdas</t>
        </is>
      </c>
      <c r="D218" s="17" t="n">
        <v>2002</v>
      </c>
      <c r="E218" s="5" t="inlineStr">
        <is>
          <t>Jackie Shroff</t>
        </is>
      </c>
      <c r="F218" s="5" t="inlineStr">
        <is>
          <t>Chunnilal</t>
        </is>
      </c>
      <c r="G218" s="5" t="inlineStr">
        <is>
          <t>Friend</t>
        </is>
      </c>
      <c r="H218" s="5" t="inlineStr">
        <is>
          <t>Major</t>
        </is>
      </c>
      <c r="I218" s="5" t="inlineStr">
        <is>
          <t>Devdas's drinking companion</t>
        </is>
      </c>
      <c r="J218" s="5" t="inlineStr">
        <is>
          <t>Introduces Devdas to Chandramukhi</t>
        </is>
      </c>
      <c r="K218" s="19" t="inlineStr">
        <is>
          <t>Companion who leads the heartbroken Devdas into the world of the kotha.</t>
        </is>
      </c>
      <c r="L218" s="5" t="n"/>
      <c r="M218" s="5" t="inlineStr">
        <is>
          <t>SOURCE-046</t>
        </is>
      </c>
    </row>
    <row r="219" ht="34" customHeight="1">
      <c r="A219" s="15" t="inlineStr">
        <is>
          <t>CAST-218</t>
        </is>
      </c>
      <c r="B219" s="20" t="inlineStr">
        <is>
          <t>FILM-043</t>
        </is>
      </c>
      <c r="C219" s="5" t="inlineStr">
        <is>
          <t>Devdas</t>
        </is>
      </c>
      <c r="D219" s="17" t="n">
        <v>2002</v>
      </c>
      <c r="E219" s="5" t="inlineStr">
        <is>
          <t>Kirron Kher</t>
        </is>
      </c>
      <c r="F219" s="5" t="inlineStr">
        <is>
          <t>Sumitra Chakraborty</t>
        </is>
      </c>
      <c r="G219" s="5" t="inlineStr">
        <is>
          <t>Family</t>
        </is>
      </c>
      <c r="H219" s="5" t="inlineStr">
        <is>
          <t>Medium</t>
        </is>
      </c>
      <c r="I219" s="5" t="inlineStr">
        <is>
          <t>Paro's mother and the Mukherjees' neighbour</t>
        </is>
      </c>
      <c r="J219" s="5" t="inlineStr">
        <is>
          <t>Publicly proposes the match and is humiliated by Devdas's mother</t>
        </is>
      </c>
      <c r="K219" s="19" t="inlineStr">
        <is>
          <t>Rejoices at Devdas's return and seeks an alliance for her daughter.</t>
        </is>
      </c>
      <c r="L219" s="5" t="n"/>
      <c r="M219" s="5" t="inlineStr">
        <is>
          <t>SOURCE-046</t>
        </is>
      </c>
    </row>
    <row r="220" ht="34" customHeight="1">
      <c r="A220" s="15" t="inlineStr">
        <is>
          <t>CAST-219</t>
        </is>
      </c>
      <c r="B220" s="20" t="inlineStr">
        <is>
          <t>FILM-043</t>
        </is>
      </c>
      <c r="C220" s="5" t="inlineStr">
        <is>
          <t>Devdas</t>
        </is>
      </c>
      <c r="D220" s="17" t="n">
        <v>2002</v>
      </c>
      <c r="E220" s="5" t="inlineStr">
        <is>
          <t>Smita Jaykar</t>
        </is>
      </c>
      <c r="F220" s="5" t="inlineStr">
        <is>
          <t>Kaushalya Mukherjee</t>
        </is>
      </c>
      <c r="G220" s="5" t="inlineStr">
        <is>
          <t>Family</t>
        </is>
      </c>
      <c r="H220" s="5" t="inlineStr">
        <is>
          <t>Medium</t>
        </is>
      </c>
      <c r="I220" s="5" t="inlineStr">
        <is>
          <t>Devdas's mother</t>
        </is>
      </c>
      <c r="J220" s="5" t="inlineStr">
        <is>
          <t>Rejects Paro because of her maternal lineage of performers</t>
        </is>
      </c>
      <c r="K220" s="19" t="inlineStr">
        <is>
          <t>Zamindar's wife whose class pride, stoked by Kumud, ends the match.</t>
        </is>
      </c>
      <c r="L220" s="5" t="n"/>
      <c r="M220" s="5" t="inlineStr">
        <is>
          <t>SOURCE-046</t>
        </is>
      </c>
    </row>
    <row r="221" ht="34" customHeight="1">
      <c r="A221" s="15" t="inlineStr">
        <is>
          <t>CAST-220</t>
        </is>
      </c>
      <c r="B221" s="20" t="inlineStr">
        <is>
          <t>FILM-043</t>
        </is>
      </c>
      <c r="C221" s="5" t="inlineStr">
        <is>
          <t>Devdas</t>
        </is>
      </c>
      <c r="D221" s="17" t="n">
        <v>2002</v>
      </c>
      <c r="E221" s="5" t="inlineStr">
        <is>
          <t>Ananya Khare</t>
        </is>
      </c>
      <c r="F221" s="5" t="inlineStr">
        <is>
          <t>Kumud Mukherjee</t>
        </is>
      </c>
      <c r="G221" s="5" t="inlineStr">
        <is>
          <t>Antagonist</t>
        </is>
      </c>
      <c r="H221" s="5" t="inlineStr">
        <is>
          <t>Medium</t>
        </is>
      </c>
      <c r="I221" s="5" t="inlineStr">
        <is>
          <t>Devdas's manipulative sister-in-law</t>
        </is>
      </c>
      <c r="J221" s="5" t="inlineStr">
        <is>
          <t>Stokes the family's opposition to Paro</t>
        </is>
      </c>
      <c r="K221" s="19" t="inlineStr">
        <is>
          <t>Schemes to estrange Devdas from his mother after his father's death.</t>
        </is>
      </c>
      <c r="L221" s="5" t="n"/>
      <c r="M221" s="5" t="inlineStr">
        <is>
          <t>SOURCE-046</t>
        </is>
      </c>
    </row>
    <row r="222" ht="34" customHeight="1">
      <c r="A222" s="15" t="inlineStr">
        <is>
          <t>CAST-221</t>
        </is>
      </c>
      <c r="B222" s="20" t="inlineStr">
        <is>
          <t>FILM-043</t>
        </is>
      </c>
      <c r="C222" s="5" t="inlineStr">
        <is>
          <t>Devdas</t>
        </is>
      </c>
      <c r="D222" s="17" t="n">
        <v>2002</v>
      </c>
      <c r="E222" s="5" t="inlineStr">
        <is>
          <t>Vijayendra Ghatge</t>
        </is>
      </c>
      <c r="F222" s="5" t="inlineStr">
        <is>
          <t>Bhuvan Chaudhry</t>
        </is>
      </c>
      <c r="G222" s="5" t="inlineStr">
        <is>
          <t>Romantic rival</t>
        </is>
      </c>
      <c r="H222" s="5" t="inlineStr">
        <is>
          <t>Medium</t>
        </is>
      </c>
      <c r="I222" s="5" t="inlineStr">
        <is>
          <t>Orders the gates shut on the dying Devdas</t>
        </is>
      </c>
      <c r="J222" s="5" t="inlineStr">
        <is>
          <t>Paro's husband, a wealthy widower devoted to his late wife</t>
        </is>
      </c>
      <c r="K222" s="19" t="inlineStr">
        <is>
          <t>Marries Paro to run his estate and confines her once he learns of her past with Devdas.</t>
        </is>
      </c>
      <c r="L222" s="5" t="n"/>
      <c r="M222" s="5" t="inlineStr">
        <is>
          <t>SOURCE-046</t>
        </is>
      </c>
    </row>
    <row r="223" ht="34" customHeight="1">
      <c r="A223" s="15" t="inlineStr">
        <is>
          <t>CAST-222</t>
        </is>
      </c>
      <c r="B223" s="20" t="inlineStr">
        <is>
          <t>FILM-043</t>
        </is>
      </c>
      <c r="C223" s="5" t="inlineStr">
        <is>
          <t>Devdas</t>
        </is>
      </c>
      <c r="D223" s="17" t="n">
        <v>2002</v>
      </c>
      <c r="E223" s="5" t="inlineStr">
        <is>
          <t>Milind Gunaji</t>
        </is>
      </c>
      <c r="F223" s="5" t="inlineStr">
        <is>
          <t>Kalibabu</t>
        </is>
      </c>
      <c r="G223" s="5" t="inlineStr">
        <is>
          <t>Antagonist</t>
        </is>
      </c>
      <c r="H223" s="5" t="inlineStr">
        <is>
          <t>Medium</t>
        </is>
      </c>
      <c r="I223" s="5" t="inlineStr">
        <is>
          <t>Exposes the women in Devdas's life</t>
        </is>
      </c>
      <c r="J223" s="5" t="inlineStr">
        <is>
          <t>Unmasks Chandramukhi and reveals Paro's past to Bhuvan</t>
        </is>
      </c>
      <c r="K223" s="19" t="inlineStr">
        <is>
          <t>Bhuvan's vindictive son-in-law and a patron of Chandramukhi's brothel.</t>
        </is>
      </c>
      <c r="L223" s="5" t="n"/>
      <c r="M223" s="5" t="inlineStr">
        <is>
          <t>SOURCE-046</t>
        </is>
      </c>
    </row>
    <row r="224" ht="49" customHeight="1">
      <c r="A224" s="15" t="inlineStr">
        <is>
          <t>CAST-223</t>
        </is>
      </c>
      <c r="B224" s="20" t="inlineStr">
        <is>
          <t>FILM-043</t>
        </is>
      </c>
      <c r="C224" s="5" t="inlineStr">
        <is>
          <t>Devdas</t>
        </is>
      </c>
      <c r="D224" s="17" t="n">
        <v>2002</v>
      </c>
      <c r="E224" s="5" t="inlineStr">
        <is>
          <t>Vijay Crishna</t>
        </is>
      </c>
      <c r="F224" s="5" t="inlineStr">
        <is>
          <t>Narayan Mukherjee</t>
        </is>
      </c>
      <c r="G224" s="5" t="inlineStr">
        <is>
          <t>Family</t>
        </is>
      </c>
      <c r="H224" s="5" t="inlineStr">
        <is>
          <t>Medium</t>
        </is>
      </c>
      <c r="I224" s="5" t="inlineStr">
        <is>
          <t>Devdas' father.</t>
        </is>
      </c>
      <c r="J224" s="5" t="inlineStr">
        <is>
          <t>Publicly disgraces Paro when he finds her secretly meeting Devdas.</t>
        </is>
      </c>
      <c r="K224" s="19" t="inlineStr">
        <is>
          <t>Devdas' rigid father, whose patriarchal household Devdas lacks the courage to defy; his death leaves Devdas estranged from his mother.</t>
        </is>
      </c>
      <c r="L224" s="5" t="n"/>
      <c r="M224" s="5" t="inlineStr">
        <is>
          <t>SOURCE-046</t>
        </is>
      </c>
    </row>
    <row r="225" ht="34" customHeight="1">
      <c r="A225" s="15" t="inlineStr">
        <is>
          <t>CAST-224</t>
        </is>
      </c>
      <c r="B225" s="20" t="inlineStr">
        <is>
          <t>FILM-044</t>
        </is>
      </c>
      <c r="C225" s="5" t="inlineStr">
        <is>
          <t>Shakti: The Power</t>
        </is>
      </c>
      <c r="D225" s="17" t="n">
        <v>2002</v>
      </c>
      <c r="E225" s="5" t="inlineStr">
        <is>
          <t>Karisma Kapoor</t>
        </is>
      </c>
      <c r="F225" s="5" t="inlineStr">
        <is>
          <t>Nandini</t>
        </is>
      </c>
      <c r="G225" s="5" t="inlineStr">
        <is>
          <t>Co-lead</t>
        </is>
      </c>
      <c r="H225" s="5" t="inlineStr">
        <is>
          <t>Major</t>
        </is>
      </c>
      <c r="I225" s="5" t="inlineStr">
        <is>
          <t>Woman Jai helps escape</t>
        </is>
      </c>
      <c r="J225" s="5" t="inlineStr">
        <is>
          <t>Not applicable</t>
        </is>
      </c>
      <c r="K225" s="19" t="inlineStr">
        <is>
          <t>Canadian-raised widow trying to flee her father-in-law's feudal household with her son.</t>
        </is>
      </c>
      <c r="L225" s="5" t="inlineStr">
        <is>
          <t>Filmfare and Screen Best Actress nominations</t>
        </is>
      </c>
      <c r="M225" s="5" t="inlineStr">
        <is>
          <t>SOURCE-047</t>
        </is>
      </c>
    </row>
    <row r="226" ht="34" customHeight="1">
      <c r="A226" s="15" t="inlineStr">
        <is>
          <t>CAST-225</t>
        </is>
      </c>
      <c r="B226" s="20" t="inlineStr">
        <is>
          <t>FILM-044</t>
        </is>
      </c>
      <c r="C226" s="5" t="inlineStr">
        <is>
          <t>Shakti: The Power</t>
        </is>
      </c>
      <c r="D226" s="17" t="n">
        <v>2002</v>
      </c>
      <c r="E226" s="5" t="inlineStr">
        <is>
          <t>Nana Patekar</t>
        </is>
      </c>
      <c r="F226" s="5" t="inlineStr">
        <is>
          <t>Narasimha</t>
        </is>
      </c>
      <c r="G226" s="5" t="inlineStr">
        <is>
          <t>Antagonist</t>
        </is>
      </c>
      <c r="H226" s="5" t="inlineStr">
        <is>
          <t>Major</t>
        </is>
      </c>
      <c r="I226" s="5" t="inlineStr">
        <is>
          <t>Patriarch from whom Jai helps Nandini escape</t>
        </is>
      </c>
      <c r="J226" s="5" t="inlineStr">
        <is>
          <t>Not applicable</t>
        </is>
      </c>
      <c r="K226" s="19" t="inlineStr">
        <is>
          <t>Head of a feuding family who refuses to let his grandson leave India.</t>
        </is>
      </c>
      <c r="L226" s="5" t="inlineStr">
        <is>
          <t>Filmfare Best Villain nomination; praised by Variety's Derek Elley</t>
        </is>
      </c>
      <c r="M226" s="5" t="inlineStr">
        <is>
          <t>SOURCE-047</t>
        </is>
      </c>
    </row>
    <row r="227" ht="34" customHeight="1">
      <c r="A227" s="15" t="inlineStr">
        <is>
          <t>CAST-226</t>
        </is>
      </c>
      <c r="B227" s="20" t="inlineStr">
        <is>
          <t>FILM-044</t>
        </is>
      </c>
      <c r="C227" s="5" t="inlineStr">
        <is>
          <t>Shakti: The Power</t>
        </is>
      </c>
      <c r="D227" s="17" t="n">
        <v>2002</v>
      </c>
      <c r="E227" s="5" t="inlineStr">
        <is>
          <t>Sanjay Kapoor</t>
        </is>
      </c>
      <c r="F227" s="5" t="inlineStr">
        <is>
          <t>Shekhar</t>
        </is>
      </c>
      <c r="G227" s="5" t="inlineStr">
        <is>
          <t>Family</t>
        </is>
      </c>
      <c r="H227" s="5" t="inlineStr">
        <is>
          <t>Medium</t>
        </is>
      </c>
      <c r="I227" s="5" t="inlineStr">
        <is>
          <t>Not directly connected</t>
        </is>
      </c>
      <c r="J227" s="5" t="inlineStr">
        <is>
          <t>Not applicable</t>
        </is>
      </c>
      <c r="K227" s="19" t="inlineStr">
        <is>
          <t>Nandini's husband, killed in the village feud after bringing his family from Canada.</t>
        </is>
      </c>
      <c r="L227" s="5" t="n"/>
      <c r="M227" s="5" t="inlineStr">
        <is>
          <t>SOURCE-047</t>
        </is>
      </c>
    </row>
    <row r="228" ht="49" customHeight="1">
      <c r="A228" s="15" t="inlineStr">
        <is>
          <t>CAST-227</t>
        </is>
      </c>
      <c r="B228" s="20" t="inlineStr">
        <is>
          <t>FILM-044</t>
        </is>
      </c>
      <c r="C228" s="5" t="inlineStr">
        <is>
          <t>Shakti: The Power</t>
        </is>
      </c>
      <c r="D228" s="17" t="n">
        <v>2002</v>
      </c>
      <c r="E228" s="5" t="inlineStr">
        <is>
          <t>Jai Gidwani</t>
        </is>
      </c>
      <c r="F228" s="5" t="inlineStr">
        <is>
          <t>Raja</t>
        </is>
      </c>
      <c r="G228" s="5" t="inlineStr">
        <is>
          <t>Family</t>
        </is>
      </c>
      <c r="H228" s="5" t="inlineStr">
        <is>
          <t>Medium</t>
        </is>
      </c>
      <c r="I228" s="5" t="inlineStr">
        <is>
          <t>The child Jai helps Nandini take away from Narasimha's household.</t>
        </is>
      </c>
      <c r="J228" s="5" t="inlineStr">
        <is>
          <t>Not applicable</t>
        </is>
      </c>
      <c r="K228" s="19" t="inlineStr">
        <is>
          <t>Nandini and Shekhar's young son, whom Narasimha refuses to let leave India because he intends to raise him as the family's heir.</t>
        </is>
      </c>
      <c r="L228" s="5" t="n"/>
      <c r="M228" s="5" t="inlineStr">
        <is>
          <t>SOURCE-047</t>
        </is>
      </c>
    </row>
    <row r="229" ht="34" customHeight="1">
      <c r="A229" s="15" t="inlineStr">
        <is>
          <t>CAST-228</t>
        </is>
      </c>
      <c r="B229" s="20" t="inlineStr">
        <is>
          <t>FILM-045</t>
        </is>
      </c>
      <c r="C229" s="5" t="inlineStr">
        <is>
          <t>Saathiya</t>
        </is>
      </c>
      <c r="D229" s="17" t="n">
        <v>2002</v>
      </c>
      <c r="E229" s="5" t="inlineStr">
        <is>
          <t>Rani Mukerji</t>
        </is>
      </c>
      <c r="F229" s="5" t="inlineStr">
        <is>
          <t>Suhani Sharma Sehgal</t>
        </is>
      </c>
      <c r="G229" s="5" t="inlineStr">
        <is>
          <t>Co-lead</t>
        </is>
      </c>
      <c r="H229" s="5" t="inlineStr">
        <is>
          <t>Major</t>
        </is>
      </c>
      <c r="I229" s="5" t="inlineStr">
        <is>
          <t>Victim of the accident Yeshwant claims responsibility for</t>
        </is>
      </c>
      <c r="J229" s="5" t="inlineStr">
        <is>
          <t>Not applicable</t>
        </is>
      </c>
      <c r="K229" s="19" t="inlineStr">
        <is>
          <t>Middle-class woman who elopes with Aditya and is hospitalised under another name after being hit by a car.</t>
        </is>
      </c>
      <c r="L229" s="5" t="n"/>
      <c r="M229" s="5" t="inlineStr">
        <is>
          <t>SOURCE-048</t>
        </is>
      </c>
    </row>
    <row r="230" ht="34" customHeight="1">
      <c r="A230" s="15" t="inlineStr">
        <is>
          <t>CAST-229</t>
        </is>
      </c>
      <c r="B230" s="20" t="inlineStr">
        <is>
          <t>FILM-045</t>
        </is>
      </c>
      <c r="C230" s="5" t="inlineStr">
        <is>
          <t>Saathiya</t>
        </is>
      </c>
      <c r="D230" s="17" t="n">
        <v>2002</v>
      </c>
      <c r="E230" s="5" t="inlineStr">
        <is>
          <t>Vivek Oberoi</t>
        </is>
      </c>
      <c r="F230" s="5" t="inlineStr">
        <is>
          <t>Aditya Sehgal</t>
        </is>
      </c>
      <c r="G230" s="5" t="inlineStr">
        <is>
          <t>Co-lead</t>
        </is>
      </c>
      <c r="H230" s="5" t="inlineStr">
        <is>
          <t>Major</t>
        </is>
      </c>
      <c r="I230" s="5" t="inlineStr">
        <is>
          <t>Husband searching for the woman Yeshwant's car hit</t>
        </is>
      </c>
      <c r="J230" s="5" t="inlineStr">
        <is>
          <t>Not applicable</t>
        </is>
      </c>
      <c r="K230" s="19" t="inlineStr">
        <is>
          <t>Wealthy young man whose search for his missing wife frames the film's flashbacks.</t>
        </is>
      </c>
      <c r="L230" s="5" t="n"/>
      <c r="M230" s="5" t="inlineStr">
        <is>
          <t>SOURCE-048</t>
        </is>
      </c>
    </row>
    <row r="231" ht="34" customHeight="1">
      <c r="A231" s="15" t="inlineStr">
        <is>
          <t>CAST-230</t>
        </is>
      </c>
      <c r="B231" s="20" t="inlineStr">
        <is>
          <t>FILM-045</t>
        </is>
      </c>
      <c r="C231" s="5" t="inlineStr">
        <is>
          <t>Saathiya</t>
        </is>
      </c>
      <c r="D231" s="17" t="n">
        <v>2002</v>
      </c>
      <c r="E231" s="5" t="inlineStr">
        <is>
          <t>Tabu</t>
        </is>
      </c>
      <c r="F231" s="5" t="inlineStr">
        <is>
          <t>Savitri Rao</t>
        </is>
      </c>
      <c r="G231" s="5" t="inlineStr">
        <is>
          <t>Cameo</t>
        </is>
      </c>
      <c r="H231" s="5" t="inlineStr">
        <is>
          <t>Minor</t>
        </is>
      </c>
      <c r="I231" s="5" t="inlineStr">
        <is>
          <t>Yeshwant's wife</t>
        </is>
      </c>
      <c r="J231" s="5" t="inlineStr">
        <is>
          <t>Not applicable</t>
        </is>
      </c>
      <c r="K231" s="19" t="inlineStr">
        <is>
          <t>Reveals that she, not her husband, was driving the car that hit Suhani.</t>
        </is>
      </c>
      <c r="L231" s="5" t="n"/>
      <c r="M231" s="5" t="inlineStr">
        <is>
          <t>SOURCE-048</t>
        </is>
      </c>
    </row>
    <row r="232" ht="34" customHeight="1">
      <c r="A232" s="15" t="inlineStr">
        <is>
          <t>CAST-231</t>
        </is>
      </c>
      <c r="B232" s="20" t="inlineStr">
        <is>
          <t>FILM-046</t>
        </is>
      </c>
      <c r="C232" s="5" t="inlineStr">
        <is>
          <t>Chalte Chalte</t>
        </is>
      </c>
      <c r="D232" s="17" t="n">
        <v>2003</v>
      </c>
      <c r="E232" s="5" t="inlineStr">
        <is>
          <t>Jas Arora</t>
        </is>
      </c>
      <c r="F232" s="5" t="inlineStr">
        <is>
          <t>Sameer Arora</t>
        </is>
      </c>
      <c r="G232" s="5" t="inlineStr">
        <is>
          <t>Romantic rival</t>
        </is>
      </c>
      <c r="H232" s="5" t="inlineStr">
        <is>
          <t>Medium</t>
        </is>
      </c>
      <c r="I232" s="5" t="inlineStr">
        <is>
          <t>Rival whose money triggers Raj's jealousy</t>
        </is>
      </c>
      <c r="J232" s="5" t="inlineStr">
        <is>
          <t>Priya's former fiancé, from whom she secretly borrows</t>
        </is>
      </c>
      <c r="K232" s="19" t="inlineStr">
        <is>
          <t>Priya's fiancé before Raj wins her in Greece.</t>
        </is>
      </c>
      <c r="L232" s="5" t="n"/>
      <c r="M232" s="5" t="inlineStr">
        <is>
          <t>SOURCE-049</t>
        </is>
      </c>
    </row>
    <row r="233" ht="19" customHeight="1">
      <c r="A233" s="15" t="inlineStr">
        <is>
          <t>CAST-232</t>
        </is>
      </c>
      <c r="B233" s="20" t="inlineStr">
        <is>
          <t>FILM-046</t>
        </is>
      </c>
      <c r="C233" s="5" t="inlineStr">
        <is>
          <t>Chalte Chalte</t>
        </is>
      </c>
      <c r="D233" s="17" t="n">
        <v>2003</v>
      </c>
      <c r="E233" s="5" t="inlineStr">
        <is>
          <t>Lilette Dubey</t>
        </is>
      </c>
      <c r="F233" s="5" t="inlineStr">
        <is>
          <t>Anna Mausi</t>
        </is>
      </c>
      <c r="G233" s="5" t="inlineStr">
        <is>
          <t>Family</t>
        </is>
      </c>
      <c r="H233" s="5" t="inlineStr">
        <is>
          <t>Medium</t>
        </is>
      </c>
      <c r="I233" s="5" t="inlineStr">
        <is>
          <t>Priya's aunt</t>
        </is>
      </c>
      <c r="J233" s="5" t="inlineStr">
        <is>
          <t>Wants the best in life for Priya</t>
        </is>
      </c>
      <c r="K233" s="19" t="inlineStr">
        <is>
          <t>The aunt with whom Priya lives.</t>
        </is>
      </c>
      <c r="L233" s="5" t="n"/>
      <c r="M233" s="5" t="inlineStr">
        <is>
          <t>SOURCE-049</t>
        </is>
      </c>
    </row>
    <row r="234" ht="19" customHeight="1">
      <c r="A234" s="15" t="inlineStr">
        <is>
          <t>CAST-233</t>
        </is>
      </c>
      <c r="B234" s="20" t="inlineStr">
        <is>
          <t>FILM-046</t>
        </is>
      </c>
      <c r="C234" s="5" t="inlineStr">
        <is>
          <t>Chalte Chalte</t>
        </is>
      </c>
      <c r="D234" s="17" t="n">
        <v>2003</v>
      </c>
      <c r="E234" s="5" t="inlineStr">
        <is>
          <t>Satish Shah</t>
        </is>
      </c>
      <c r="F234" s="5" t="inlineStr">
        <is>
          <t>Manubhai Marfatiya</t>
        </is>
      </c>
      <c r="G234" s="5" t="inlineStr">
        <is>
          <t>Friend</t>
        </is>
      </c>
      <c r="H234" s="5" t="inlineStr">
        <is>
          <t>Minor</t>
        </is>
      </c>
      <c r="I234" s="5" t="inlineStr">
        <is>
          <t>Part of Raj's circle</t>
        </is>
      </c>
      <c r="J234" s="5" t="inlineStr">
        <is>
          <t>Not applicable</t>
        </is>
      </c>
      <c r="K234" s="19" t="inlineStr">
        <is>
          <t>Supporting comic character in Raj's neighbourhood.</t>
        </is>
      </c>
      <c r="L234" s="5" t="n"/>
      <c r="M234" s="5" t="inlineStr">
        <is>
          <t>SOURCE-049</t>
        </is>
      </c>
    </row>
    <row r="235" ht="49" customHeight="1">
      <c r="A235" s="15" t="inlineStr">
        <is>
          <t>CAST-234</t>
        </is>
      </c>
      <c r="B235" s="20" t="inlineStr">
        <is>
          <t>FILM-046</t>
        </is>
      </c>
      <c r="C235" s="5" t="inlineStr">
        <is>
          <t>Chalte Chalte</t>
        </is>
      </c>
      <c r="D235" s="17" t="n">
        <v>2003</v>
      </c>
      <c r="E235" s="5" t="inlineStr">
        <is>
          <t>Rajeev Verma</t>
        </is>
      </c>
      <c r="F235" s="5" t="inlineStr">
        <is>
          <t>Kishore Chopra</t>
        </is>
      </c>
      <c r="G235" s="5" t="inlineStr">
        <is>
          <t>Family</t>
        </is>
      </c>
      <c r="H235" s="5" t="inlineStr">
        <is>
          <t>Minor</t>
        </is>
      </c>
      <c r="I235" s="5" t="inlineStr">
        <is>
          <t>Raj's father-in-law.</t>
        </is>
      </c>
      <c r="J235" s="5" t="inlineStr">
        <is>
          <t>Priya's father; Raj and Priya marry after persuading her parents.</t>
        </is>
      </c>
      <c r="K235" s="19" t="inlineStr">
        <is>
          <t>Priya's father; after the couple's quarrel Priya runs back to her parents and Raj is insulted by her family when he follows her.</t>
        </is>
      </c>
      <c r="L235" s="5" t="n"/>
      <c r="M235" s="5" t="inlineStr">
        <is>
          <t>SOURCE-049</t>
        </is>
      </c>
    </row>
    <row r="236" ht="49" customHeight="1">
      <c r="A236" s="15" t="inlineStr">
        <is>
          <t>CAST-235</t>
        </is>
      </c>
      <c r="B236" s="20" t="inlineStr">
        <is>
          <t>FILM-046</t>
        </is>
      </c>
      <c r="C236" s="5" t="inlineStr">
        <is>
          <t>Chalte Chalte</t>
        </is>
      </c>
      <c r="D236" s="17" t="n">
        <v>2003</v>
      </c>
      <c r="E236" s="5" t="inlineStr">
        <is>
          <t>Meghna Malik</t>
        </is>
      </c>
      <c r="F236" s="5" t="inlineStr">
        <is>
          <t>Farah Zafar</t>
        </is>
      </c>
      <c r="G236" s="5" t="inlineStr">
        <is>
          <t>Friend</t>
        </is>
      </c>
      <c r="H236" s="5" t="inlineStr">
        <is>
          <t>Minor</t>
        </is>
      </c>
      <c r="I236" s="5" t="inlineStr">
        <is>
          <t>One of Raj's close friends.</t>
        </is>
      </c>
      <c r="J236" s="5" t="inlineStr">
        <is>
          <t>Raj and Priya meet again at her wedding to Salim and become friends.</t>
        </is>
      </c>
      <c r="K236" s="19" t="inlineStr">
        <is>
          <t>Salim's wife; she and Salim are among the friends who tell Raj and Priya's story and plan their surprise anniversary party.</t>
        </is>
      </c>
      <c r="L236" s="5" t="n"/>
      <c r="M236" s="5" t="inlineStr">
        <is>
          <t>SOURCE-049</t>
        </is>
      </c>
    </row>
    <row r="237" ht="34" customHeight="1">
      <c r="A237" s="15" t="inlineStr">
        <is>
          <t>CAST-236</t>
        </is>
      </c>
      <c r="B237" s="20" t="inlineStr">
        <is>
          <t>FILM-047</t>
        </is>
      </c>
      <c r="C237" s="5" t="inlineStr">
        <is>
          <t>Kal Ho Naa Ho</t>
        </is>
      </c>
      <c r="D237" s="17" t="n">
        <v>2003</v>
      </c>
      <c r="E237" s="5" t="inlineStr">
        <is>
          <t>Saif Ali Khan</t>
        </is>
      </c>
      <c r="F237" s="5" t="inlineStr">
        <is>
          <t>Rohit Patel</t>
        </is>
      </c>
      <c r="G237" s="5" t="inlineStr">
        <is>
          <t>Romantic rival</t>
        </is>
      </c>
      <c r="H237" s="5" t="inlineStr">
        <is>
          <t>Major</t>
        </is>
      </c>
      <c r="I237" s="5" t="inlineStr">
        <is>
          <t>Friend whom Aman coaches and then entrusts with Naina</t>
        </is>
      </c>
      <c r="J237" s="5" t="inlineStr">
        <is>
          <t>Naina's best friend and eventual husband</t>
        </is>
      </c>
      <c r="K237" s="19" t="inlineStr">
        <is>
          <t>Gujarati American classmate who loves Naina and promises the dying Aman to care for her.</t>
        </is>
      </c>
      <c r="L237" s="5" t="inlineStr">
        <is>
          <t>Filmfare Best Supporting Actor</t>
        </is>
      </c>
      <c r="M237" s="5" t="inlineStr">
        <is>
          <t>SOURCE-050</t>
        </is>
      </c>
    </row>
    <row r="238" ht="34" customHeight="1">
      <c r="A238" s="15" t="inlineStr">
        <is>
          <t>CAST-237</t>
        </is>
      </c>
      <c r="B238" s="20" t="inlineStr">
        <is>
          <t>FILM-047</t>
        </is>
      </c>
      <c r="C238" s="5" t="inlineStr">
        <is>
          <t>Kal Ho Naa Ho</t>
        </is>
      </c>
      <c r="D238" s="17" t="n">
        <v>2003</v>
      </c>
      <c r="E238" s="5" t="inlineStr">
        <is>
          <t>Jaya Bachchan</t>
        </is>
      </c>
      <c r="F238" s="5" t="inlineStr">
        <is>
          <t>Jennifer "Jenny" Kapur</t>
        </is>
      </c>
      <c r="G238" s="5" t="inlineStr">
        <is>
          <t>Family</t>
        </is>
      </c>
      <c r="H238" s="5" t="inlineStr">
        <is>
          <t>Major</t>
        </is>
      </c>
      <c r="I238" s="5" t="inlineStr">
        <is>
          <t>Neighbour whose failing café Aman revives</t>
        </is>
      </c>
      <c r="J238" s="5" t="inlineStr">
        <is>
          <t>Naina's mother</t>
        </is>
      </c>
      <c r="K238" s="19" t="inlineStr">
        <is>
          <t>Widow who adopted her late husband's illegitimate daughter Jiya and is reconciled with her mother-in-law through Aman.</t>
        </is>
      </c>
      <c r="L238" s="5" t="inlineStr">
        <is>
          <t>Filmfare Best Supporting Actress</t>
        </is>
      </c>
      <c r="M238" s="5" t="inlineStr">
        <is>
          <t>SOURCE-050</t>
        </is>
      </c>
    </row>
    <row r="239" ht="34" customHeight="1">
      <c r="A239" s="15" t="inlineStr">
        <is>
          <t>CAST-238</t>
        </is>
      </c>
      <c r="B239" s="20" t="inlineStr">
        <is>
          <t>FILM-047</t>
        </is>
      </c>
      <c r="C239" s="5" t="inlineStr">
        <is>
          <t>Kal Ho Naa Ho</t>
        </is>
      </c>
      <c r="D239" s="17" t="n">
        <v>2003</v>
      </c>
      <c r="E239" s="5" t="inlineStr">
        <is>
          <t>Sushma Seth</t>
        </is>
      </c>
      <c r="F239" s="5" t="inlineStr">
        <is>
          <t>Lajwanti "Lajjo" Kapur</t>
        </is>
      </c>
      <c r="G239" s="5" t="inlineStr">
        <is>
          <t>Family</t>
        </is>
      </c>
      <c r="H239" s="5" t="inlineStr">
        <is>
          <t>Medium</t>
        </is>
      </c>
      <c r="I239" s="5" t="inlineStr">
        <is>
          <t>Learns the truth about her son from Aman</t>
        </is>
      </c>
      <c r="J239" s="5" t="inlineStr">
        <is>
          <t>Naina's grandmother</t>
        </is>
      </c>
      <c r="K239" s="19" t="inlineStr">
        <is>
          <t>Blames Jennifer and Jiya for her son's suicide until Aman reveals his affair.</t>
        </is>
      </c>
      <c r="L239" s="5" t="n"/>
      <c r="M239" s="5" t="inlineStr">
        <is>
          <t>SOURCE-050</t>
        </is>
      </c>
    </row>
    <row r="240" ht="34" customHeight="1">
      <c r="A240" s="15" t="inlineStr">
        <is>
          <t>CAST-239</t>
        </is>
      </c>
      <c r="B240" s="20" t="inlineStr">
        <is>
          <t>FILM-047</t>
        </is>
      </c>
      <c r="C240" s="5" t="inlineStr">
        <is>
          <t>Kal Ho Naa Ho</t>
        </is>
      </c>
      <c r="D240" s="17" t="n">
        <v>2003</v>
      </c>
      <c r="E240" s="5" t="inlineStr">
        <is>
          <t>Reema Lagoo</t>
        </is>
      </c>
      <c r="F240" s="5" t="inlineStr">
        <is>
          <t>Namrata Mathur</t>
        </is>
      </c>
      <c r="G240" s="5" t="inlineStr">
        <is>
          <t>Family</t>
        </is>
      </c>
      <c r="H240" s="5" t="inlineStr">
        <is>
          <t>Medium</t>
        </is>
      </c>
      <c r="I240" s="5" t="inlineStr">
        <is>
          <t>Aman's mother</t>
        </is>
      </c>
      <c r="J240" s="5" t="inlineStr">
        <is>
          <t>The only one who knows Aman loves Naina and is dying</t>
        </is>
      </c>
      <c r="K240" s="19" t="inlineStr">
        <is>
          <t>Confronts Aman about his feelings and keeps his secret.</t>
        </is>
      </c>
      <c r="L240" s="5" t="n"/>
      <c r="M240" s="5" t="inlineStr">
        <is>
          <t>SOURCE-050</t>
        </is>
      </c>
    </row>
    <row r="241" ht="34" customHeight="1">
      <c r="A241" s="15" t="inlineStr">
        <is>
          <t>CAST-240</t>
        </is>
      </c>
      <c r="B241" s="20" t="inlineStr">
        <is>
          <t>FILM-047</t>
        </is>
      </c>
      <c r="C241" s="5" t="inlineStr">
        <is>
          <t>Kal Ho Naa Ho</t>
        </is>
      </c>
      <c r="D241" s="17" t="n">
        <v>2003</v>
      </c>
      <c r="E241" s="5" t="inlineStr">
        <is>
          <t>Sonali Bendre</t>
        </is>
      </c>
      <c r="F241" s="5" t="inlineStr">
        <is>
          <t>Dr. Priya Malhotra</t>
        </is>
      </c>
      <c r="G241" s="5" t="inlineStr">
        <is>
          <t>Supporting</t>
        </is>
      </c>
      <c r="H241" s="5" t="inlineStr">
        <is>
          <t>Minor</t>
        </is>
      </c>
      <c r="I241" s="5" t="inlineStr">
        <is>
          <t>Aman's childhood friend and doctor</t>
        </is>
      </c>
      <c r="J241" s="5" t="inlineStr">
        <is>
          <t>Poses as Aman's wife in a photograph</t>
        </is>
      </c>
      <c r="K241" s="19" t="inlineStr">
        <is>
          <t>Special appearance; her chance meeting with Naina exposes Aman's secret.</t>
        </is>
      </c>
      <c r="L241" s="5" t="n"/>
      <c r="M241" s="5" t="inlineStr">
        <is>
          <t>SOURCE-050</t>
        </is>
      </c>
    </row>
    <row r="242" ht="49" customHeight="1">
      <c r="A242" s="15" t="inlineStr">
        <is>
          <t>CAST-241</t>
        </is>
      </c>
      <c r="B242" s="20" t="inlineStr">
        <is>
          <t>FILM-047</t>
        </is>
      </c>
      <c r="C242" s="5" t="inlineStr">
        <is>
          <t>Kal Ho Naa Ho</t>
        </is>
      </c>
      <c r="D242" s="17" t="n">
        <v>2003</v>
      </c>
      <c r="E242" s="5" t="inlineStr">
        <is>
          <t>Jhanak Shukla</t>
        </is>
      </c>
      <c r="F242" s="5" t="inlineStr">
        <is>
          <t>Jiya Kapur</t>
        </is>
      </c>
      <c r="G242" s="5" t="inlineStr">
        <is>
          <t>Family</t>
        </is>
      </c>
      <c r="H242" s="5" t="inlineStr">
        <is>
          <t>Medium</t>
        </is>
      </c>
      <c r="I242" s="5" t="inlineStr">
        <is>
          <t>Naina's adopted sister, who turns to Aman for help.</t>
        </is>
      </c>
      <c r="J242" s="5" t="inlineStr">
        <is>
          <t>Not applicable</t>
        </is>
      </c>
      <c r="K242" s="19" t="inlineStr">
        <is>
          <t>Lajjo blames her adoption for her son's suicide; Aman reveals that Jiya is her son's child from an extramarital affair, leading Lajjo to reconcile with Jennifer and Jiya.</t>
        </is>
      </c>
      <c r="L242" s="5" t="n"/>
      <c r="M242" s="5" t="inlineStr">
        <is>
          <t>SOURCE-050</t>
        </is>
      </c>
    </row>
    <row r="243" ht="34" customHeight="1">
      <c r="A243" s="15" t="inlineStr">
        <is>
          <t>CAST-242</t>
        </is>
      </c>
      <c r="B243" s="20" t="inlineStr">
        <is>
          <t>FILM-047</t>
        </is>
      </c>
      <c r="C243" s="5" t="inlineStr">
        <is>
          <t>Kal Ho Naa Ho</t>
        </is>
      </c>
      <c r="D243" s="17" t="n">
        <v>2003</v>
      </c>
      <c r="E243" s="5" t="inlineStr">
        <is>
          <t>Dara Singh</t>
        </is>
      </c>
      <c r="F243" s="5" t="inlineStr">
        <is>
          <t>Pritam Chaddha</t>
        </is>
      </c>
      <c r="G243" s="5" t="inlineStr">
        <is>
          <t>Family</t>
        </is>
      </c>
      <c r="H243" s="5" t="inlineStr">
        <is>
          <t>Minor</t>
        </is>
      </c>
      <c r="I243" s="5" t="inlineStr">
        <is>
          <t>Aman's uncle.</t>
        </is>
      </c>
      <c r="J243" s="5" t="inlineStr">
        <is>
          <t>Not applicable</t>
        </is>
      </c>
      <c r="K243" s="19" t="inlineStr">
        <is>
          <t>Aman and his mother move in with him next door to Naina's family.</t>
        </is>
      </c>
      <c r="L243" s="5" t="n"/>
      <c r="M243" s="5" t="inlineStr">
        <is>
          <t>SOURCE-050</t>
        </is>
      </c>
    </row>
    <row r="244" ht="34" customHeight="1">
      <c r="A244" s="15" t="inlineStr">
        <is>
          <t>CAST-243</t>
        </is>
      </c>
      <c r="B244" s="20" t="inlineStr">
        <is>
          <t>FILM-048</t>
        </is>
      </c>
      <c r="C244" s="5" t="inlineStr">
        <is>
          <t>Yeh Lamhe Judaai Ke</t>
        </is>
      </c>
      <c r="D244" s="17" t="n">
        <v>2004</v>
      </c>
      <c r="E244" s="5" t="inlineStr">
        <is>
          <t>Raveena Tandon</t>
        </is>
      </c>
      <c r="F244" s="5" t="inlineStr">
        <is>
          <t>Jaya</t>
        </is>
      </c>
      <c r="G244" s="5" t="inlineStr">
        <is>
          <t>Co-lead</t>
        </is>
      </c>
      <c r="H244" s="5" t="inlineStr">
        <is>
          <t>Major</t>
        </is>
      </c>
      <c r="I244" s="5" t="inlineStr">
        <is>
          <t>Dushyant's childhood friend and lover</t>
        </is>
      </c>
      <c r="J244" s="5" t="inlineStr">
        <is>
          <t>Separated from Dushyant by Nisha and Sujit's scheming</t>
        </is>
      </c>
      <c r="K244" s="19" t="inlineStr">
        <is>
          <t>Industrialist's daughter who helps the poor, musical Dushyant as a schoolgirl and is murdered after their break-up.</t>
        </is>
      </c>
      <c r="L244" s="5" t="n"/>
      <c r="M244" s="5" t="inlineStr">
        <is>
          <t>SOURCE-051</t>
        </is>
      </c>
    </row>
    <row r="245" ht="34" customHeight="1">
      <c r="A245" s="15" t="inlineStr">
        <is>
          <t>CAST-244</t>
        </is>
      </c>
      <c r="B245" s="20" t="inlineStr">
        <is>
          <t>FILM-048</t>
        </is>
      </c>
      <c r="C245" s="5" t="inlineStr">
        <is>
          <t>Yeh Lamhe Judaai Ke</t>
        </is>
      </c>
      <c r="D245" s="17" t="n">
        <v>2004</v>
      </c>
      <c r="E245" s="5" t="inlineStr">
        <is>
          <t>Mohnish Behl</t>
        </is>
      </c>
      <c r="F245" s="5" t="inlineStr">
        <is>
          <t>Sujit</t>
        </is>
      </c>
      <c r="G245" s="5" t="inlineStr">
        <is>
          <t>Antagonist</t>
        </is>
      </c>
      <c r="H245" s="5" t="inlineStr">
        <is>
          <t>Medium</t>
        </is>
      </c>
      <c r="I245" s="5" t="inlineStr">
        <is>
          <t>Destitute friend Dushyant takes in</t>
        </is>
      </c>
      <c r="J245" s="5" t="inlineStr">
        <is>
          <t>Drives a wedge between Dushyant and Jaya</t>
        </is>
      </c>
      <c r="K245" s="19" t="inlineStr">
        <is>
          <t>Schemes for wealth and plans to kill his accomplices; run over by a car.</t>
        </is>
      </c>
      <c r="L245" s="5" t="n"/>
      <c r="M245" s="5" t="inlineStr">
        <is>
          <t>SOURCE-051</t>
        </is>
      </c>
    </row>
    <row r="246" ht="34" customHeight="1">
      <c r="A246" s="15" t="inlineStr">
        <is>
          <t>CAST-245</t>
        </is>
      </c>
      <c r="B246" s="20" t="inlineStr">
        <is>
          <t>FILM-048</t>
        </is>
      </c>
      <c r="C246" s="5" t="inlineStr">
        <is>
          <t>Yeh Lamhe Judaai Ke</t>
        </is>
      </c>
      <c r="D246" s="17" t="n">
        <v>2004</v>
      </c>
      <c r="E246" s="5" t="inlineStr">
        <is>
          <t>Navneet Nishan</t>
        </is>
      </c>
      <c r="F246" s="5" t="inlineStr">
        <is>
          <t>Nisha Dhingra</t>
        </is>
      </c>
      <c r="G246" s="5" t="inlineStr">
        <is>
          <t>Antagonist</t>
        </is>
      </c>
      <c r="H246" s="5" t="inlineStr">
        <is>
          <t>Medium</t>
        </is>
      </c>
      <c r="I246" s="5" t="inlineStr">
        <is>
          <t>Accepts Dushyant's proposal</t>
        </is>
      </c>
      <c r="J246" s="5" t="inlineStr">
        <is>
          <t>Manipulates Dushyant against Jaya</t>
        </is>
      </c>
      <c r="K246" s="19" t="inlineStr">
        <is>
          <t>Delighted by the lovers' break-up, she and Sujit sabotage them; she is strangled in her car.</t>
        </is>
      </c>
      <c r="L246" s="5" t="n"/>
      <c r="M246" s="5" t="inlineStr">
        <is>
          <t>SOURCE-051</t>
        </is>
      </c>
    </row>
    <row r="247" ht="49" customHeight="1">
      <c r="A247" s="15" t="inlineStr">
        <is>
          <t>CAST-246</t>
        </is>
      </c>
      <c r="B247" s="20" t="inlineStr">
        <is>
          <t>FILM-048</t>
        </is>
      </c>
      <c r="C247" s="5" t="inlineStr">
        <is>
          <t>Yeh Lamhe Judaai Ke</t>
        </is>
      </c>
      <c r="D247" s="17" t="n">
        <v>2004</v>
      </c>
      <c r="E247" s="5" t="inlineStr">
        <is>
          <t>Kiran Kumar</t>
        </is>
      </c>
      <c r="F247" s="5" t="inlineStr">
        <is>
          <t>Rajpal</t>
        </is>
      </c>
      <c r="G247" s="5" t="inlineStr">
        <is>
          <t>Mentor</t>
        </is>
      </c>
      <c r="H247" s="5" t="inlineStr">
        <is>
          <t>Medium</t>
        </is>
      </c>
      <c r="I247" s="5" t="inlineStr">
        <is>
          <t>Dushyant's mentor.</t>
        </is>
      </c>
      <c r="J247" s="5" t="inlineStr">
        <is>
          <t>Not applicable</t>
        </is>
      </c>
      <c r="K247" s="19" t="inlineStr">
        <is>
          <t>Jaya complains to him that Dushyant is too busy to see her; he dismisses Kamlesh Dhingra's business proposal to Dushyant.</t>
        </is>
      </c>
      <c r="L247" s="5" t="n"/>
      <c r="M247" s="5" t="inlineStr">
        <is>
          <t>SOURCE-051</t>
        </is>
      </c>
    </row>
    <row r="248" ht="49" customHeight="1">
      <c r="A248" s="15" t="inlineStr">
        <is>
          <t>CAST-247</t>
        </is>
      </c>
      <c r="B248" s="20" t="inlineStr">
        <is>
          <t>FILM-048</t>
        </is>
      </c>
      <c r="C248" s="5" t="inlineStr">
        <is>
          <t>Yeh Lamhe Judaai Ke</t>
        </is>
      </c>
      <c r="D248" s="17" t="n">
        <v>2004</v>
      </c>
      <c r="E248" s="5" t="inlineStr">
        <is>
          <t>Rashmi Desai</t>
        </is>
      </c>
      <c r="F248" s="5" t="inlineStr">
        <is>
          <t>Sheetal</t>
        </is>
      </c>
      <c r="G248" s="5" t="inlineStr">
        <is>
          <t>Family</t>
        </is>
      </c>
      <c r="H248" s="5" t="inlineStr">
        <is>
          <t>Medium</t>
        </is>
      </c>
      <c r="I248" s="5" t="inlineStr">
        <is>
          <t>Younger sister of Dushyant's childhood friend Jaya.</t>
        </is>
      </c>
      <c r="J248" s="5" t="inlineStr">
        <is>
          <t>Not applicable</t>
        </is>
      </c>
      <c r="K248" s="19" t="inlineStr">
        <is>
          <t>Jaya's sister, who studies abroad; after Jaya's death Inspector Rahul romances her to gather clues about Jaya and Dushyant.</t>
        </is>
      </c>
      <c r="L248" s="5" t="n"/>
      <c r="M248" s="5" t="inlineStr">
        <is>
          <t>SOURCE-051</t>
        </is>
      </c>
    </row>
    <row r="249" ht="49" customHeight="1">
      <c r="A249" s="15" t="inlineStr">
        <is>
          <t>CAST-248</t>
        </is>
      </c>
      <c r="B249" s="20" t="inlineStr">
        <is>
          <t>FILM-048</t>
        </is>
      </c>
      <c r="C249" s="5" t="inlineStr">
        <is>
          <t>Yeh Lamhe Judaai Ke</t>
        </is>
      </c>
      <c r="D249" s="17" t="n">
        <v>2004</v>
      </c>
      <c r="E249" s="5" t="inlineStr">
        <is>
          <t>Amit Kumar</t>
        </is>
      </c>
      <c r="F249" s="5" t="inlineStr">
        <is>
          <t>Rahul</t>
        </is>
      </c>
      <c r="G249" s="5" t="inlineStr">
        <is>
          <t>Authority figure</t>
        </is>
      </c>
      <c r="H249" s="5" t="inlineStr">
        <is>
          <t>Medium</t>
        </is>
      </c>
      <c r="I249" s="5" t="inlineStr">
        <is>
          <t>The police inspector investigating the death of Dushyant's former love Jaya.</t>
        </is>
      </c>
      <c r="J249" s="5" t="inlineStr">
        <is>
          <t>Not applicable</t>
        </is>
      </c>
      <c r="K249" s="19" t="inlineStr">
        <is>
          <t>Assigned Jaya's death, which is treated as murder; he travels abroad to Sheetal and romances her to get information on Jaya and Dushyant's relationship.</t>
        </is>
      </c>
      <c r="L249" s="5" t="n"/>
      <c r="M249" s="5" t="inlineStr">
        <is>
          <t>SOURCE-051</t>
        </is>
      </c>
    </row>
    <row r="250" ht="34" customHeight="1">
      <c r="A250" s="15" t="inlineStr">
        <is>
          <t>CAST-249</t>
        </is>
      </c>
      <c r="B250" s="20" t="inlineStr">
        <is>
          <t>FILM-048</t>
        </is>
      </c>
      <c r="C250" s="5" t="inlineStr">
        <is>
          <t>Yeh Lamhe Judaai Ke</t>
        </is>
      </c>
      <c r="D250" s="17" t="n">
        <v>2004</v>
      </c>
      <c r="E250" s="5" t="inlineStr">
        <is>
          <t>Avtar Gill</t>
        </is>
      </c>
      <c r="F250" s="5" t="inlineStr">
        <is>
          <t>Kamlesh Dhingra</t>
        </is>
      </c>
      <c r="G250" s="5" t="inlineStr">
        <is>
          <t>Antagonist</t>
        </is>
      </c>
      <c r="H250" s="5" t="inlineStr">
        <is>
          <t>Minor</t>
        </is>
      </c>
      <c r="I250" s="5" t="inlineStr">
        <is>
          <t>Father of Nisha, whom Dushyant proposes to.</t>
        </is>
      </c>
      <c r="J250" s="5" t="inlineStr">
        <is>
          <t>Not applicable</t>
        </is>
      </c>
      <c r="K250" s="19" t="inlineStr">
        <is>
          <t>Nisha's father; his business proposal to Dushyant is dismissed by Rajpal, and he calls in goons to kill Jaya.</t>
        </is>
      </c>
      <c r="L250" s="5" t="n"/>
      <c r="M250" s="5" t="inlineStr">
        <is>
          <t>SOURCE-051</t>
        </is>
      </c>
    </row>
    <row r="251" ht="34" customHeight="1">
      <c r="A251" s="15" t="inlineStr">
        <is>
          <t>CAST-250</t>
        </is>
      </c>
      <c r="B251" s="20" t="inlineStr">
        <is>
          <t>FILM-049</t>
        </is>
      </c>
      <c r="C251" s="5" t="inlineStr">
        <is>
          <t>Main Hoon Na</t>
        </is>
      </c>
      <c r="D251" s="17" t="n">
        <v>2004</v>
      </c>
      <c r="E251" s="5" t="inlineStr">
        <is>
          <t>Zayed Khan</t>
        </is>
      </c>
      <c r="F251" s="5" t="inlineStr">
        <is>
          <t>Lakshman Prasad Sharma "Lucky"</t>
        </is>
      </c>
      <c r="G251" s="5" t="inlineStr">
        <is>
          <t>Family</t>
        </is>
      </c>
      <c r="H251" s="5" t="inlineStr">
        <is>
          <t>Major</t>
        </is>
      </c>
      <c r="I251" s="5" t="inlineStr">
        <is>
          <t>Ram's estranged half-brother</t>
        </is>
      </c>
      <c r="J251" s="5" t="inlineStr">
        <is>
          <t>Falls for Sanjana</t>
        </is>
      </c>
      <c r="K251" s="19" t="inlineStr">
        <is>
          <t>College rebel who at first shuns the older 'student' and ends by rescuing Ram in a helicopter.</t>
        </is>
      </c>
      <c r="L251" s="5" t="inlineStr">
        <is>
          <t>Filmfare Best Supporting Actor nomination</t>
        </is>
      </c>
      <c r="M251" s="5" t="inlineStr">
        <is>
          <t>SOURCE-052</t>
        </is>
      </c>
    </row>
    <row r="252" ht="49" customHeight="1">
      <c r="A252" s="15" t="inlineStr">
        <is>
          <t>CAST-251</t>
        </is>
      </c>
      <c r="B252" s="20" t="inlineStr">
        <is>
          <t>FILM-049</t>
        </is>
      </c>
      <c r="C252" s="5" t="inlineStr">
        <is>
          <t>Main Hoon Na</t>
        </is>
      </c>
      <c r="D252" s="17" t="n">
        <v>2004</v>
      </c>
      <c r="E252" s="5" t="inlineStr">
        <is>
          <t>Suniel Shetty</t>
        </is>
      </c>
      <c r="F252" s="5" t="inlineStr">
        <is>
          <t>Raghavan Dutta</t>
        </is>
      </c>
      <c r="G252" s="5" t="inlineStr">
        <is>
          <t>Antagonist</t>
        </is>
      </c>
      <c r="H252" s="5" t="inlineStr">
        <is>
          <t>Major</t>
        </is>
      </c>
      <c r="I252" s="5" t="inlineStr">
        <is>
          <t>Rogue ex-soldier Ram must stop</t>
        </is>
      </c>
      <c r="J252" s="5" t="inlineStr">
        <is>
          <t>His gang tries to abduct Chandni</t>
        </is>
      </c>
      <c r="K252" s="19" t="inlineStr">
        <is>
          <t>Discharged commando who kills Ram's father, poses as a physics professor and holds the college hostage to wreck Project Milaap.</t>
        </is>
      </c>
      <c r="L252" s="5" t="n"/>
      <c r="M252" s="5" t="inlineStr">
        <is>
          <t>SOURCE-052</t>
        </is>
      </c>
    </row>
    <row r="253" ht="34" customHeight="1">
      <c r="A253" s="15" t="inlineStr">
        <is>
          <t>CAST-252</t>
        </is>
      </c>
      <c r="B253" s="20" t="inlineStr">
        <is>
          <t>FILM-049</t>
        </is>
      </c>
      <c r="C253" s="5" t="inlineStr">
        <is>
          <t>Main Hoon Na</t>
        </is>
      </c>
      <c r="D253" s="17" t="n">
        <v>2004</v>
      </c>
      <c r="E253" s="5" t="inlineStr">
        <is>
          <t>Amrita Rao</t>
        </is>
      </c>
      <c r="F253" s="5" t="inlineStr">
        <is>
          <t>Sanjana Bakshi</t>
        </is>
      </c>
      <c r="G253" s="5" t="inlineStr">
        <is>
          <t>Supporting</t>
        </is>
      </c>
      <c r="H253" s="5" t="inlineStr">
        <is>
          <t>Major</t>
        </is>
      </c>
      <c r="I253" s="5" t="inlineStr">
        <is>
          <t>The general's daughter Ram is sent to protect</t>
        </is>
      </c>
      <c r="J253" s="5" t="inlineStr">
        <is>
          <t>Lucky's love interest</t>
        </is>
      </c>
      <c r="K253" s="19" t="inlineStr">
        <is>
          <t>Estranged from her father, she befriends Ram after he saves Lucky and reconciles with her father.</t>
        </is>
      </c>
      <c r="L253" s="5" t="inlineStr">
        <is>
          <t>Filmfare Best Supporting Actress nomination</t>
        </is>
      </c>
      <c r="M253" s="5" t="inlineStr">
        <is>
          <t>SOURCE-052</t>
        </is>
      </c>
    </row>
    <row r="254" ht="49" customHeight="1">
      <c r="A254" s="15" t="inlineStr">
        <is>
          <t>CAST-253</t>
        </is>
      </c>
      <c r="B254" s="20" t="inlineStr">
        <is>
          <t>FILM-049</t>
        </is>
      </c>
      <c r="C254" s="5" t="inlineStr">
        <is>
          <t>Main Hoon Na</t>
        </is>
      </c>
      <c r="D254" s="17" t="n">
        <v>2004</v>
      </c>
      <c r="E254" s="5" t="inlineStr">
        <is>
          <t>Kirron Kher</t>
        </is>
      </c>
      <c r="F254" s="5" t="inlineStr">
        <is>
          <t>Madhu Sharma</t>
        </is>
      </c>
      <c r="G254" s="5" t="inlineStr">
        <is>
          <t>Family</t>
        </is>
      </c>
      <c r="H254" s="5" t="inlineStr">
        <is>
          <t>Medium</t>
        </is>
      </c>
      <c r="I254" s="5" t="inlineStr">
        <is>
          <t>Ram's stepmother</t>
        </is>
      </c>
      <c r="J254" s="5" t="inlineStr">
        <is>
          <t>Not applicable</t>
        </is>
      </c>
      <c r="K254" s="19" t="inlineStr">
        <is>
          <t>Left her husband after his affair with Ram's mother; reconciles with Ram and immerses her husband's ashes with both sons.</t>
        </is>
      </c>
      <c r="L254" s="5" t="n"/>
      <c r="M254" s="5" t="inlineStr">
        <is>
          <t>SOURCE-052</t>
        </is>
      </c>
    </row>
    <row r="255" ht="34" customHeight="1">
      <c r="A255" s="15" t="inlineStr">
        <is>
          <t>CAST-254</t>
        </is>
      </c>
      <c r="B255" s="20" t="inlineStr">
        <is>
          <t>FILM-049</t>
        </is>
      </c>
      <c r="C255" s="5" t="inlineStr">
        <is>
          <t>Main Hoon Na</t>
        </is>
      </c>
      <c r="D255" s="17" t="n">
        <v>2004</v>
      </c>
      <c r="E255" s="5" t="inlineStr">
        <is>
          <t>Naseeruddin Shah</t>
        </is>
      </c>
      <c r="F255" s="5" t="inlineStr">
        <is>
          <t>Brigadier Shekhar Prasad Sharma</t>
        </is>
      </c>
      <c r="G255" s="5" t="inlineStr">
        <is>
          <t>Family</t>
        </is>
      </c>
      <c r="H255" s="5" t="inlineStr">
        <is>
          <t>Medium</t>
        </is>
      </c>
      <c r="I255" s="5" t="inlineStr">
        <is>
          <t>Ram's father</t>
        </is>
      </c>
      <c r="J255" s="5" t="inlineStr">
        <is>
          <t>Not applicable</t>
        </is>
      </c>
      <c r="K255" s="19" t="inlineStr">
        <is>
          <t>Takes a bullet meant for General Bakshi and on his deathbed asks Ram to reunite the family. Special appearance.</t>
        </is>
      </c>
      <c r="L255" s="5" t="n"/>
      <c r="M255" s="5" t="inlineStr">
        <is>
          <t>SOURCE-052</t>
        </is>
      </c>
    </row>
    <row r="256" ht="19" customHeight="1">
      <c r="A256" s="15" t="inlineStr">
        <is>
          <t>CAST-255</t>
        </is>
      </c>
      <c r="B256" s="20" t="inlineStr">
        <is>
          <t>FILM-049</t>
        </is>
      </c>
      <c r="C256" s="5" t="inlineStr">
        <is>
          <t>Main Hoon Na</t>
        </is>
      </c>
      <c r="D256" s="17" t="n">
        <v>2004</v>
      </c>
      <c r="E256" s="5" t="inlineStr">
        <is>
          <t>Boman Irani</t>
        </is>
      </c>
      <c r="F256" s="5" t="inlineStr">
        <is>
          <t>Yogendra "Yogi" Agarwal</t>
        </is>
      </c>
      <c r="G256" s="5" t="inlineStr">
        <is>
          <t>Comic support</t>
        </is>
      </c>
      <c r="H256" s="5" t="inlineStr">
        <is>
          <t>Minor</t>
        </is>
      </c>
      <c r="I256" s="5" t="inlineStr">
        <is>
          <t>Principal of Ram's college</t>
        </is>
      </c>
      <c r="J256" s="5" t="inlineStr">
        <is>
          <t>Not applicable</t>
        </is>
      </c>
      <c r="K256" s="19" t="inlineStr">
        <is>
          <t>Eccentric principal of St. Paul's College, Darjeeling.</t>
        </is>
      </c>
      <c r="L256" s="5" t="n"/>
      <c r="M256" s="5" t="inlineStr">
        <is>
          <t>SOURCE-052</t>
        </is>
      </c>
    </row>
    <row r="257" ht="64" customHeight="1">
      <c r="A257" s="15" t="inlineStr">
        <is>
          <t>CAST-256</t>
        </is>
      </c>
      <c r="B257" s="20" t="inlineStr">
        <is>
          <t>FILM-049</t>
        </is>
      </c>
      <c r="C257" s="5" t="inlineStr">
        <is>
          <t>Main Hoon Na</t>
        </is>
      </c>
      <c r="D257" s="17" t="n">
        <v>2004</v>
      </c>
      <c r="E257" s="5" t="inlineStr">
        <is>
          <t>Kabir Bedi</t>
        </is>
      </c>
      <c r="F257" s="5" t="inlineStr">
        <is>
          <t>General Amarjeet Bakshi</t>
        </is>
      </c>
      <c r="G257" s="5" t="inlineStr">
        <is>
          <t>Authority figure</t>
        </is>
      </c>
      <c r="H257" s="5" t="inlineStr">
        <is>
          <t>Medium</t>
        </is>
      </c>
      <c r="I257" s="5" t="inlineStr">
        <is>
          <t>Ram's superior officer.</t>
        </is>
      </c>
      <c r="J257" s="5" t="inlineStr">
        <is>
          <t>Not applicable</t>
        </is>
      </c>
      <c r="K257" s="19" t="inlineStr">
        <is>
          <t>Survives Raghavan's assassination attempt when Brigadier Shekhar takes the bullet, then sends Ram undercover as a student to protect his estranged daughter Sanjana, with whom he later reconciles.</t>
        </is>
      </c>
      <c r="L257" s="5" t="n"/>
      <c r="M257" s="5" t="inlineStr">
        <is>
          <t>SOURCE-052</t>
        </is>
      </c>
    </row>
    <row r="258" ht="34" customHeight="1">
      <c r="A258" s="15" t="inlineStr">
        <is>
          <t>CAST-257</t>
        </is>
      </c>
      <c r="B258" s="20" t="inlineStr">
        <is>
          <t>FILM-050</t>
        </is>
      </c>
      <c r="C258" s="5" t="inlineStr">
        <is>
          <t>Veer-Zaara</t>
        </is>
      </c>
      <c r="D258" s="17" t="n">
        <v>2004</v>
      </c>
      <c r="E258" s="5" t="inlineStr">
        <is>
          <t>Rani Mukerji</t>
        </is>
      </c>
      <c r="F258" s="5" t="inlineStr">
        <is>
          <t>Saamiya Siddiqui</t>
        </is>
      </c>
      <c r="G258" s="5" t="inlineStr">
        <is>
          <t>Supporting</t>
        </is>
      </c>
      <c r="H258" s="5" t="inlineStr">
        <is>
          <t>Major</t>
        </is>
      </c>
      <c r="I258" s="5" t="inlineStr">
        <is>
          <t>Lawyer who defends prisoner 786 and restores Veer's identity</t>
        </is>
      </c>
      <c r="J258" s="5" t="inlineStr">
        <is>
          <t>Finds Zaara in Veer's village and reunites the lovers</t>
        </is>
      </c>
      <c r="K258" s="19" t="inlineStr">
        <is>
          <t>Budding Pakistani lawyer for whom Veer breaks 22 years of silence.</t>
        </is>
      </c>
      <c r="L258" s="5" t="n"/>
      <c r="M258" s="5" t="inlineStr">
        <is>
          <t>SOURCE-053</t>
        </is>
      </c>
    </row>
    <row r="259" ht="34" customHeight="1">
      <c r="A259" s="15" t="inlineStr">
        <is>
          <t>CAST-258</t>
        </is>
      </c>
      <c r="B259" s="20" t="inlineStr">
        <is>
          <t>FILM-050</t>
        </is>
      </c>
      <c r="C259" s="5" t="inlineStr">
        <is>
          <t>Veer-Zaara</t>
        </is>
      </c>
      <c r="D259" s="17" t="n">
        <v>2004</v>
      </c>
      <c r="E259" s="5" t="inlineStr">
        <is>
          <t>Manoj Bajpayee</t>
        </is>
      </c>
      <c r="F259" s="5" t="inlineStr">
        <is>
          <t>Raza Sharazi</t>
        </is>
      </c>
      <c r="G259" s="5" t="inlineStr">
        <is>
          <t>Romantic rival</t>
        </is>
      </c>
      <c r="H259" s="5" t="inlineStr">
        <is>
          <t>Major</t>
        </is>
      </c>
      <c r="I259" s="5" t="inlineStr">
        <is>
          <t>Has Veer imprisoned as a spy</t>
        </is>
      </c>
      <c r="J259" s="5" t="inlineStr">
        <is>
          <t>Zaara's fiancé</t>
        </is>
      </c>
      <c r="K259" s="19" t="inlineStr">
        <is>
          <t>Wealthy, influential politician who blackmails Veer into lifelong imprisonment.</t>
        </is>
      </c>
      <c r="L259" s="5" t="n"/>
      <c r="M259" s="5" t="inlineStr">
        <is>
          <t>SOURCE-053</t>
        </is>
      </c>
    </row>
    <row r="260" ht="34" customHeight="1">
      <c r="A260" s="15" t="inlineStr">
        <is>
          <t>CAST-259</t>
        </is>
      </c>
      <c r="B260" s="20" t="inlineStr">
        <is>
          <t>FILM-050</t>
        </is>
      </c>
      <c r="C260" s="5" t="inlineStr">
        <is>
          <t>Veer-Zaara</t>
        </is>
      </c>
      <c r="D260" s="17" t="n">
        <v>2004</v>
      </c>
      <c r="E260" s="5" t="inlineStr">
        <is>
          <t>Divya Dutta</t>
        </is>
      </c>
      <c r="F260" s="5" t="inlineStr">
        <is>
          <t>Shabina "Shabbo" Ibrahim</t>
        </is>
      </c>
      <c r="G260" s="5" t="inlineStr">
        <is>
          <t>Friend</t>
        </is>
      </c>
      <c r="H260" s="5" t="inlineStr">
        <is>
          <t>Medium</t>
        </is>
      </c>
      <c r="I260" s="5" t="inlineStr">
        <is>
          <t>Calls Veer to Pakistan</t>
        </is>
      </c>
      <c r="J260" s="5" t="inlineStr">
        <is>
          <t>Zaara's friend and ally</t>
        </is>
      </c>
      <c r="K260" s="19" t="inlineStr">
        <is>
          <t>Begs Veer to take Zaara away and later moves to his village with her.</t>
        </is>
      </c>
      <c r="L260" s="5" t="n"/>
      <c r="M260" s="5" t="inlineStr">
        <is>
          <t>SOURCE-053</t>
        </is>
      </c>
    </row>
    <row r="261" ht="34" customHeight="1">
      <c r="A261" s="15" t="inlineStr">
        <is>
          <t>CAST-260</t>
        </is>
      </c>
      <c r="B261" s="20" t="inlineStr">
        <is>
          <t>FILM-050</t>
        </is>
      </c>
      <c r="C261" s="5" t="inlineStr">
        <is>
          <t>Veer-Zaara</t>
        </is>
      </c>
      <c r="D261" s="17" t="n">
        <v>2004</v>
      </c>
      <c r="E261" s="5" t="inlineStr">
        <is>
          <t>Amitabh Bachchan</t>
        </is>
      </c>
      <c r="F261" s="5" t="inlineStr">
        <is>
          <t>Chaudhary Sumer Singh</t>
        </is>
      </c>
      <c r="G261" s="5" t="inlineStr">
        <is>
          <t>Family</t>
        </is>
      </c>
      <c r="H261" s="5" t="inlineStr">
        <is>
          <t>Medium</t>
        </is>
      </c>
      <c r="I261" s="5" t="inlineStr">
        <is>
          <t>Veer's foster father</t>
        </is>
      </c>
      <c r="J261" s="5" t="inlineStr">
        <is>
          <t>Welcomes Zaara to the village for Lohri</t>
        </is>
      </c>
      <c r="K261" s="19" t="inlineStr">
        <is>
          <t>Childless uncle who raised the orphaned Veer.</t>
        </is>
      </c>
      <c r="L261" s="5" t="n"/>
      <c r="M261" s="5" t="inlineStr">
        <is>
          <t>SOURCE-053</t>
        </is>
      </c>
    </row>
    <row r="262" ht="19" customHeight="1">
      <c r="A262" s="15" t="inlineStr">
        <is>
          <t>CAST-261</t>
        </is>
      </c>
      <c r="B262" s="20" t="inlineStr">
        <is>
          <t>FILM-050</t>
        </is>
      </c>
      <c r="C262" s="5" t="inlineStr">
        <is>
          <t>Veer-Zaara</t>
        </is>
      </c>
      <c r="D262" s="17" t="n">
        <v>2004</v>
      </c>
      <c r="E262" s="5" t="inlineStr">
        <is>
          <t>Hema Malini</t>
        </is>
      </c>
      <c r="F262" s="5" t="inlineStr">
        <is>
          <t>Saraswati Kaur</t>
        </is>
      </c>
      <c r="G262" s="5" t="inlineStr">
        <is>
          <t>Family</t>
        </is>
      </c>
      <c r="H262" s="5" t="inlineStr">
        <is>
          <t>Medium</t>
        </is>
      </c>
      <c r="I262" s="5" t="inlineStr">
        <is>
          <t>Veer's foster mother</t>
        </is>
      </c>
      <c r="J262" s="5" t="inlineStr">
        <is>
          <t>Welcomes Zaara to the village</t>
        </is>
      </c>
      <c r="K262" s="19" t="inlineStr">
        <is>
          <t>Loving aunt who raised Veer with her husband.</t>
        </is>
      </c>
      <c r="L262" s="5" t="n"/>
      <c r="M262" s="5" t="inlineStr">
        <is>
          <t>SOURCE-053</t>
        </is>
      </c>
    </row>
    <row r="263" ht="34" customHeight="1">
      <c r="A263" s="15" t="inlineStr">
        <is>
          <t>CAST-262</t>
        </is>
      </c>
      <c r="B263" s="20" t="inlineStr">
        <is>
          <t>FILM-050</t>
        </is>
      </c>
      <c r="C263" s="5" t="inlineStr">
        <is>
          <t>Veer-Zaara</t>
        </is>
      </c>
      <c r="D263" s="17" t="n">
        <v>2004</v>
      </c>
      <c r="E263" s="5" t="inlineStr">
        <is>
          <t>Kirron Kher</t>
        </is>
      </c>
      <c r="F263" s="5" t="inlineStr">
        <is>
          <t>Mariam Hayaat Khan</t>
        </is>
      </c>
      <c r="G263" s="5" t="inlineStr">
        <is>
          <t>Family</t>
        </is>
      </c>
      <c r="H263" s="5" t="inlineStr">
        <is>
          <t>Medium</t>
        </is>
      </c>
      <c r="I263" s="5" t="inlineStr">
        <is>
          <t>Begs Veer to leave Zaara</t>
        </is>
      </c>
      <c r="J263" s="5" t="inlineStr">
        <is>
          <t>Zaara's mother, who opposes the match for her husband's career</t>
        </is>
      </c>
      <c r="K263" s="19" t="inlineStr">
        <is>
          <t>Fears for her husband's reputation and health when Veer arrives in Pakistan.</t>
        </is>
      </c>
      <c r="L263" s="5" t="n"/>
      <c r="M263" s="5" t="inlineStr">
        <is>
          <t>SOURCE-053</t>
        </is>
      </c>
    </row>
    <row r="264" ht="49" customHeight="1">
      <c r="A264" s="15" t="inlineStr">
        <is>
          <t>CAST-263</t>
        </is>
      </c>
      <c r="B264" s="20" t="inlineStr">
        <is>
          <t>FILM-050</t>
        </is>
      </c>
      <c r="C264" s="5" t="inlineStr">
        <is>
          <t>Veer-Zaara</t>
        </is>
      </c>
      <c r="D264" s="17" t="n">
        <v>2004</v>
      </c>
      <c r="E264" s="5" t="inlineStr">
        <is>
          <t>Boman Irani</t>
        </is>
      </c>
      <c r="F264" s="5" t="inlineStr">
        <is>
          <t>Jehangir Hayat Khan</t>
        </is>
      </c>
      <c r="G264" s="5" t="inlineStr">
        <is>
          <t>Family</t>
        </is>
      </c>
      <c r="H264" s="5" t="inlineStr">
        <is>
          <t>Medium</t>
        </is>
      </c>
      <c r="I264" s="5" t="inlineStr">
        <is>
          <t>Father of Veer's beloved Zaara.</t>
        </is>
      </c>
      <c r="J264" s="5" t="inlineStr">
        <is>
          <t>His heart attack leads Zaara's mother to plead with Veer to give Zaara up.</t>
        </is>
      </c>
      <c r="K264" s="19" t="inlineStr">
        <is>
          <t>A powerful Pakistani politician; he suffers a heart attack when Zaara embraces Veer at a shrine in front of the family.</t>
        </is>
      </c>
      <c r="L264" s="5" t="n"/>
      <c r="M264" s="5" t="inlineStr">
        <is>
          <t>SOURCE-053</t>
        </is>
      </c>
    </row>
    <row r="265" ht="34" customHeight="1">
      <c r="A265" s="15" t="inlineStr">
        <is>
          <t>CAST-264</t>
        </is>
      </c>
      <c r="B265" s="20" t="inlineStr">
        <is>
          <t>FILM-051</t>
        </is>
      </c>
      <c r="C265" s="5" t="inlineStr">
        <is>
          <t>Swades</t>
        </is>
      </c>
      <c r="D265" s="17" t="n">
        <v>2004</v>
      </c>
      <c r="E265" s="5" t="inlineStr">
        <is>
          <t>Kishori Ballal</t>
        </is>
      </c>
      <c r="F265" s="5" t="inlineStr">
        <is>
          <t>Kaveri Amma</t>
        </is>
      </c>
      <c r="G265" s="5" t="inlineStr">
        <is>
          <t>Family</t>
        </is>
      </c>
      <c r="H265" s="5" t="inlineStr">
        <is>
          <t>Major</t>
        </is>
      </c>
      <c r="I265" s="5" t="inlineStr">
        <is>
          <t>Mohan's childhood nanny</t>
        </is>
      </c>
      <c r="J265" s="5" t="inlineStr">
        <is>
          <t>Wants to secure a marriage alliance for Gita</t>
        </is>
      </c>
      <c r="K265" s="19" t="inlineStr">
        <is>
          <t>The woman Mohan comes home to find; she declines to move to America.</t>
        </is>
      </c>
      <c r="L265" s="5" t="n"/>
      <c r="M265" s="5" t="inlineStr">
        <is>
          <t>SOURCE-054</t>
        </is>
      </c>
    </row>
    <row r="266" ht="34" customHeight="1">
      <c r="A266" s="15" t="inlineStr">
        <is>
          <t>CAST-265</t>
        </is>
      </c>
      <c r="B266" s="20" t="inlineStr">
        <is>
          <t>FILM-051</t>
        </is>
      </c>
      <c r="C266" s="5" t="inlineStr">
        <is>
          <t>Swades</t>
        </is>
      </c>
      <c r="D266" s="17" t="n">
        <v>2004</v>
      </c>
      <c r="E266" s="5" t="inlineStr">
        <is>
          <t>Rajesh Vivek</t>
        </is>
      </c>
      <c r="F266" s="5" t="inlineStr">
        <is>
          <t>Nivaaran Dayal Shrivastav</t>
        </is>
      </c>
      <c r="G266" s="5" t="inlineStr">
        <is>
          <t>Friend</t>
        </is>
      </c>
      <c r="H266" s="5" t="inlineStr">
        <is>
          <t>Medium</t>
        </is>
      </c>
      <c r="I266" s="5" t="inlineStr">
        <is>
          <t>Village postman who joins Mohan's campaigns</t>
        </is>
      </c>
      <c r="J266" s="5" t="inlineStr">
        <is>
          <t>Not applicable</t>
        </is>
      </c>
      <c r="K266" s="19" t="inlineStr">
        <is>
          <t>Local friend whom Mohan playfully wrestles in the final scene.</t>
        </is>
      </c>
      <c r="L266" s="5" t="n"/>
      <c r="M266" s="5" t="inlineStr">
        <is>
          <t>SOURCE-054</t>
        </is>
      </c>
    </row>
    <row r="267" ht="34" customHeight="1">
      <c r="A267" s="15" t="inlineStr">
        <is>
          <t>CAST-266</t>
        </is>
      </c>
      <c r="B267" s="20" t="inlineStr">
        <is>
          <t>FILM-051</t>
        </is>
      </c>
      <c r="C267" s="5" t="inlineStr">
        <is>
          <t>Swades</t>
        </is>
      </c>
      <c r="D267" s="17" t="n">
        <v>2004</v>
      </c>
      <c r="E267" s="5" t="inlineStr">
        <is>
          <t>Daya Shankar Pandey</t>
        </is>
      </c>
      <c r="F267" s="5" t="inlineStr">
        <is>
          <t>Mela Ram</t>
        </is>
      </c>
      <c r="G267" s="5" t="inlineStr">
        <is>
          <t>Friend</t>
        </is>
      </c>
      <c r="H267" s="5" t="inlineStr">
        <is>
          <t>Medium</t>
        </is>
      </c>
      <c r="I267" s="5" t="inlineStr">
        <is>
          <t>Eatery owner who joins Mohan's advocacy</t>
        </is>
      </c>
      <c r="J267" s="5" t="inlineStr">
        <is>
          <t>Not applicable</t>
        </is>
      </c>
      <c r="K267" s="19" t="inlineStr">
        <is>
          <t>Villager who helps Mohan win the community's support.</t>
        </is>
      </c>
      <c r="L267" s="5" t="n"/>
      <c r="M267" s="5" t="inlineStr">
        <is>
          <t>SOURCE-054</t>
        </is>
      </c>
    </row>
    <row r="268" ht="34" customHeight="1">
      <c r="A268" s="15" t="inlineStr">
        <is>
          <t>CAST-267</t>
        </is>
      </c>
      <c r="B268" s="20" t="inlineStr">
        <is>
          <t>FILM-051</t>
        </is>
      </c>
      <c r="C268" s="5" t="inlineStr">
        <is>
          <t>Swades</t>
        </is>
      </c>
      <c r="D268" s="17" t="n">
        <v>2004</v>
      </c>
      <c r="E268" s="5" t="inlineStr">
        <is>
          <t>Lekh Tandon</t>
        </is>
      </c>
      <c r="F268" s="5" t="inlineStr">
        <is>
          <t>Dadaji</t>
        </is>
      </c>
      <c r="G268" s="5" t="inlineStr">
        <is>
          <t>Authority figure</t>
        </is>
      </c>
      <c r="H268" s="5" t="inlineStr">
        <is>
          <t>Medium</t>
        </is>
      </c>
      <c r="I268" s="5" t="inlineStr">
        <is>
          <t>Village chief who comes to respect Mohan</t>
        </is>
      </c>
      <c r="J268" s="5" t="inlineStr">
        <is>
          <t>Not applicable</t>
        </is>
      </c>
      <c r="K268" s="19" t="inlineStr">
        <is>
          <t>Benevolent head of Charanpur whose death coincides with NASA's call for Mohan's return.</t>
        </is>
      </c>
      <c r="L268" s="5" t="n"/>
      <c r="M268" s="5" t="inlineStr">
        <is>
          <t>SOURCE-054</t>
        </is>
      </c>
    </row>
    <row r="269" ht="49" customHeight="1">
      <c r="A269" s="15" t="inlineStr">
        <is>
          <t>CAST-268</t>
        </is>
      </c>
      <c r="B269" s="20" t="inlineStr">
        <is>
          <t>FILM-051</t>
        </is>
      </c>
      <c r="C269" s="5" t="inlineStr">
        <is>
          <t>Swades</t>
        </is>
      </c>
      <c r="D269" s="17" t="n">
        <v>2004</v>
      </c>
      <c r="E269" s="5" t="inlineStr">
        <is>
          <t>Smith Seth</t>
        </is>
      </c>
      <c r="F269" s="5" t="inlineStr">
        <is>
          <t>Nandan 'Chiku'</t>
        </is>
      </c>
      <c r="G269" s="5" t="inlineStr">
        <is>
          <t>Supporting</t>
        </is>
      </c>
      <c r="H269" s="5" t="inlineStr">
        <is>
          <t>Medium</t>
        </is>
      </c>
      <c r="I269" s="5" t="inlineStr">
        <is>
          <t>Younger brother of Mohan's childhood friend Geeta, living in the household where Kaveri Amma stays.</t>
        </is>
      </c>
      <c r="J269" s="5" t="inlineStr">
        <is>
          <t>Geeta's younger brother; Geeta fears Mohan will take Kaveri Amma away and leave her and Nandan isolated.</t>
        </is>
      </c>
      <c r="K269" s="19" t="inlineStr">
        <is>
          <t>Geeta's younger brother in Charanpur. His presence is part of Geeta's initial resentment of Mohan's visit.</t>
        </is>
      </c>
      <c r="L269" s="5" t="n"/>
      <c r="M269" s="5" t="inlineStr">
        <is>
          <t>SOURCE-054</t>
        </is>
      </c>
    </row>
    <row r="270" ht="34" customHeight="1">
      <c r="A270" s="15" t="inlineStr">
        <is>
          <t>CAST-269</t>
        </is>
      </c>
      <c r="B270" s="20" t="inlineStr">
        <is>
          <t>FILM-051</t>
        </is>
      </c>
      <c r="C270" s="5" t="inlineStr">
        <is>
          <t>Swades</t>
        </is>
      </c>
      <c r="D270" s="17" t="n">
        <v>2004</v>
      </c>
      <c r="E270" s="5" t="inlineStr">
        <is>
          <t>Rahul Vohra</t>
        </is>
      </c>
      <c r="F270" s="5" t="inlineStr">
        <is>
          <t>Vinod Raaz</t>
        </is>
      </c>
      <c r="G270" s="5" t="inlineStr">
        <is>
          <t>Supporting</t>
        </is>
      </c>
      <c r="H270" s="5" t="inlineStr">
        <is>
          <t>Minor</t>
        </is>
      </c>
      <c r="I270" s="5" t="inlineStr">
        <is>
          <t>Mohan's colleague.</t>
        </is>
      </c>
      <c r="J270" s="5" t="inlineStr">
        <is>
          <t>Not applicable</t>
        </is>
      </c>
      <c r="K270" s="19" t="inlineStr">
        <is>
          <t>Mohan's colleague, part of the NASA working life Mohan must weigh against his new purpose in Charanpur.</t>
        </is>
      </c>
      <c r="L270" s="5" t="n"/>
      <c r="M270" s="5" t="inlineStr">
        <is>
          <t>SOURCE-054</t>
        </is>
      </c>
    </row>
    <row r="271" ht="34" customHeight="1">
      <c r="A271" s="15" t="inlineStr">
        <is>
          <t>CAST-270</t>
        </is>
      </c>
      <c r="B271" s="20" t="inlineStr">
        <is>
          <t>FILM-051</t>
        </is>
      </c>
      <c r="C271" s="5" t="inlineStr">
        <is>
          <t>Swades</t>
        </is>
      </c>
      <c r="D271" s="17" t="n">
        <v>2004</v>
      </c>
      <c r="E271" s="5" t="inlineStr">
        <is>
          <t>Makarand Deshpande</t>
        </is>
      </c>
      <c r="F271" s="5" t="inlineStr">
        <is>
          <t>Fakir</t>
        </is>
      </c>
      <c r="G271" s="5" t="inlineStr">
        <is>
          <t>Supporting</t>
        </is>
      </c>
      <c r="H271" s="5" t="inlineStr">
        <is>
          <t>Minor</t>
        </is>
      </c>
      <c r="I271" s="5" t="inlineStr">
        <is>
          <t>A traveller who shows Mohan the way to Charanpur.</t>
        </is>
      </c>
      <c r="J271" s="5" t="inlineStr">
        <is>
          <t>Not applicable</t>
        </is>
      </c>
      <c r="K271" s="19" t="inlineStr">
        <is>
          <t>A traveller Mohan meets on his road journey, who shows him the way to Charanpur.</t>
        </is>
      </c>
      <c r="L271" s="5" t="n"/>
      <c r="M271" s="5" t="inlineStr">
        <is>
          <t>SOURCE-054</t>
        </is>
      </c>
    </row>
    <row r="272" ht="34" customHeight="1">
      <c r="A272" s="15" t="inlineStr">
        <is>
          <t>CAST-271</t>
        </is>
      </c>
      <c r="B272" s="20" t="inlineStr">
        <is>
          <t>FILM-052</t>
        </is>
      </c>
      <c r="C272" s="5" t="inlineStr">
        <is>
          <t>Kuchh Meetha Ho Jaye</t>
        </is>
      </c>
      <c r="D272" s="17" t="n">
        <v>2005</v>
      </c>
      <c r="E272" s="5" t="inlineStr">
        <is>
          <t>Arshad Warsi</t>
        </is>
      </c>
      <c r="F272" s="5" t="inlineStr">
        <is>
          <t>S. R. Khan</t>
        </is>
      </c>
      <c r="G272" s="5" t="inlineStr">
        <is>
          <t>Co-lead</t>
        </is>
      </c>
      <c r="H272" s="5" t="inlineStr">
        <is>
          <t>Major</t>
        </is>
      </c>
      <c r="I272" s="5" t="inlineStr">
        <is>
          <t>Lead of the film in which Khan appears as himself</t>
        </is>
      </c>
      <c r="J272" s="5" t="inlineStr">
        <is>
          <t>Not applicable</t>
        </is>
      </c>
      <c r="K272" s="19" t="inlineStr">
        <is>
          <t>Manager who meets his former sweetheart Gulab in the ensemble's intersecting stories.</t>
        </is>
      </c>
      <c r="L272" s="5" t="n"/>
      <c r="M272" s="5" t="inlineStr">
        <is>
          <t>SOURCE-055</t>
        </is>
      </c>
    </row>
    <row r="273" ht="19" customHeight="1">
      <c r="A273" s="15" t="inlineStr">
        <is>
          <t>CAST-272</t>
        </is>
      </c>
      <c r="B273" s="20" t="inlineStr">
        <is>
          <t>FILM-052</t>
        </is>
      </c>
      <c r="C273" s="5" t="inlineStr">
        <is>
          <t>Kuchh Meetha Ho Jaye</t>
        </is>
      </c>
      <c r="D273" s="17" t="n">
        <v>2005</v>
      </c>
      <c r="E273" s="5" t="inlineStr">
        <is>
          <t>Mahima Chaudhry</t>
        </is>
      </c>
      <c r="F273" s="5" t="inlineStr">
        <is>
          <t>Gulab Khan</t>
        </is>
      </c>
      <c r="G273" s="5" t="inlineStr">
        <is>
          <t>Co-lead</t>
        </is>
      </c>
      <c r="H273" s="5" t="inlineStr">
        <is>
          <t>Major</t>
        </is>
      </c>
      <c r="I273" s="5" t="inlineStr">
        <is>
          <t>Not directly connected</t>
        </is>
      </c>
      <c r="J273" s="5" t="inlineStr">
        <is>
          <t>Not applicable</t>
        </is>
      </c>
      <c r="K273" s="19" t="inlineStr">
        <is>
          <t>S. R. Khan's former sweetheart, now married.</t>
        </is>
      </c>
      <c r="L273" s="5" t="n"/>
      <c r="M273" s="5" t="inlineStr">
        <is>
          <t>SOURCE-055</t>
        </is>
      </c>
    </row>
    <row r="274" ht="64" customHeight="1">
      <c r="A274" s="15" t="inlineStr">
        <is>
          <t>CAST-273</t>
        </is>
      </c>
      <c r="B274" s="20" t="inlineStr">
        <is>
          <t>FILM-052</t>
        </is>
      </c>
      <c r="C274" s="5" t="inlineStr">
        <is>
          <t>Kuchh Meetha Ho Jaye</t>
        </is>
      </c>
      <c r="D274" s="17" t="n">
        <v>2005</v>
      </c>
      <c r="E274" s="5" t="inlineStr">
        <is>
          <t>Parvin Dabas</t>
        </is>
      </c>
      <c r="F274" s="5" t="inlineStr">
        <is>
          <t>Siddharth</t>
        </is>
      </c>
      <c r="G274" s="5" t="inlineStr">
        <is>
          <t>Co-lead</t>
        </is>
      </c>
      <c r="H274" s="5" t="inlineStr">
        <is>
          <t>Medium</t>
        </is>
      </c>
      <c r="I274" s="5" t="inlineStr">
        <is>
          <t>One of the stranded passengers in the ensemble; does not share a storyline with Shah Rukh Khan's cameo as himself.</t>
        </is>
      </c>
      <c r="J274" s="5" t="inlineStr">
        <is>
          <t>Not applicable</t>
        </is>
      </c>
      <c r="K274" s="19" t="inlineStr">
        <is>
          <t>A stranded passenger who has only a few hours to decide whether to marry Anita Ahuja or Manju Narang, cousins who both want to be his wife. Billed third among the film's stars.</t>
        </is>
      </c>
      <c r="L274" s="5" t="n"/>
      <c r="M274" s="5" t="inlineStr">
        <is>
          <t>SOURCE-055</t>
        </is>
      </c>
    </row>
    <row r="275" ht="34" customHeight="1">
      <c r="A275" s="15" t="inlineStr">
        <is>
          <t>CAST-274</t>
        </is>
      </c>
      <c r="B275" s="20" t="inlineStr">
        <is>
          <t>FILM-053</t>
        </is>
      </c>
      <c r="C275" s="5" t="inlineStr">
        <is>
          <t>Kaal</t>
        </is>
      </c>
      <c r="D275" s="17" t="n">
        <v>2005</v>
      </c>
      <c r="E275" s="5" t="inlineStr">
        <is>
          <t>Ajay Devgn</t>
        </is>
      </c>
      <c r="F275" s="5" t="inlineStr">
        <is>
          <t>Kaali Pratap Singh</t>
        </is>
      </c>
      <c r="G275" s="5" t="inlineStr">
        <is>
          <t>Co-lead</t>
        </is>
      </c>
      <c r="H275" s="5" t="inlineStr">
        <is>
          <t>Major</t>
        </is>
      </c>
      <c r="I275" s="5" t="inlineStr">
        <is>
          <t>Lead of the film in which Khan appears in a song</t>
        </is>
      </c>
      <c r="J275" s="5" t="inlineStr">
        <is>
          <t>Not applicable</t>
        </is>
      </c>
      <c r="K275" s="19" t="inlineStr">
        <is>
          <t>Mysterious figure in the jungle who arranges attempts on the group's lives.</t>
        </is>
      </c>
      <c r="L275" s="5" t="n"/>
      <c r="M275" s="5" t="inlineStr">
        <is>
          <t>SOURCE-056</t>
        </is>
      </c>
    </row>
    <row r="276" ht="34" customHeight="1">
      <c r="A276" s="15" t="inlineStr">
        <is>
          <t>CAST-275</t>
        </is>
      </c>
      <c r="B276" s="20" t="inlineStr">
        <is>
          <t>FILM-053</t>
        </is>
      </c>
      <c r="C276" s="5" t="inlineStr">
        <is>
          <t>Kaal</t>
        </is>
      </c>
      <c r="D276" s="17" t="n">
        <v>2005</v>
      </c>
      <c r="E276" s="5" t="inlineStr">
        <is>
          <t>John Abraham</t>
        </is>
      </c>
      <c r="F276" s="5" t="inlineStr">
        <is>
          <t>Krish Thapar</t>
        </is>
      </c>
      <c r="G276" s="5" t="inlineStr">
        <is>
          <t>Co-lead</t>
        </is>
      </c>
      <c r="H276" s="5" t="inlineStr">
        <is>
          <t>Major</t>
        </is>
      </c>
      <c r="I276" s="5" t="inlineStr">
        <is>
          <t>Not directly connected</t>
        </is>
      </c>
      <c r="J276" s="5" t="inlineStr">
        <is>
          <t>Not applicable</t>
        </is>
      </c>
      <c r="K276" s="19" t="inlineStr">
        <is>
          <t>Wildlife expert who, with his wife and friends, battles the entity in Orbit National Park.</t>
        </is>
      </c>
      <c r="L276" s="5" t="n"/>
      <c r="M276" s="5" t="inlineStr">
        <is>
          <t>SOURCE-056</t>
        </is>
      </c>
    </row>
    <row r="277" ht="19" customHeight="1">
      <c r="A277" s="15" t="inlineStr">
        <is>
          <t>CAST-276</t>
        </is>
      </c>
      <c r="B277" s="20" t="inlineStr">
        <is>
          <t>FILM-053</t>
        </is>
      </c>
      <c r="C277" s="5" t="inlineStr">
        <is>
          <t>Kaal</t>
        </is>
      </c>
      <c r="D277" s="17" t="n">
        <v>2005</v>
      </c>
      <c r="E277" s="5" t="inlineStr">
        <is>
          <t>Malaika Arora</t>
        </is>
      </c>
      <c r="F277" s="5" t="inlineStr">
        <is>
          <t>Herself</t>
        </is>
      </c>
      <c r="G277" s="5" t="inlineStr">
        <is>
          <t>Self appearance</t>
        </is>
      </c>
      <c r="H277" s="5" t="inlineStr">
        <is>
          <t>Minor</t>
        </is>
      </c>
      <c r="I277" s="5" t="inlineStr">
        <is>
          <t>Dances with Khan in 'Kaal Dhamaal'</t>
        </is>
      </c>
      <c r="J277" s="5" t="inlineStr">
        <is>
          <t>Not applicable</t>
        </is>
      </c>
      <c r="K277" s="19" t="inlineStr">
        <is>
          <t>Special appearance in the song 'Kaal Dhamaal'.</t>
        </is>
      </c>
      <c r="L277" s="5" t="n"/>
      <c r="M277" s="5" t="inlineStr">
        <is>
          <t>SOURCE-056</t>
        </is>
      </c>
    </row>
    <row r="278" ht="64" customHeight="1">
      <c r="A278" s="15" t="inlineStr">
        <is>
          <t>CAST-277</t>
        </is>
      </c>
      <c r="B278" s="20" t="inlineStr">
        <is>
          <t>FILM-053</t>
        </is>
      </c>
      <c r="C278" s="5" t="inlineStr">
        <is>
          <t>Kaal</t>
        </is>
      </c>
      <c r="D278" s="17" t="n">
        <v>2005</v>
      </c>
      <c r="E278" s="5" t="inlineStr">
        <is>
          <t>Vivek Oberoi</t>
        </is>
      </c>
      <c r="F278" s="5" t="inlineStr">
        <is>
          <t>Dev Malhotra</t>
        </is>
      </c>
      <c r="G278" s="5" t="inlineStr">
        <is>
          <t>Co-lead</t>
        </is>
      </c>
      <c r="H278" s="5" t="inlineStr">
        <is>
          <t>Major</t>
        </is>
      </c>
      <c r="I278" s="5" t="inlineStr">
        <is>
          <t>One of the film's leads; no storyline with Shah Rukh Khan, who appears only in the song "Kaal Dhamaal".</t>
        </is>
      </c>
      <c r="J278" s="5" t="inlineStr">
        <is>
          <t>Not applicable</t>
        </is>
      </c>
      <c r="K278" s="19" t="inlineStr">
        <is>
          <t>A young man on a hunting trip with his girlfriend Ishika and friends. He discovers that Kaali has no reflection and does not appear in Vishal's videos, realises Kaali is a ghost, and escapes the jungle with Krish and Ishika.</t>
        </is>
      </c>
      <c r="L278" s="5" t="n"/>
      <c r="M278" s="5" t="inlineStr">
        <is>
          <t>SOURCE-056</t>
        </is>
      </c>
    </row>
    <row r="279" ht="49" customHeight="1">
      <c r="A279" s="15" t="inlineStr">
        <is>
          <t>CAST-278</t>
        </is>
      </c>
      <c r="B279" s="20" t="inlineStr">
        <is>
          <t>FILM-053</t>
        </is>
      </c>
      <c r="C279" s="5" t="inlineStr">
        <is>
          <t>Kaal</t>
        </is>
      </c>
      <c r="D279" s="17" t="n">
        <v>2005</v>
      </c>
      <c r="E279" s="5" t="inlineStr">
        <is>
          <t>Esha Deol</t>
        </is>
      </c>
      <c r="F279" s="5" t="inlineStr">
        <is>
          <t>Riya Thapar</t>
        </is>
      </c>
      <c r="G279" s="5" t="inlineStr">
        <is>
          <t>Co-lead</t>
        </is>
      </c>
      <c r="H279" s="5" t="inlineStr">
        <is>
          <t>Medium</t>
        </is>
      </c>
      <c r="I279" s="5" t="inlineStr">
        <is>
          <t>One of the film's credited stars; no storyline with Shah Rukh Khan's song appearance.</t>
        </is>
      </c>
      <c r="J279" s="5" t="inlineStr">
        <is>
          <t>Not applicable</t>
        </is>
      </c>
      <c r="K279" s="19" t="inlineStr">
        <is>
          <t>Wife of National Geographic correspondent Krish Thapar, who accompanies him to the park. Ignoring Kaali's warning, she goes to the well at night, is pulled in and drowns.</t>
        </is>
      </c>
      <c r="L279" s="5" t="n"/>
      <c r="M279" s="5" t="inlineStr">
        <is>
          <t>SOURCE-056</t>
        </is>
      </c>
    </row>
    <row r="280" ht="49" customHeight="1">
      <c r="A280" s="15" t="inlineStr">
        <is>
          <t>CAST-279</t>
        </is>
      </c>
      <c r="B280" s="20" t="inlineStr">
        <is>
          <t>FILM-053</t>
        </is>
      </c>
      <c r="C280" s="5" t="inlineStr">
        <is>
          <t>Kaal</t>
        </is>
      </c>
      <c r="D280" s="17" t="n">
        <v>2005</v>
      </c>
      <c r="E280" s="5" t="inlineStr">
        <is>
          <t>Lara Dutta</t>
        </is>
      </c>
      <c r="F280" s="5" t="inlineStr">
        <is>
          <t>Ishika Malhotra</t>
        </is>
      </c>
      <c r="G280" s="5" t="inlineStr">
        <is>
          <t>Co-lead</t>
        </is>
      </c>
      <c r="H280" s="5" t="inlineStr">
        <is>
          <t>Medium</t>
        </is>
      </c>
      <c r="I280" s="5" t="inlineStr">
        <is>
          <t>One of the film's credited stars; no storyline with Shah Rukh Khan's song appearance.</t>
        </is>
      </c>
      <c r="J280" s="5" t="inlineStr">
        <is>
          <t>Not applicable</t>
        </is>
      </c>
      <c r="K280" s="19" t="inlineStr">
        <is>
          <t>Dev's girlfriend on the hunting trip. She is one of the three survivors who escape the jungle with Krish and Dev.</t>
        </is>
      </c>
      <c r="L280" s="5" t="n"/>
      <c r="M280" s="5" t="inlineStr">
        <is>
          <t>SOURCE-056</t>
        </is>
      </c>
    </row>
    <row r="281" ht="34" customHeight="1">
      <c r="A281" s="15" t="inlineStr">
        <is>
          <t>CAST-280</t>
        </is>
      </c>
      <c r="B281" s="20" t="inlineStr">
        <is>
          <t>FILM-054</t>
        </is>
      </c>
      <c r="C281" s="5" t="inlineStr">
        <is>
          <t>Silsiilay</t>
        </is>
      </c>
      <c r="D281" s="17" t="n">
        <v>2005</v>
      </c>
      <c r="E281" s="5" t="inlineStr">
        <is>
          <t>Tabu</t>
        </is>
      </c>
      <c r="F281" s="5" t="inlineStr">
        <is>
          <t>Rehana Ahmed Bhoy</t>
        </is>
      </c>
      <c r="G281" s="5" t="inlineStr">
        <is>
          <t>Co-lead</t>
        </is>
      </c>
      <c r="H281" s="5" t="inlineStr">
        <is>
          <t>Major</t>
        </is>
      </c>
      <c r="I281" s="5" t="inlineStr">
        <is>
          <t>Heroine of a story Khan narrates</t>
        </is>
      </c>
      <c r="J281" s="5" t="inlineStr">
        <is>
          <t>Not applicable</t>
        </is>
      </c>
      <c r="K281" s="19" t="inlineStr">
        <is>
          <t>Housewife who confronts her husband Anwar's affair with an air hostess.</t>
        </is>
      </c>
      <c r="L281" s="5" t="n"/>
      <c r="M281" s="5" t="inlineStr">
        <is>
          <t>SOURCE-057</t>
        </is>
      </c>
    </row>
    <row r="282" ht="34" customHeight="1">
      <c r="A282" s="15" t="inlineStr">
        <is>
          <t>CAST-281</t>
        </is>
      </c>
      <c r="B282" s="20" t="inlineStr">
        <is>
          <t>FILM-054</t>
        </is>
      </c>
      <c r="C282" s="5" t="inlineStr">
        <is>
          <t>Silsiilay</t>
        </is>
      </c>
      <c r="D282" s="17" t="n">
        <v>2005</v>
      </c>
      <c r="E282" s="5" t="inlineStr">
        <is>
          <t>Bhumika Chawla</t>
        </is>
      </c>
      <c r="F282" s="5" t="inlineStr">
        <is>
          <t>Ziya Rao Katyal</t>
        </is>
      </c>
      <c r="G282" s="5" t="inlineStr">
        <is>
          <t>Co-lead</t>
        </is>
      </c>
      <c r="H282" s="5" t="inlineStr">
        <is>
          <t>Major</t>
        </is>
      </c>
      <c r="I282" s="5" t="inlineStr">
        <is>
          <t>Heroine of a story Khan narrates</t>
        </is>
      </c>
      <c r="J282" s="5" t="inlineStr">
        <is>
          <t>Not applicable</t>
        </is>
      </c>
      <c r="K282" s="19" t="inlineStr">
        <is>
          <t>Rising actress whose mentor and live-in partner Neel refuses the child she wants.</t>
        </is>
      </c>
      <c r="L282" s="5" t="n"/>
      <c r="M282" s="5" t="inlineStr">
        <is>
          <t>SOURCE-057</t>
        </is>
      </c>
    </row>
    <row r="283" ht="64" customHeight="1">
      <c r="A283" s="15" t="inlineStr">
        <is>
          <t>CAST-282</t>
        </is>
      </c>
      <c r="B283" s="20" t="inlineStr">
        <is>
          <t>FILM-054</t>
        </is>
      </c>
      <c r="C283" s="5" t="inlineStr">
        <is>
          <t>Silsiilay</t>
        </is>
      </c>
      <c r="D283" s="17" t="n">
        <v>2005</v>
      </c>
      <c r="E283" s="5" t="inlineStr">
        <is>
          <t>Riya Sen</t>
        </is>
      </c>
      <c r="F283" s="5" t="inlineStr">
        <is>
          <t>Anushka Verma</t>
        </is>
      </c>
      <c r="G283" s="5" t="inlineStr">
        <is>
          <t>Co-lead</t>
        </is>
      </c>
      <c r="H283" s="5" t="inlineStr">
        <is>
          <t>Major</t>
        </is>
      </c>
      <c r="I283" s="5" t="inlineStr">
        <is>
          <t>Heroine of one of the film's three stories, which Shah Rukh Khan's Sutradhaar narrates.</t>
        </is>
      </c>
      <c r="J283" s="5" t="inlineStr">
        <is>
          <t>Not applicable</t>
        </is>
      </c>
      <c r="K283" s="19" t="inlineStr">
        <is>
          <t>A telephone receptionist who longs for tenderness with her wealthy suitor Nikhil while her colleague Tarun loves her silently; she must choose between them in a finale with a twist.</t>
        </is>
      </c>
      <c r="L283" s="5" t="n"/>
      <c r="M283" s="5" t="inlineStr">
        <is>
          <t>SOURCE-057</t>
        </is>
      </c>
    </row>
    <row r="284" ht="49" customHeight="1">
      <c r="A284" s="15" t="inlineStr">
        <is>
          <t>CAST-283</t>
        </is>
      </c>
      <c r="B284" s="20" t="inlineStr">
        <is>
          <t>FILM-054</t>
        </is>
      </c>
      <c r="C284" s="5" t="inlineStr">
        <is>
          <t>Silsiilay</t>
        </is>
      </c>
      <c r="D284" s="17" t="n">
        <v>2005</v>
      </c>
      <c r="E284" s="5" t="inlineStr">
        <is>
          <t>Rahul Bose</t>
        </is>
      </c>
      <c r="F284" s="5" t="inlineStr">
        <is>
          <t>Neel Kashyap</t>
        </is>
      </c>
      <c r="G284" s="5" t="inlineStr">
        <is>
          <t>Supporting</t>
        </is>
      </c>
      <c r="H284" s="5" t="inlineStr">
        <is>
          <t>Medium</t>
        </is>
      </c>
      <c r="I284" s="5" t="inlineStr">
        <is>
          <t>Part of Ziya's story, which the narrator presents.</t>
        </is>
      </c>
      <c r="J284" s="5" t="inlineStr">
        <is>
          <t>Not applicable</t>
        </is>
      </c>
      <c r="K284" s="19" t="inlineStr">
        <is>
          <t>The man who groomed Ziya for a film career and is her live-in partner. He does not want the responsibility of a child, and moves on to another girlfriend.</t>
        </is>
      </c>
      <c r="L284" s="5" t="n"/>
      <c r="M284" s="5" t="inlineStr">
        <is>
          <t>SOURCE-057</t>
        </is>
      </c>
    </row>
    <row r="285" ht="34" customHeight="1">
      <c r="A285" s="15" t="inlineStr">
        <is>
          <t>CAST-284</t>
        </is>
      </c>
      <c r="B285" s="20" t="inlineStr">
        <is>
          <t>FILM-054</t>
        </is>
      </c>
      <c r="C285" s="5" t="inlineStr">
        <is>
          <t>Silsiilay</t>
        </is>
      </c>
      <c r="D285" s="17" t="n">
        <v>2005</v>
      </c>
      <c r="E285" s="5" t="inlineStr">
        <is>
          <t>Kay Kay Menon</t>
        </is>
      </c>
      <c r="F285" s="5" t="inlineStr">
        <is>
          <t>Anwar Ahmed Bhoy</t>
        </is>
      </c>
      <c r="G285" s="5" t="inlineStr">
        <is>
          <t>Supporting</t>
        </is>
      </c>
      <c r="H285" s="5" t="inlineStr">
        <is>
          <t>Medium</t>
        </is>
      </c>
      <c r="I285" s="5" t="inlineStr">
        <is>
          <t>Part of Rehana's story, which the narrator presents.</t>
        </is>
      </c>
      <c r="J285" s="5" t="inlineStr">
        <is>
          <t>Not applicable</t>
        </is>
      </c>
      <c r="K285" s="19" t="inlineStr">
        <is>
          <t>Rehana's husband, who is unfaithful to her with an air hostess, Preeti.</t>
        </is>
      </c>
      <c r="L285" s="5" t="n"/>
      <c r="M285" s="5" t="inlineStr">
        <is>
          <t>SOURCE-057</t>
        </is>
      </c>
    </row>
    <row r="286" ht="34" customHeight="1">
      <c r="A286" s="15" t="inlineStr">
        <is>
          <t>CAST-285</t>
        </is>
      </c>
      <c r="B286" s="20" t="inlineStr">
        <is>
          <t>FILM-055</t>
        </is>
      </c>
      <c r="C286" s="5" t="inlineStr">
        <is>
          <t>Paheli</t>
        </is>
      </c>
      <c r="D286" s="17" t="n">
        <v>2005</v>
      </c>
      <c r="E286" s="5" t="inlineStr">
        <is>
          <t>Anupam Kher</t>
        </is>
      </c>
      <c r="F286" s="5" t="inlineStr">
        <is>
          <t>Bhanwarlal</t>
        </is>
      </c>
      <c r="G286" s="5" t="inlineStr">
        <is>
          <t>Family</t>
        </is>
      </c>
      <c r="H286" s="5" t="inlineStr">
        <is>
          <t>Major</t>
        </is>
      </c>
      <c r="I286" s="5" t="inlineStr">
        <is>
          <t>Kishanlal's father</t>
        </is>
      </c>
      <c r="J286" s="5" t="inlineStr">
        <is>
          <t>Sends Kishanlal away on business; accepts the ghost as his son</t>
        </is>
      </c>
      <c r="K286" s="19" t="inlineStr">
        <is>
          <t>Wealthy merchant charmed by the ghost's five gold coins a day and his win in the camel race.</t>
        </is>
      </c>
      <c r="L286" s="5" t="n"/>
      <c r="M286" s="5" t="inlineStr">
        <is>
          <t>SOURCE-058</t>
        </is>
      </c>
    </row>
    <row r="287" ht="34" customHeight="1">
      <c r="A287" s="15" t="inlineStr">
        <is>
          <t>CAST-286</t>
        </is>
      </c>
      <c r="B287" s="20" t="inlineStr">
        <is>
          <t>FILM-055</t>
        </is>
      </c>
      <c r="C287" s="5" t="inlineStr">
        <is>
          <t>Paheli</t>
        </is>
      </c>
      <c r="D287" s="17" t="n">
        <v>2005</v>
      </c>
      <c r="E287" s="5" t="inlineStr">
        <is>
          <t>Amitabh Bachchan</t>
        </is>
      </c>
      <c r="F287" s="5" t="inlineStr">
        <is>
          <t>Gadariya (the shepherd)</t>
        </is>
      </c>
      <c r="G287" s="5" t="inlineStr">
        <is>
          <t>Authority figure</t>
        </is>
      </c>
      <c r="H287" s="5" t="inlineStr">
        <is>
          <t>Medium</t>
        </is>
      </c>
      <c r="I287" s="5" t="inlineStr">
        <is>
          <t>Devises the tests that expose the ghost</t>
        </is>
      </c>
      <c r="J287" s="5" t="inlineStr">
        <is>
          <t>Traps the ghost in a bottle</t>
        </is>
      </c>
      <c r="K287" s="19" t="inlineStr">
        <is>
          <t>Old shepherd whose third test, entering a water bottle, reveals the true lover. Special appearance.</t>
        </is>
      </c>
      <c r="L287" s="5" t="n"/>
      <c r="M287" s="5" t="inlineStr">
        <is>
          <t>SOURCE-058</t>
        </is>
      </c>
    </row>
    <row r="288" ht="34" customHeight="1">
      <c r="A288" s="15" t="inlineStr">
        <is>
          <t>CAST-287</t>
        </is>
      </c>
      <c r="B288" s="20" t="inlineStr">
        <is>
          <t>FILM-055</t>
        </is>
      </c>
      <c r="C288" s="5" t="inlineStr">
        <is>
          <t>Paheli</t>
        </is>
      </c>
      <c r="D288" s="17" t="n">
        <v>2005</v>
      </c>
      <c r="E288" s="5" t="inlineStr">
        <is>
          <t>Juhi Chawla</t>
        </is>
      </c>
      <c r="F288" s="5" t="inlineStr">
        <is>
          <t>Gajrobai</t>
        </is>
      </c>
      <c r="G288" s="5" t="inlineStr">
        <is>
          <t>Family</t>
        </is>
      </c>
      <c r="H288" s="5" t="inlineStr">
        <is>
          <t>Medium</t>
        </is>
      </c>
      <c r="I288" s="5" t="inlineStr">
        <is>
          <t>Kishanlal's sister-in-law</t>
        </is>
      </c>
      <c r="J288" s="5" t="inlineStr">
        <is>
          <t>Consoles the abandoned Lachchi</t>
        </is>
      </c>
      <c r="K288" s="19" t="inlineStr">
        <is>
          <t>Wife of the long-vanished Sunderlal, who returns to her at the end.</t>
        </is>
      </c>
      <c r="L288" s="5" t="n"/>
      <c r="M288" s="5" t="inlineStr">
        <is>
          <t>SOURCE-058</t>
        </is>
      </c>
    </row>
    <row r="289" ht="34" customHeight="1">
      <c r="A289" s="15" t="inlineStr">
        <is>
          <t>CAST-288</t>
        </is>
      </c>
      <c r="B289" s="20" t="inlineStr">
        <is>
          <t>FILM-055</t>
        </is>
      </c>
      <c r="C289" s="5" t="inlineStr">
        <is>
          <t>Paheli</t>
        </is>
      </c>
      <c r="D289" s="17" t="n">
        <v>2005</v>
      </c>
      <c r="E289" s="5" t="inlineStr">
        <is>
          <t>Rajpal Yadav</t>
        </is>
      </c>
      <c r="F289" s="5" t="inlineStr">
        <is>
          <t>Bhoja</t>
        </is>
      </c>
      <c r="G289" s="5" t="inlineStr">
        <is>
          <t>Comic support</t>
        </is>
      </c>
      <c r="H289" s="5" t="inlineStr">
        <is>
          <t>Medium</t>
        </is>
      </c>
      <c r="I289" s="5" t="inlineStr">
        <is>
          <t>Kishanlal's servant</t>
        </is>
      </c>
      <c r="J289" s="5" t="inlineStr">
        <is>
          <t>His grudge against the ghost delays the real Kishanlal's discovery</t>
        </is>
      </c>
      <c r="K289" s="19" t="inlineStr">
        <is>
          <t>Offended when 'Kishanlal' does not offer him water; his wife later burns Kishanlal's letter.</t>
        </is>
      </c>
      <c r="L289" s="5" t="n"/>
      <c r="M289" s="5" t="inlineStr">
        <is>
          <t>SOURCE-058</t>
        </is>
      </c>
    </row>
    <row r="290" ht="49" customHeight="1">
      <c r="A290" s="15" t="inlineStr">
        <is>
          <t>CAST-289</t>
        </is>
      </c>
      <c r="B290" s="20" t="inlineStr">
        <is>
          <t>FILM-055</t>
        </is>
      </c>
      <c r="C290" s="5" t="inlineStr">
        <is>
          <t>Paheli</t>
        </is>
      </c>
      <c r="D290" s="17" t="n">
        <v>2005</v>
      </c>
      <c r="E290" s="5" t="inlineStr">
        <is>
          <t>Suniel Shetty</t>
        </is>
      </c>
      <c r="F290" s="5" t="inlineStr">
        <is>
          <t>Sunderlal</t>
        </is>
      </c>
      <c r="G290" s="5" t="inlineStr">
        <is>
          <t>Family</t>
        </is>
      </c>
      <c r="H290" s="5" t="inlineStr">
        <is>
          <t>Medium</t>
        </is>
      </c>
      <c r="I290" s="5" t="inlineStr">
        <is>
          <t>Kishanlal's estranged brother (special appearance).</t>
        </is>
      </c>
      <c r="J290" s="5" t="inlineStr">
        <is>
          <t>Not applicable</t>
        </is>
      </c>
      <c r="K290" s="19" t="inlineStr">
        <is>
          <t>Gajrobai's husband, who left home after losing a camel race and disappeared without informing the family. He returns as Lachchi gives birth and apologises to Gajrobai.</t>
        </is>
      </c>
      <c r="L290" s="5" t="n"/>
      <c r="M290" s="5" t="inlineStr">
        <is>
          <t>SOURCE-058</t>
        </is>
      </c>
    </row>
    <row r="291" ht="34" customHeight="1">
      <c r="A291" s="15" t="inlineStr">
        <is>
          <t>CAST-290</t>
        </is>
      </c>
      <c r="B291" s="20" t="inlineStr">
        <is>
          <t>FILM-055</t>
        </is>
      </c>
      <c r="C291" s="5" t="inlineStr">
        <is>
          <t>Paheli</t>
        </is>
      </c>
      <c r="D291" s="17" t="n">
        <v>2005</v>
      </c>
      <c r="E291" s="5" t="inlineStr">
        <is>
          <t>Naseeruddin Shah</t>
        </is>
      </c>
      <c r="F291" s="5" t="inlineStr">
        <is>
          <t>Male puppet (voice only)</t>
        </is>
      </c>
      <c r="G291" s="5" t="inlineStr">
        <is>
          <t>Supporting</t>
        </is>
      </c>
      <c r="H291" s="5" t="inlineStr">
        <is>
          <t>Minor</t>
        </is>
      </c>
      <c r="I291" s="5" t="inlineStr">
        <is>
          <t>One of the two puppets who narrate Kishanlal and Lachchi's story.</t>
        </is>
      </c>
      <c r="J291" s="5" t="inlineStr">
        <is>
          <t>Narrates the story of Lachchi, Kishanlal and the ghost.</t>
        </is>
      </c>
      <c r="K291" s="19" t="inlineStr">
        <is>
          <t>Voices one of the two puppets that open and close the film, remarking at the end that it is a very old folk tale.</t>
        </is>
      </c>
      <c r="L291" s="5" t="n"/>
      <c r="M291" s="5" t="inlineStr">
        <is>
          <t>SOURCE-058</t>
        </is>
      </c>
    </row>
    <row r="292" ht="34" customHeight="1">
      <c r="A292" s="15" t="inlineStr">
        <is>
          <t>CAST-291</t>
        </is>
      </c>
      <c r="B292" s="20" t="inlineStr">
        <is>
          <t>FILM-055</t>
        </is>
      </c>
      <c r="C292" s="5" t="inlineStr">
        <is>
          <t>Paheli</t>
        </is>
      </c>
      <c r="D292" s="17" t="n">
        <v>2005</v>
      </c>
      <c r="E292" s="5" t="inlineStr">
        <is>
          <t>Ratna Pathak Shah</t>
        </is>
      </c>
      <c r="F292" s="5" t="inlineStr">
        <is>
          <t>Female puppet (voice only)</t>
        </is>
      </c>
      <c r="G292" s="5" t="inlineStr">
        <is>
          <t>Supporting</t>
        </is>
      </c>
      <c r="H292" s="5" t="inlineStr">
        <is>
          <t>Minor</t>
        </is>
      </c>
      <c r="I292" s="5" t="inlineStr">
        <is>
          <t>One of the two puppets who narrate Kishanlal and Lachchi's story.</t>
        </is>
      </c>
      <c r="J292" s="5" t="inlineStr">
        <is>
          <t>Narrates the story of Lachchi, Kishanlal and the ghost.</t>
        </is>
      </c>
      <c r="K292" s="19" t="inlineStr">
        <is>
          <t>Voices the second of the two puppet narrators who frame the film.</t>
        </is>
      </c>
      <c r="L292" s="5" t="n"/>
      <c r="M292" s="5" t="inlineStr">
        <is>
          <t>SOURCE-058</t>
        </is>
      </c>
    </row>
    <row r="293" ht="34" customHeight="1">
      <c r="A293" s="15" t="inlineStr">
        <is>
          <t>CAST-292</t>
        </is>
      </c>
      <c r="B293" s="20" t="inlineStr">
        <is>
          <t>FILM-056</t>
        </is>
      </c>
      <c r="C293" s="5" t="inlineStr">
        <is>
          <t>Alag</t>
        </is>
      </c>
      <c r="D293" s="17" t="n">
        <v>2006</v>
      </c>
      <c r="E293" s="5" t="inlineStr">
        <is>
          <t>Akshay Kapoor</t>
        </is>
      </c>
      <c r="F293" s="5" t="inlineStr">
        <is>
          <t>Tejas Rastogi</t>
        </is>
      </c>
      <c r="G293" s="5" t="inlineStr">
        <is>
          <t>Co-lead</t>
        </is>
      </c>
      <c r="H293" s="5" t="inlineStr">
        <is>
          <t>Major</t>
        </is>
      </c>
      <c r="I293" s="5" t="inlineStr">
        <is>
          <t>Lead of the film in which Khan appears in a song</t>
        </is>
      </c>
      <c r="J293" s="5" t="inlineStr">
        <is>
          <t>Not applicable</t>
        </is>
      </c>
      <c r="K293" s="19" t="inlineStr">
        <is>
          <t>Young man with telepathic and paranormal powers found in his dead father's basement.</t>
        </is>
      </c>
      <c r="L293" s="5" t="n"/>
      <c r="M293" s="5" t="inlineStr">
        <is>
          <t>SOURCE-059</t>
        </is>
      </c>
    </row>
    <row r="294" ht="34" customHeight="1">
      <c r="A294" s="15" t="inlineStr">
        <is>
          <t>CAST-293</t>
        </is>
      </c>
      <c r="B294" s="20" t="inlineStr">
        <is>
          <t>FILM-056</t>
        </is>
      </c>
      <c r="C294" s="5" t="inlineStr">
        <is>
          <t>Alag</t>
        </is>
      </c>
      <c r="D294" s="17" t="n">
        <v>2006</v>
      </c>
      <c r="E294" s="5" t="inlineStr">
        <is>
          <t>Dia Mirza</t>
        </is>
      </c>
      <c r="F294" s="5" t="inlineStr">
        <is>
          <t>Purva Rana</t>
        </is>
      </c>
      <c r="G294" s="5" t="inlineStr">
        <is>
          <t>Co-lead</t>
        </is>
      </c>
      <c r="H294" s="5" t="inlineStr">
        <is>
          <t>Major</t>
        </is>
      </c>
      <c r="I294" s="5" t="inlineStr">
        <is>
          <t>Not directly connected</t>
        </is>
      </c>
      <c r="J294" s="5" t="inlineStr">
        <is>
          <t>Not applicable</t>
        </is>
      </c>
      <c r="K294" s="19" t="inlineStr">
        <is>
          <t>Head of a rehabilitation institute who takes Tejas into her care.</t>
        </is>
      </c>
      <c r="L294" s="5" t="n"/>
      <c r="M294" s="5" t="inlineStr">
        <is>
          <t>SOURCE-059</t>
        </is>
      </c>
    </row>
    <row r="295" ht="34" customHeight="1">
      <c r="A295" s="15" t="inlineStr">
        <is>
          <t>CAST-294</t>
        </is>
      </c>
      <c r="B295" s="20" t="inlineStr">
        <is>
          <t>FILM-057</t>
        </is>
      </c>
      <c r="C295" s="5" t="inlineStr">
        <is>
          <t>Kabhi Alvida Naa Kehna</t>
        </is>
      </c>
      <c r="D295" s="17" t="n">
        <v>2006</v>
      </c>
      <c r="E295" s="5" t="inlineStr">
        <is>
          <t>Abhishek Bachchan</t>
        </is>
      </c>
      <c r="F295" s="5" t="inlineStr">
        <is>
          <t>Rishi Talwar</t>
        </is>
      </c>
      <c r="G295" s="5" t="inlineStr">
        <is>
          <t>Romantic rival</t>
        </is>
      </c>
      <c r="H295" s="5" t="inlineStr">
        <is>
          <t>Major</t>
        </is>
      </c>
      <c r="I295" s="5" t="inlineStr">
        <is>
          <t>Husband of Dev's lover</t>
        </is>
      </c>
      <c r="J295" s="5" t="inlineStr">
        <is>
          <t>Maya's husband, who later forgives her and remarries</t>
        </is>
      </c>
      <c r="K295" s="19" t="inlineStr">
        <is>
          <t>Maya's closest friend turned husband, frustrated by her emotional distance.</t>
        </is>
      </c>
      <c r="L295" s="5" t="inlineStr">
        <is>
          <t>Filmfare Best Supporting Actor</t>
        </is>
      </c>
      <c r="M295" s="5" t="inlineStr">
        <is>
          <t>SOURCE-060</t>
        </is>
      </c>
    </row>
    <row r="296" ht="34" customHeight="1">
      <c r="A296" s="15" t="inlineStr">
        <is>
          <t>CAST-295</t>
        </is>
      </c>
      <c r="B296" s="20" t="inlineStr">
        <is>
          <t>FILM-057</t>
        </is>
      </c>
      <c r="C296" s="5" t="inlineStr">
        <is>
          <t>Kabhi Alvida Naa Kehna</t>
        </is>
      </c>
      <c r="D296" s="17" t="n">
        <v>2006</v>
      </c>
      <c r="E296" s="5" t="inlineStr">
        <is>
          <t>Amitabh Bachchan</t>
        </is>
      </c>
      <c r="F296" s="5" t="inlineStr">
        <is>
          <t>Samarjit "Sam" Talwar</t>
        </is>
      </c>
      <c r="G296" s="5" t="inlineStr">
        <is>
          <t>Family</t>
        </is>
      </c>
      <c r="H296" s="5" t="inlineStr">
        <is>
          <t>Major</t>
        </is>
      </c>
      <c r="I296" s="5" t="inlineStr">
        <is>
          <t>Friend of Dev's mother who discovers the affair</t>
        </is>
      </c>
      <c r="J296" s="5" t="inlineStr">
        <is>
          <t>Maya's father-in-law, who on his deathbed urges her to leave Rishi</t>
        </is>
      </c>
      <c r="K296" s="19" t="inlineStr">
        <is>
          <t>Wealthy, flamboyant widower who dies of a heart attack the night the affair is exposed.</t>
        </is>
      </c>
      <c r="L296" s="5" t="n"/>
      <c r="M296" s="5" t="inlineStr">
        <is>
          <t>SOURCE-060</t>
        </is>
      </c>
    </row>
    <row r="297" ht="34" customHeight="1">
      <c r="A297" s="15" t="inlineStr">
        <is>
          <t>CAST-296</t>
        </is>
      </c>
      <c r="B297" s="20" t="inlineStr">
        <is>
          <t>FILM-057</t>
        </is>
      </c>
      <c r="C297" s="5" t="inlineStr">
        <is>
          <t>Kabhi Alvida Naa Kehna</t>
        </is>
      </c>
      <c r="D297" s="17" t="n">
        <v>2006</v>
      </c>
      <c r="E297" s="5" t="inlineStr">
        <is>
          <t>Kirron Kher</t>
        </is>
      </c>
      <c r="F297" s="5" t="inlineStr">
        <is>
          <t>Kamaljit "Kamal" Saran</t>
        </is>
      </c>
      <c r="G297" s="5" t="inlineStr">
        <is>
          <t>Family</t>
        </is>
      </c>
      <c r="H297" s="5" t="inlineStr">
        <is>
          <t>Medium</t>
        </is>
      </c>
      <c r="I297" s="5" t="inlineStr">
        <is>
          <t>Dev's mother</t>
        </is>
      </c>
      <c r="J297" s="5" t="inlineStr">
        <is>
          <t>Discovers the affair with Sam; stays with Rhea after the divorce</t>
        </is>
      </c>
      <c r="K297" s="19" t="inlineStr">
        <is>
          <t>Widowed mother whose friendship with Sam brings Dev and Maya together.</t>
        </is>
      </c>
      <c r="L297" s="5" t="n"/>
      <c r="M297" s="5" t="inlineStr">
        <is>
          <t>SOURCE-060</t>
        </is>
      </c>
    </row>
    <row r="298" ht="19" customHeight="1">
      <c r="A298" s="15" t="inlineStr">
        <is>
          <t>CAST-297</t>
        </is>
      </c>
      <c r="B298" s="20" t="inlineStr">
        <is>
          <t>FILM-057</t>
        </is>
      </c>
      <c r="C298" s="5" t="inlineStr">
        <is>
          <t>Kabhi Alvida Naa Kehna</t>
        </is>
      </c>
      <c r="D298" s="17" t="n">
        <v>2006</v>
      </c>
      <c r="E298" s="5" t="inlineStr">
        <is>
          <t>Arjun Rampal</t>
        </is>
      </c>
      <c r="F298" s="5" t="inlineStr">
        <is>
          <t>Jai Mehra</t>
        </is>
      </c>
      <c r="G298" s="5" t="inlineStr">
        <is>
          <t>Supporting</t>
        </is>
      </c>
      <c r="H298" s="5" t="inlineStr">
        <is>
          <t>Minor</t>
        </is>
      </c>
      <c r="I298" s="5" t="inlineStr">
        <is>
          <t>Rhea's boss</t>
        </is>
      </c>
      <c r="J298" s="5" t="inlineStr">
        <is>
          <t>Rhea's new partner after her divorce</t>
        </is>
      </c>
      <c r="K298" s="19" t="inlineStr">
        <is>
          <t>Fashion-magazine boss whom Rhea is dating three years later.</t>
        </is>
      </c>
      <c r="L298" s="5" t="n"/>
      <c r="M298" s="5" t="inlineStr">
        <is>
          <t>SOURCE-060</t>
        </is>
      </c>
    </row>
    <row r="299" ht="49" customHeight="1">
      <c r="A299" s="15" t="inlineStr">
        <is>
          <t>CAST-298</t>
        </is>
      </c>
      <c r="B299" s="20" t="inlineStr">
        <is>
          <t>FILM-057</t>
        </is>
      </c>
      <c r="C299" s="5" t="inlineStr">
        <is>
          <t>Kabhi Alvida Naa Kehna</t>
        </is>
      </c>
      <c r="D299" s="17" t="n">
        <v>2006</v>
      </c>
      <c r="E299" s="5" t="inlineStr">
        <is>
          <t>Ahsaas Channa</t>
        </is>
      </c>
      <c r="F299" s="5" t="inlineStr">
        <is>
          <t>Arjun Saran</t>
        </is>
      </c>
      <c r="G299" s="5" t="inlineStr">
        <is>
          <t>Family</t>
        </is>
      </c>
      <c r="H299" s="5" t="inlineStr">
        <is>
          <t>Medium</t>
        </is>
      </c>
      <c r="I299" s="5" t="inlineStr">
        <is>
          <t>Dev and Rhea's son; Dev struggles to bond with him.</t>
        </is>
      </c>
      <c r="J299" s="5" t="inlineStr">
        <is>
          <t>Dev's son; after the divorce he stays with Rhea, which forms part of the cost of Dev's affair with Maya.</t>
        </is>
      </c>
      <c r="K299" s="19" t="inlineStr">
        <is>
          <t>Dev's young son, who would rather play the violin than soccer. After Dev and Rhea divorce, Arjun lives with Rhea and Kamal.</t>
        </is>
      </c>
      <c r="L299" s="5" t="inlineStr">
        <is>
          <t>The article states that Channa's performance as Arjun was well received.</t>
        </is>
      </c>
      <c r="M299" s="5" t="inlineStr">
        <is>
          <t>SOURCE-060</t>
        </is>
      </c>
    </row>
    <row r="300" ht="49" customHeight="1">
      <c r="A300" s="15" t="inlineStr">
        <is>
          <t>CAST-299</t>
        </is>
      </c>
      <c r="B300" s="20" t="inlineStr">
        <is>
          <t>FILM-057</t>
        </is>
      </c>
      <c r="C300" s="5" t="inlineStr">
        <is>
          <t>Kabhi Alvida Naa Kehna</t>
        </is>
      </c>
      <c r="D300" s="17" t="n">
        <v>2006</v>
      </c>
      <c r="E300" s="5" t="inlineStr">
        <is>
          <t>Saira Mohan</t>
        </is>
      </c>
      <c r="F300" s="5" t="inlineStr">
        <is>
          <t>Catherine Talwar</t>
        </is>
      </c>
      <c r="G300" s="5" t="inlineStr">
        <is>
          <t>Supporting</t>
        </is>
      </c>
      <c r="H300" s="5" t="inlineStr">
        <is>
          <t>Minor</t>
        </is>
      </c>
      <c r="I300" s="5" t="inlineStr">
        <is>
          <t>Rishi's colleague and later second wife, a friend of Rhea.</t>
        </is>
      </c>
      <c r="J300" s="5" t="inlineStr">
        <is>
          <t>Her wedding to Rishi is where Rhea and Rishi encourage Maya to find Dev, leading to the reunion.</t>
        </is>
      </c>
      <c r="K300" s="19" t="inlineStr">
        <is>
          <t>Rishi's colleague who becomes his second wife; she is also friends with Rhea and Jai.</t>
        </is>
      </c>
      <c r="L300" s="5" t="n"/>
      <c r="M300" s="5" t="inlineStr">
        <is>
          <t>SOURCE-060</t>
        </is>
      </c>
    </row>
    <row r="301" ht="34" customHeight="1">
      <c r="A301" s="15" t="inlineStr">
        <is>
          <t>CAST-300</t>
        </is>
      </c>
      <c r="B301" s="20" t="inlineStr">
        <is>
          <t>FILM-058</t>
        </is>
      </c>
      <c r="C301" s="5" t="inlineStr">
        <is>
          <t>Don: The Chase Begins Again</t>
        </is>
      </c>
      <c r="D301" s="17" t="n">
        <v>2006</v>
      </c>
      <c r="E301" s="5" t="inlineStr">
        <is>
          <t>Boman Irani</t>
        </is>
      </c>
      <c r="F301" s="5" t="inlineStr">
        <is>
          <t>DCP D'Silva / Vardhaan</t>
        </is>
      </c>
      <c r="G301" s="5" t="inlineStr">
        <is>
          <t>Antagonist</t>
        </is>
      </c>
      <c r="H301" s="5" t="inlineStr">
        <is>
          <t>Major</t>
        </is>
      </c>
      <c r="I301" s="5" t="inlineStr">
        <is>
          <t>Recruits Vijay to impersonate Don</t>
        </is>
      </c>
      <c r="J301" s="5" t="inlineStr">
        <is>
          <t>Tells Roma that 'Don' is really Vijay</t>
        </is>
      </c>
      <c r="K301" s="19" t="inlineStr">
        <is>
          <t>Police officer who fakes his death and is revealed as the missing kingpin Vardhaan; arrested by Interpol.</t>
        </is>
      </c>
      <c r="L301" s="5" t="n"/>
      <c r="M301" s="5" t="inlineStr">
        <is>
          <t>SOURCE-061</t>
        </is>
      </c>
    </row>
    <row r="302" ht="49" customHeight="1">
      <c r="A302" s="15" t="inlineStr">
        <is>
          <t>CAST-301</t>
        </is>
      </c>
      <c r="B302" s="20" t="inlineStr">
        <is>
          <t>FILM-058</t>
        </is>
      </c>
      <c r="C302" s="5" t="inlineStr">
        <is>
          <t>Don: The Chase Begins Again</t>
        </is>
      </c>
      <c r="D302" s="17" t="n">
        <v>2006</v>
      </c>
      <c r="E302" s="5" t="inlineStr">
        <is>
          <t>Arjun Rampal</t>
        </is>
      </c>
      <c r="F302" s="5" t="inlineStr">
        <is>
          <t>Jasjit "J. J." Ahuja</t>
        </is>
      </c>
      <c r="G302" s="5" t="inlineStr">
        <is>
          <t>Supporting</t>
        </is>
      </c>
      <c r="H302" s="5" t="inlineStr">
        <is>
          <t>Major</t>
        </is>
      </c>
      <c r="I302" s="5" t="inlineStr">
        <is>
          <t>Allies with Vijay and Roma</t>
        </is>
      </c>
      <c r="J302" s="5" t="inlineStr">
        <is>
          <t>Not applicable</t>
        </is>
      </c>
      <c r="K302" s="19" t="inlineStr">
        <is>
          <t>IT consultant crippled by D'Silva and blackmailed into theft; freed from prison, he seeks revenge and rescues his son Deepu.</t>
        </is>
      </c>
      <c r="L302" s="5" t="n"/>
      <c r="M302" s="5" t="inlineStr">
        <is>
          <t>SOURCE-061</t>
        </is>
      </c>
    </row>
    <row r="303" ht="34" customHeight="1">
      <c r="A303" s="15" t="inlineStr">
        <is>
          <t>CAST-302</t>
        </is>
      </c>
      <c r="B303" s="20" t="inlineStr">
        <is>
          <t>FILM-058</t>
        </is>
      </c>
      <c r="C303" s="5" t="inlineStr">
        <is>
          <t>Don: The Chase Begins Again</t>
        </is>
      </c>
      <c r="D303" s="17" t="n">
        <v>2006</v>
      </c>
      <c r="E303" s="5" t="inlineStr">
        <is>
          <t>Om Puri</t>
        </is>
      </c>
      <c r="F303" s="5" t="inlineStr">
        <is>
          <t>Interpol Officer Vishal Malik</t>
        </is>
      </c>
      <c r="G303" s="5" t="inlineStr">
        <is>
          <t>Authority figure</t>
        </is>
      </c>
      <c r="H303" s="5" t="inlineStr">
        <is>
          <t>Medium</t>
        </is>
      </c>
      <c r="I303" s="5" t="inlineStr">
        <is>
          <t>Officer who arrests Vardhaan</t>
        </is>
      </c>
      <c r="J303" s="5" t="inlineStr">
        <is>
          <t>Not applicable</t>
        </is>
      </c>
      <c r="K303" s="19" t="inlineStr">
        <is>
          <t>Interpol officer brought in by Vijay, Roma and J. J.</t>
        </is>
      </c>
      <c r="L303" s="5" t="n"/>
      <c r="M303" s="5" t="inlineStr">
        <is>
          <t>SOURCE-061</t>
        </is>
      </c>
    </row>
    <row r="304" ht="34" customHeight="1">
      <c r="A304" s="15" t="inlineStr">
        <is>
          <t>CAST-303</t>
        </is>
      </c>
      <c r="B304" s="20" t="inlineStr">
        <is>
          <t>FILM-058</t>
        </is>
      </c>
      <c r="C304" s="5" t="inlineStr">
        <is>
          <t>Don: The Chase Begins Again</t>
        </is>
      </c>
      <c r="D304" s="17" t="n">
        <v>2006</v>
      </c>
      <c r="E304" s="5" t="inlineStr">
        <is>
          <t>Kareena Kapoor</t>
        </is>
      </c>
      <c r="F304" s="5" t="inlineStr">
        <is>
          <t>Kamini Arora</t>
        </is>
      </c>
      <c r="G304" s="5" t="inlineStr">
        <is>
          <t>Supporting</t>
        </is>
      </c>
      <c r="H304" s="5" t="inlineStr">
        <is>
          <t>Minor</t>
        </is>
      </c>
      <c r="I304" s="5" t="inlineStr">
        <is>
          <t>Tries to trap Don and is killed by him</t>
        </is>
      </c>
      <c r="J304" s="5" t="inlineStr">
        <is>
          <t>Not applicable</t>
        </is>
      </c>
      <c r="K304" s="19" t="inlineStr">
        <is>
          <t>Fiancée of Don's murdered associate Ramesh. Special appearance.</t>
        </is>
      </c>
      <c r="L304" s="5" t="n"/>
      <c r="M304" s="5" t="inlineStr">
        <is>
          <t>SOURCE-061</t>
        </is>
      </c>
    </row>
    <row r="305" ht="49" customHeight="1">
      <c r="A305" s="15" t="inlineStr">
        <is>
          <t>CAST-304</t>
        </is>
      </c>
      <c r="B305" s="20" t="inlineStr">
        <is>
          <t>FILM-058</t>
        </is>
      </c>
      <c r="C305" s="5" t="inlineStr">
        <is>
          <t>Don: The Chase Begins Again</t>
        </is>
      </c>
      <c r="D305" s="17" t="n">
        <v>2006</v>
      </c>
      <c r="E305" s="5" t="inlineStr">
        <is>
          <t>Rajesh Khattar</t>
        </is>
      </c>
      <c r="F305" s="5" t="inlineStr">
        <is>
          <t>Singhania</t>
        </is>
      </c>
      <c r="G305" s="5" t="inlineStr">
        <is>
          <t>Antagonist</t>
        </is>
      </c>
      <c r="H305" s="5" t="inlineStr">
        <is>
          <t>Medium</t>
        </is>
      </c>
      <c r="I305" s="5" t="inlineStr">
        <is>
          <t>Don's boss, the cartel leader whose drug operation Don manages.</t>
        </is>
      </c>
      <c r="J305" s="5" t="inlineStr">
        <is>
          <t>Not applicable</t>
        </is>
      </c>
      <c r="K305" s="19" t="inlineStr">
        <is>
          <t>Cartel leader in Kuala Lumpur and one of two lieutenants of the dead kingpin Boris. He is poisoned by D'Silva, acting as Vardhaan, during a raid on his club.</t>
        </is>
      </c>
      <c r="L305" s="5" t="n"/>
      <c r="M305" s="5" t="inlineStr">
        <is>
          <t>SOURCE-061</t>
        </is>
      </c>
    </row>
    <row r="306" ht="49" customHeight="1">
      <c r="A306" s="15" t="inlineStr">
        <is>
          <t>CAST-305</t>
        </is>
      </c>
      <c r="B306" s="20" t="inlineStr">
        <is>
          <t>FILM-058</t>
        </is>
      </c>
      <c r="C306" s="5" t="inlineStr">
        <is>
          <t>Don: The Chase Begins Again</t>
        </is>
      </c>
      <c r="D306" s="17" t="n">
        <v>2006</v>
      </c>
      <c r="E306" s="5" t="inlineStr">
        <is>
          <t>Isha Koppikar</t>
        </is>
      </c>
      <c r="F306" s="5" t="inlineStr">
        <is>
          <t>Anita Sinha</t>
        </is>
      </c>
      <c r="G306" s="5" t="inlineStr">
        <is>
          <t>Supporting</t>
        </is>
      </c>
      <c r="H306" s="5" t="inlineStr">
        <is>
          <t>Medium</t>
        </is>
      </c>
      <c r="I306" s="5" t="inlineStr">
        <is>
          <t>Don's associate.</t>
        </is>
      </c>
      <c r="J306" s="5" t="inlineStr">
        <is>
          <t>Not applicable</t>
        </is>
      </c>
      <c r="K306" s="19" t="inlineStr">
        <is>
          <t>Don's associate, who boards a private aircraft with him in the final revelation once he has secured control of the Asian drug cartel.</t>
        </is>
      </c>
      <c r="L306" s="5" t="n"/>
      <c r="M306" s="5" t="inlineStr">
        <is>
          <t>SOURCE-061</t>
        </is>
      </c>
    </row>
    <row r="307" ht="64" customHeight="1">
      <c r="A307" s="15" t="inlineStr">
        <is>
          <t>CAST-306</t>
        </is>
      </c>
      <c r="B307" s="20" t="inlineStr">
        <is>
          <t>FILM-058</t>
        </is>
      </c>
      <c r="C307" s="5" t="inlineStr">
        <is>
          <t>Don: The Chase Begins Again</t>
        </is>
      </c>
      <c r="D307" s="17" t="n">
        <v>2006</v>
      </c>
      <c r="E307" s="5" t="inlineStr">
        <is>
          <t>Tanay Chheda</t>
        </is>
      </c>
      <c r="F307" s="5" t="inlineStr">
        <is>
          <t>Deepu Ahuja</t>
        </is>
      </c>
      <c r="G307" s="5" t="inlineStr">
        <is>
          <t>Supporting</t>
        </is>
      </c>
      <c r="H307" s="5" t="inlineStr">
        <is>
          <t>Minor</t>
        </is>
      </c>
      <c r="I307" s="5" t="inlineStr">
        <is>
          <t>An orphaned boy under Vijay's care; Vijay takes the undercover mission in exchange for funding Deepu's education.</t>
        </is>
      </c>
      <c r="J307" s="5" t="inlineStr">
        <is>
          <t>Not applicable</t>
        </is>
      </c>
      <c r="K307" s="19" t="inlineStr">
        <is>
          <t>JJ's son. He is kidnapped and used as ransom for the disc, and is rescued by Jasjit.</t>
        </is>
      </c>
      <c r="L307" s="5" t="n"/>
      <c r="M307" s="5" t="inlineStr">
        <is>
          <t>SOURCE-061</t>
        </is>
      </c>
    </row>
    <row r="308" ht="34" customHeight="1">
      <c r="A308" s="15" t="inlineStr">
        <is>
          <t>CAST-307</t>
        </is>
      </c>
      <c r="B308" s="20" t="inlineStr">
        <is>
          <t>FILM-059</t>
        </is>
      </c>
      <c r="C308" s="5" t="inlineStr">
        <is>
          <t>I See You</t>
        </is>
      </c>
      <c r="D308" s="17" t="n">
        <v>2006</v>
      </c>
      <c r="E308" s="5" t="inlineStr">
        <is>
          <t>Arjun Rampal</t>
        </is>
      </c>
      <c r="F308" s="5" t="inlineStr">
        <is>
          <t>Raj Jaiswal</t>
        </is>
      </c>
      <c r="G308" s="5" t="inlineStr">
        <is>
          <t>Co-lead</t>
        </is>
      </c>
      <c r="H308" s="5" t="inlineStr">
        <is>
          <t>Major</t>
        </is>
      </c>
      <c r="I308" s="5" t="inlineStr">
        <is>
          <t>Lead of the film in which Khan appears in a song</t>
        </is>
      </c>
      <c r="J308" s="5" t="inlineStr">
        <is>
          <t>Not applicable</t>
        </is>
      </c>
      <c r="K308" s="19" t="inlineStr">
        <is>
          <t>Womanising TV host who falls for a spirit only he can see.</t>
        </is>
      </c>
      <c r="L308" s="5" t="n"/>
      <c r="M308" s="5" t="inlineStr">
        <is>
          <t>SOURCE-062</t>
        </is>
      </c>
    </row>
    <row r="309" ht="19" customHeight="1">
      <c r="A309" s="15" t="inlineStr">
        <is>
          <t>CAST-308</t>
        </is>
      </c>
      <c r="B309" s="20" t="inlineStr">
        <is>
          <t>FILM-059</t>
        </is>
      </c>
      <c r="C309" s="5" t="inlineStr">
        <is>
          <t>I See You</t>
        </is>
      </c>
      <c r="D309" s="17" t="n">
        <v>2006</v>
      </c>
      <c r="E309" s="5" t="inlineStr">
        <is>
          <t>Hrithik Roshan</t>
        </is>
      </c>
      <c r="F309" s="5" t="inlineStr">
        <is>
          <t>Himself</t>
        </is>
      </c>
      <c r="G309" s="5" t="inlineStr">
        <is>
          <t>Self appearance</t>
        </is>
      </c>
      <c r="H309" s="5" t="inlineStr">
        <is>
          <t>Minor</t>
        </is>
      </c>
      <c r="I309" s="5" t="inlineStr">
        <is>
          <t>Appears with Khan in 'Subah Subah'</t>
        </is>
      </c>
      <c r="J309" s="5" t="inlineStr">
        <is>
          <t>Not applicable</t>
        </is>
      </c>
      <c r="K309" s="19" t="inlineStr">
        <is>
          <t>Special appearance in the song 'Subah Subah'.</t>
        </is>
      </c>
      <c r="L309" s="5" t="n"/>
      <c r="M309" s="5" t="inlineStr">
        <is>
          <t>SOURCE-062</t>
        </is>
      </c>
    </row>
    <row r="310" ht="64" customHeight="1">
      <c r="A310" s="15" t="inlineStr">
        <is>
          <t>CAST-309</t>
        </is>
      </c>
      <c r="B310" s="20" t="inlineStr">
        <is>
          <t>FILM-059</t>
        </is>
      </c>
      <c r="C310" s="5" t="inlineStr">
        <is>
          <t>I See You</t>
        </is>
      </c>
      <c r="D310" s="17" t="n">
        <v>2006</v>
      </c>
      <c r="E310" s="5" t="inlineStr">
        <is>
          <t>Vipasha Agarwal</t>
        </is>
      </c>
      <c r="F310" s="5" t="inlineStr">
        <is>
          <t>Shivani Dutt</t>
        </is>
      </c>
      <c r="G310" s="5" t="inlineStr">
        <is>
          <t>Co-lead</t>
        </is>
      </c>
      <c r="H310" s="5" t="inlineStr">
        <is>
          <t>Major</t>
        </is>
      </c>
      <c r="I310" s="5" t="inlineStr">
        <is>
          <t>Female lead opposite Raj, the film's protagonist; no storyline with Shah Rukh Khan, who appears only in the song "Subah Subah".</t>
        </is>
      </c>
      <c r="J310" s="5" t="inlineStr">
        <is>
          <t>Not applicable</t>
        </is>
      </c>
      <c r="K310" s="19" t="inlineStr">
        <is>
          <t>A mysterious woman whom only Raj can see and touch; she is in a coma in hospital and her doctor wants her dead after she witnessed an illegal kidney operation. She wakes with no memory of Raj, who sets out to know her anew.</t>
        </is>
      </c>
      <c r="L310" s="5" t="n"/>
      <c r="M310" s="5" t="inlineStr">
        <is>
          <t>SOURCE-062</t>
        </is>
      </c>
    </row>
    <row r="311" ht="49" customHeight="1">
      <c r="A311" s="15" t="inlineStr">
        <is>
          <t>CAST-310</t>
        </is>
      </c>
      <c r="B311" s="20" t="inlineStr">
        <is>
          <t>FILM-060</t>
        </is>
      </c>
      <c r="C311" s="5" t="inlineStr">
        <is>
          <t>Chak De! India</t>
        </is>
      </c>
      <c r="D311" s="17" t="n">
        <v>2007</v>
      </c>
      <c r="E311" s="5" t="inlineStr">
        <is>
          <t>Vidya Malvade</t>
        </is>
      </c>
      <c r="F311" s="5" t="inlineStr">
        <is>
          <t>Vidya Sharma</t>
        </is>
      </c>
      <c r="G311" s="5" t="inlineStr">
        <is>
          <t>Supporting</t>
        </is>
      </c>
      <c r="H311" s="5" t="inlineStr">
        <is>
          <t>Major</t>
        </is>
      </c>
      <c r="I311" s="5" t="inlineStr">
        <is>
          <t>Team captain and goalkeeper under Kabir</t>
        </is>
      </c>
      <c r="J311" s="5" t="inlineStr">
        <is>
          <t>Not applicable</t>
        </is>
      </c>
      <c r="K311" s="19" t="inlineStr">
        <is>
          <t>Captain pressured by her husband's family to give up hockey.</t>
        </is>
      </c>
      <c r="L311" s="5" t="inlineStr">
        <is>
          <t>Shared the Screen Award for Best Supporting Actress as one of the 'Chak De! Girls'</t>
        </is>
      </c>
      <c r="M311" s="5" t="inlineStr">
        <is>
          <t>SOURCE-063</t>
        </is>
      </c>
    </row>
    <row r="312" ht="49" customHeight="1">
      <c r="A312" s="15" t="inlineStr">
        <is>
          <t>CAST-311</t>
        </is>
      </c>
      <c r="B312" s="20" t="inlineStr">
        <is>
          <t>FILM-060</t>
        </is>
      </c>
      <c r="C312" s="5" t="inlineStr">
        <is>
          <t>Chak De! India</t>
        </is>
      </c>
      <c r="D312" s="17" t="n">
        <v>2007</v>
      </c>
      <c r="E312" s="5" t="inlineStr">
        <is>
          <t>Shilpa Shukla</t>
        </is>
      </c>
      <c r="F312" s="5" t="inlineStr">
        <is>
          <t>Bindiya Naik</t>
        </is>
      </c>
      <c r="G312" s="5" t="inlineStr">
        <is>
          <t>Supporting</t>
        </is>
      </c>
      <c r="H312" s="5" t="inlineStr">
        <is>
          <t>Major</t>
        </is>
      </c>
      <c r="I312" s="5" t="inlineStr">
        <is>
          <t>Veteran who leads a revolt against Kabir and tries to seduce him</t>
        </is>
      </c>
      <c r="J312" s="5" t="inlineStr">
        <is>
          <t>Not applicable</t>
        </is>
      </c>
      <c r="K312" s="19" t="inlineStr">
        <is>
          <t>Resentful at being passed over for captain, she is benched, then recalled to break South Korea's marking in the semi-final.</t>
        </is>
      </c>
      <c r="L312" s="5" t="inlineStr">
        <is>
          <t>Shared the Screen Award for Best Supporting Actress as one of the 'Chak De! Girls'</t>
        </is>
      </c>
      <c r="M312" s="5" t="inlineStr">
        <is>
          <t>SOURCE-063</t>
        </is>
      </c>
    </row>
    <row r="313" ht="49" customHeight="1">
      <c r="A313" s="15" t="inlineStr">
        <is>
          <t>CAST-312</t>
        </is>
      </c>
      <c r="B313" s="20" t="inlineStr">
        <is>
          <t>FILM-060</t>
        </is>
      </c>
      <c r="C313" s="5" t="inlineStr">
        <is>
          <t>Chak De! India</t>
        </is>
      </c>
      <c r="D313" s="17" t="n">
        <v>2007</v>
      </c>
      <c r="E313" s="5" t="inlineStr">
        <is>
          <t>Sagarika Ghatge</t>
        </is>
      </c>
      <c r="F313" s="5" t="inlineStr">
        <is>
          <t>Preeti Sabarwal</t>
        </is>
      </c>
      <c r="G313" s="5" t="inlineStr">
        <is>
          <t>Supporting</t>
        </is>
      </c>
      <c r="H313" s="5" t="inlineStr">
        <is>
          <t>Medium</t>
        </is>
      </c>
      <c r="I313" s="5" t="inlineStr">
        <is>
          <t>Centre forward Kabir must reconcile with her rival</t>
        </is>
      </c>
      <c r="J313" s="5" t="inlineStr">
        <is>
          <t>Not applicable</t>
        </is>
      </c>
      <c r="K313" s="19" t="inlineStr">
        <is>
          <t>Chandigarh player belittled by her cricketer fiancé; scores the equaliser in the final.</t>
        </is>
      </c>
      <c r="L313" s="5" t="inlineStr">
        <is>
          <t>Shared the Screen Award for Best Supporting Actress as one of the 'Chak De! Girls'</t>
        </is>
      </c>
      <c r="M313" s="5" t="inlineStr">
        <is>
          <t>SOURCE-063</t>
        </is>
      </c>
    </row>
    <row r="314" ht="49" customHeight="1">
      <c r="A314" s="15" t="inlineStr">
        <is>
          <t>CAST-313</t>
        </is>
      </c>
      <c r="B314" s="20" t="inlineStr">
        <is>
          <t>FILM-060</t>
        </is>
      </c>
      <c r="C314" s="5" t="inlineStr">
        <is>
          <t>Chak De! India</t>
        </is>
      </c>
      <c r="D314" s="17" t="n">
        <v>2007</v>
      </c>
      <c r="E314" s="5" t="inlineStr">
        <is>
          <t>Chitrashi Rawat</t>
        </is>
      </c>
      <c r="F314" s="5" t="inlineStr">
        <is>
          <t>Komal Chautala</t>
        </is>
      </c>
      <c r="G314" s="5" t="inlineStr">
        <is>
          <t>Supporting</t>
        </is>
      </c>
      <c r="H314" s="5" t="inlineStr">
        <is>
          <t>Medium</t>
        </is>
      </c>
      <c r="I314" s="5" t="inlineStr">
        <is>
          <t>Player Kabir urges to put the team first</t>
        </is>
      </c>
      <c r="J314" s="5" t="inlineStr">
        <is>
          <t>Not applicable</t>
        </is>
      </c>
      <c r="K314" s="19" t="inlineStr">
        <is>
          <t>Haryana forward who clashes with Preeti and makes the selfless pass for the equaliser.</t>
        </is>
      </c>
      <c r="L314" s="5" t="inlineStr">
        <is>
          <t>Shared the Screen Award for Best Supporting Actress as one of the 'Chak De! Girls'</t>
        </is>
      </c>
      <c r="M314" s="5" t="inlineStr">
        <is>
          <t>SOURCE-063</t>
        </is>
      </c>
    </row>
    <row r="315" ht="64" customHeight="1">
      <c r="A315" s="15" t="inlineStr">
        <is>
          <t>CAST-314</t>
        </is>
      </c>
      <c r="B315" s="20" t="inlineStr">
        <is>
          <t>FILM-060</t>
        </is>
      </c>
      <c r="C315" s="5" t="inlineStr">
        <is>
          <t>Chak De! India</t>
        </is>
      </c>
      <c r="D315" s="17" t="n">
        <v>2007</v>
      </c>
      <c r="E315" s="5" t="inlineStr">
        <is>
          <t>Tanya Abrol</t>
        </is>
      </c>
      <c r="F315" s="5" t="inlineStr">
        <is>
          <t>Balbir Kaur</t>
        </is>
      </c>
      <c r="G315" s="5" t="inlineStr">
        <is>
          <t>Supporting</t>
        </is>
      </c>
      <c r="H315" s="5" t="inlineStr">
        <is>
          <t>Medium</t>
        </is>
      </c>
      <c r="I315" s="5" t="inlineStr">
        <is>
          <t>A player on the women's hockey team Kabir coaches.</t>
        </is>
      </c>
      <c r="J315" s="5" t="inlineStr">
        <is>
          <t>Not applicable</t>
        </is>
      </c>
      <c r="K315" s="19" t="inlineStr">
        <is>
          <t>The short-tempered fullback from Punjab who bullies teammates from Jharkhand, then starts the restaurant brawl when local men harass Mary, the moment the team first acts as a unit.</t>
        </is>
      </c>
      <c r="L315" s="5" t="inlineStr">
        <is>
          <t>Part of the "Chak De! Girls" ensemble awarded Screen Award for Best Supporting Actress at the 14th Screen Awards</t>
        </is>
      </c>
      <c r="M315" s="5" t="inlineStr">
        <is>
          <t>SOURCE-063</t>
        </is>
      </c>
    </row>
    <row r="316" ht="49" customHeight="1">
      <c r="A316" s="15" t="inlineStr">
        <is>
          <t>CAST-315</t>
        </is>
      </c>
      <c r="B316" s="20" t="inlineStr">
        <is>
          <t>FILM-060</t>
        </is>
      </c>
      <c r="C316" s="5" t="inlineStr">
        <is>
          <t>Chak De! India</t>
        </is>
      </c>
      <c r="D316" s="17" t="n">
        <v>2007</v>
      </c>
      <c r="E316" s="5" t="inlineStr">
        <is>
          <t>Mohit Chauhan</t>
        </is>
      </c>
      <c r="F316" s="5" t="inlineStr">
        <is>
          <t>Uttam Singh</t>
        </is>
      </c>
      <c r="G316" s="5" t="inlineStr">
        <is>
          <t>Friend</t>
        </is>
      </c>
      <c r="H316" s="5" t="inlineStr">
        <is>
          <t>Medium</t>
        </is>
      </c>
      <c r="I316" s="5" t="inlineStr">
        <is>
          <t>Kabir's former hockey teammate and friend.</t>
        </is>
      </c>
      <c r="J316" s="5" t="inlineStr">
        <is>
          <t>Not applicable</t>
        </is>
      </c>
      <c r="K316" s="19" t="inlineStr">
        <is>
          <t>A field hockey advocate who convinces Mr. Tripathi to appoint Kabir as head coach of the women's national team, seven years after Kabir's disgrace.</t>
        </is>
      </c>
      <c r="L316" s="5" t="n"/>
      <c r="M316" s="5" t="inlineStr">
        <is>
          <t>SOURCE-063</t>
        </is>
      </c>
    </row>
    <row r="317" ht="49" customHeight="1">
      <c r="A317" s="15" t="inlineStr">
        <is>
          <t>CAST-316</t>
        </is>
      </c>
      <c r="B317" s="20" t="inlineStr">
        <is>
          <t>FILM-060</t>
        </is>
      </c>
      <c r="C317" s="5" t="inlineStr">
        <is>
          <t>Chak De! India</t>
        </is>
      </c>
      <c r="D317" s="17" t="n">
        <v>2007</v>
      </c>
      <c r="E317" s="5" t="inlineStr">
        <is>
          <t>Aanjjan Srivastav</t>
        </is>
      </c>
      <c r="F317" s="5" t="inlineStr">
        <is>
          <t>Mr. Vishal Tripathi</t>
        </is>
      </c>
      <c r="G317" s="5" t="inlineStr">
        <is>
          <t>Authority figure</t>
        </is>
      </c>
      <c r="H317" s="5" t="inlineStr">
        <is>
          <t>Medium</t>
        </is>
      </c>
      <c r="I317" s="5" t="inlineStr">
        <is>
          <t>Head Indian hockey official who controls Kabir's appointment and the team's funding.</t>
        </is>
      </c>
      <c r="J317" s="5" t="inlineStr">
        <is>
          <t>Not applicable</t>
        </is>
      </c>
      <c r="K317" s="19" t="inlineStr">
        <is>
          <t>The skeptical head of the hockey association. He refuses to fund the World Cup trip until the women's exhibition match against the men's team changes the association's mind.</t>
        </is>
      </c>
      <c r="L317" s="5" t="n"/>
      <c r="M317" s="5" t="inlineStr">
        <is>
          <t>SOURCE-063</t>
        </is>
      </c>
    </row>
    <row r="318" ht="34" customHeight="1">
      <c r="A318" s="15" t="inlineStr">
        <is>
          <t>CAST-317</t>
        </is>
      </c>
      <c r="B318" s="20" t="inlineStr">
        <is>
          <t>FILM-061</t>
        </is>
      </c>
      <c r="C318" s="5" t="inlineStr">
        <is>
          <t>Heyy Babyy</t>
        </is>
      </c>
      <c r="D318" s="17" t="n">
        <v>2007</v>
      </c>
      <c r="E318" s="5" t="inlineStr">
        <is>
          <t>Akshay Kumar</t>
        </is>
      </c>
      <c r="F318" s="5" t="inlineStr">
        <is>
          <t>Aarush Mehra</t>
        </is>
      </c>
      <c r="G318" s="5" t="inlineStr">
        <is>
          <t>Co-lead</t>
        </is>
      </c>
      <c r="H318" s="5" t="inlineStr">
        <is>
          <t>Major</t>
        </is>
      </c>
      <c r="I318" s="5" t="inlineStr">
        <is>
          <t>Lead of the film in which Khan appears in a song</t>
        </is>
      </c>
      <c r="J318" s="5" t="inlineStr">
        <is>
          <t>Not applicable</t>
        </is>
      </c>
      <c r="K318" s="19" t="inlineStr">
        <is>
          <t>Sydney womaniser who discovers that the baby left at his door is his daughter.</t>
        </is>
      </c>
      <c r="L318" s="5" t="n"/>
      <c r="M318" s="5" t="inlineStr">
        <is>
          <t>SOURCE-064</t>
        </is>
      </c>
    </row>
    <row r="319" ht="34" customHeight="1">
      <c r="A319" s="15" t="inlineStr">
        <is>
          <t>CAST-318</t>
        </is>
      </c>
      <c r="B319" s="20" t="inlineStr">
        <is>
          <t>FILM-061</t>
        </is>
      </c>
      <c r="C319" s="5" t="inlineStr">
        <is>
          <t>Heyy Babyy</t>
        </is>
      </c>
      <c r="D319" s="17" t="n">
        <v>2007</v>
      </c>
      <c r="E319" s="5" t="inlineStr">
        <is>
          <t>Anupam Kher</t>
        </is>
      </c>
      <c r="F319" s="5" t="inlineStr">
        <is>
          <t>Dharamvir Malhotra</t>
        </is>
      </c>
      <c r="G319" s="5" t="inlineStr">
        <is>
          <t>Cameo</t>
        </is>
      </c>
      <c r="H319" s="5" t="inlineStr">
        <is>
          <t>Minor</t>
        </is>
      </c>
      <c r="I319" s="5" t="inlineStr">
        <is>
          <t>Appears as Raj Malhotra's father in 'Mast Kalandar'</t>
        </is>
      </c>
      <c r="J319" s="5" t="inlineStr">
        <is>
          <t>Not applicable</t>
        </is>
      </c>
      <c r="K319" s="19" t="inlineStr">
        <is>
          <t>Guest appearance reprising his Dilwale Dulhania Le Jayenge character.</t>
        </is>
      </c>
      <c r="L319" s="5" t="n"/>
      <c r="M319" s="5" t="inlineStr">
        <is>
          <t>SOURCE-064</t>
        </is>
      </c>
    </row>
    <row r="320" ht="64" customHeight="1">
      <c r="A320" s="15" t="inlineStr">
        <is>
          <t>CAST-319</t>
        </is>
      </c>
      <c r="B320" s="20" t="inlineStr">
        <is>
          <t>FILM-061</t>
        </is>
      </c>
      <c r="C320" s="5" t="inlineStr">
        <is>
          <t>Heyy Babyy</t>
        </is>
      </c>
      <c r="D320" s="17" t="n">
        <v>2007</v>
      </c>
      <c r="E320" s="5" t="inlineStr">
        <is>
          <t>Vidya Balan</t>
        </is>
      </c>
      <c r="F320" s="5" t="inlineStr">
        <is>
          <t>Isha Sahni Mehra</t>
        </is>
      </c>
      <c r="G320" s="5" t="inlineStr">
        <is>
          <t>Co-lead</t>
        </is>
      </c>
      <c r="H320" s="5" t="inlineStr">
        <is>
          <t>Major</t>
        </is>
      </c>
      <c r="I320" s="5" t="inlineStr">
        <is>
          <t>Female lead and mother of Angel, opposite the film's protagonist Aarush; Shah Rukh Khan appears only in the song "Mast Kalandar".</t>
        </is>
      </c>
      <c r="J320" s="5" t="inlineStr">
        <is>
          <t>Not applicable</t>
        </is>
      </c>
      <c r="K320" s="19" t="inlineStr">
        <is>
          <t>Angel's mother, who arrives to take the baby back. Aarush challenges her to marry a faithful man within seven days who will accept Angel, and she later discovers she has been cheated.</t>
        </is>
      </c>
      <c r="L320" s="5" t="n"/>
      <c r="M320" s="5" t="inlineStr">
        <is>
          <t>SOURCE-064</t>
        </is>
      </c>
    </row>
    <row r="321" ht="49" customHeight="1">
      <c r="A321" s="15" t="inlineStr">
        <is>
          <t>CAST-320</t>
        </is>
      </c>
      <c r="B321" s="20" t="inlineStr">
        <is>
          <t>FILM-061</t>
        </is>
      </c>
      <c r="C321" s="5" t="inlineStr">
        <is>
          <t>Heyy Babyy</t>
        </is>
      </c>
      <c r="D321" s="17" t="n">
        <v>2007</v>
      </c>
      <c r="E321" s="5" t="inlineStr">
        <is>
          <t>Riteish Deshmukh</t>
        </is>
      </c>
      <c r="F321" s="5" t="inlineStr">
        <is>
          <t>Tanmay Joglekar / Eddy Teddy</t>
        </is>
      </c>
      <c r="G321" s="5" t="inlineStr">
        <is>
          <t>Co-lead</t>
        </is>
      </c>
      <c r="H321" s="5" t="inlineStr">
        <is>
          <t>Major</t>
        </is>
      </c>
      <c r="I321" s="5" t="inlineStr">
        <is>
          <t>One of Aarush's roommates in the film's central trio; no storyline with Shah Rukh Khan's song cameo.</t>
        </is>
      </c>
      <c r="J321" s="5" t="inlineStr">
        <is>
          <t>Not applicable</t>
        </is>
      </c>
      <c r="K321" s="19" t="inlineStr">
        <is>
          <t>Aarush's roommate, who entertains children as Eddy Teddy and helps raise Angel; Bharat later decides Tanmay is the right man for Isha.</t>
        </is>
      </c>
      <c r="L321" s="5" t="n"/>
      <c r="M321" s="5" t="inlineStr">
        <is>
          <t>SOURCE-064</t>
        </is>
      </c>
    </row>
    <row r="322" ht="49" customHeight="1">
      <c r="A322" s="15" t="inlineStr">
        <is>
          <t>CAST-321</t>
        </is>
      </c>
      <c r="B322" s="20" t="inlineStr">
        <is>
          <t>FILM-061</t>
        </is>
      </c>
      <c r="C322" s="5" t="inlineStr">
        <is>
          <t>Heyy Babyy</t>
        </is>
      </c>
      <c r="D322" s="17" t="n">
        <v>2007</v>
      </c>
      <c r="E322" s="5" t="inlineStr">
        <is>
          <t>Fardeen Khan</t>
        </is>
      </c>
      <c r="F322" s="5" t="inlineStr">
        <is>
          <t>Ali "Al" Haider / Professor Parimal Tripathi</t>
        </is>
      </c>
      <c r="G322" s="5" t="inlineStr">
        <is>
          <t>Co-lead</t>
        </is>
      </c>
      <c r="H322" s="5" t="inlineStr">
        <is>
          <t>Major</t>
        </is>
      </c>
      <c r="I322" s="5" t="inlineStr">
        <is>
          <t>One of Aarush's roommates in the film's central trio; no storyline with Shah Rukh Khan's song cameo.</t>
        </is>
      </c>
      <c r="J322" s="5" t="inlineStr">
        <is>
          <t>Not applicable</t>
        </is>
      </c>
      <c r="K322" s="19" t="inlineStr">
        <is>
          <t>Aarush's roommate, who helps raise Angel and poses as a pure Hindi-speaking botany professor, Parimal Tripathi, to impress Isha's father.</t>
        </is>
      </c>
      <c r="L322" s="5" t="n"/>
      <c r="M322" s="5" t="inlineStr">
        <is>
          <t>SOURCE-064</t>
        </is>
      </c>
    </row>
    <row r="323" ht="34" customHeight="1">
      <c r="A323" s="15" t="inlineStr">
        <is>
          <t>CAST-322</t>
        </is>
      </c>
      <c r="B323" s="20" t="inlineStr">
        <is>
          <t>FILM-062</t>
        </is>
      </c>
      <c r="C323" s="5" t="inlineStr">
        <is>
          <t>Om Shanti Om</t>
        </is>
      </c>
      <c r="D323" s="17" t="n">
        <v>2007</v>
      </c>
      <c r="E323" s="5" t="inlineStr">
        <is>
          <t>Arjun Rampal</t>
        </is>
      </c>
      <c r="F323" s="5" t="inlineStr">
        <is>
          <t>Mukesh "Mike" Mehra</t>
        </is>
      </c>
      <c r="G323" s="5" t="inlineStr">
        <is>
          <t>Antagonist</t>
        </is>
      </c>
      <c r="H323" s="5" t="inlineStr">
        <is>
          <t>Major</t>
        </is>
      </c>
      <c r="I323" s="5" t="inlineStr">
        <is>
          <t>Producer who causes Omi's death and whom Om Kapoor destroys</t>
        </is>
      </c>
      <c r="J323" s="5" t="inlineStr">
        <is>
          <t>Shanti's secret husband and murderer</t>
        </is>
      </c>
      <c r="K323" s="19" t="inlineStr">
        <is>
          <t>Ambitious producer who sets fire to a film set to kill his pregnant wife; crushed by a chandelier 30 years later.</t>
        </is>
      </c>
      <c r="L323" s="5" t="n"/>
      <c r="M323" s="5" t="inlineStr">
        <is>
          <t>SOURCE-065</t>
        </is>
      </c>
    </row>
    <row r="324" ht="34" customHeight="1">
      <c r="A324" s="15" t="inlineStr">
        <is>
          <t>CAST-323</t>
        </is>
      </c>
      <c r="B324" s="20" t="inlineStr">
        <is>
          <t>FILM-062</t>
        </is>
      </c>
      <c r="C324" s="5" t="inlineStr">
        <is>
          <t>Om Shanti Om</t>
        </is>
      </c>
      <c r="D324" s="17" t="n">
        <v>2007</v>
      </c>
      <c r="E324" s="5" t="inlineStr">
        <is>
          <t>Shreyas Talpade</t>
        </is>
      </c>
      <c r="F324" s="5" t="inlineStr">
        <is>
          <t>Pappu Master</t>
        </is>
      </c>
      <c r="G324" s="5" t="inlineStr">
        <is>
          <t>Friend</t>
        </is>
      </c>
      <c r="H324" s="5" t="inlineStr">
        <is>
          <t>Major</t>
        </is>
      </c>
      <c r="I324" s="5" t="inlineStr">
        <is>
          <t>Omi's best friend, who recognises him in Om Kapoor</t>
        </is>
      </c>
      <c r="J324" s="5" t="inlineStr">
        <is>
          <t>Helps arrange Omi's date with Shanti</t>
        </is>
      </c>
      <c r="K324" s="19" t="inlineStr">
        <is>
          <t>Fellow junior artist who helps the reborn Om expose Mukesh.</t>
        </is>
      </c>
      <c r="L324" s="5" t="n"/>
      <c r="M324" s="5" t="inlineStr">
        <is>
          <t>SOURCE-065</t>
        </is>
      </c>
    </row>
    <row r="325" ht="34" customHeight="1">
      <c r="A325" s="15" t="inlineStr">
        <is>
          <t>CAST-324</t>
        </is>
      </c>
      <c r="B325" s="20" t="inlineStr">
        <is>
          <t>FILM-062</t>
        </is>
      </c>
      <c r="C325" s="5" t="inlineStr">
        <is>
          <t>Om Shanti Om</t>
        </is>
      </c>
      <c r="D325" s="17" t="n">
        <v>2007</v>
      </c>
      <c r="E325" s="5" t="inlineStr">
        <is>
          <t>Kirron Kher</t>
        </is>
      </c>
      <c r="F325" s="5" t="inlineStr">
        <is>
          <t>Bela Makhija</t>
        </is>
      </c>
      <c r="G325" s="5" t="inlineStr">
        <is>
          <t>Family</t>
        </is>
      </c>
      <c r="H325" s="5" t="inlineStr">
        <is>
          <t>Major</t>
        </is>
      </c>
      <c r="I325" s="5" t="inlineStr">
        <is>
          <t>Omi's mother, who believes Om Kapoor is her son</t>
        </is>
      </c>
      <c r="J325" s="5" t="inlineStr">
        <is>
          <t>Trains Sandy to impersonate Shanti</t>
        </is>
      </c>
      <c r="K325" s="19" t="inlineStr">
        <is>
          <t>Widowed mother who waits 30 years for her son's return and disguises herself as a witch to frighten Mukesh.</t>
        </is>
      </c>
      <c r="L325" s="5" t="n"/>
      <c r="M325" s="5" t="inlineStr">
        <is>
          <t>SOURCE-065</t>
        </is>
      </c>
    </row>
    <row r="326" ht="34" customHeight="1">
      <c r="A326" s="15" t="inlineStr">
        <is>
          <t>CAST-325</t>
        </is>
      </c>
      <c r="B326" s="20" t="inlineStr">
        <is>
          <t>FILM-062</t>
        </is>
      </c>
      <c r="C326" s="5" t="inlineStr">
        <is>
          <t>Om Shanti Om</t>
        </is>
      </c>
      <c r="D326" s="17" t="n">
        <v>2007</v>
      </c>
      <c r="E326" s="5" t="inlineStr">
        <is>
          <t>Deepika Padukone</t>
        </is>
      </c>
      <c r="F326" s="5" t="inlineStr">
        <is>
          <t>Sandhya "Sandy" Bansal</t>
        </is>
      </c>
      <c r="G326" s="5" t="inlineStr">
        <is>
          <t>Supporting</t>
        </is>
      </c>
      <c r="H326" s="5" t="inlineStr">
        <is>
          <t>Medium</t>
        </is>
      </c>
      <c r="I326" s="5" t="inlineStr">
        <is>
          <t>Om Kapoor's fan and collaborator in the revenge plan</t>
        </is>
      </c>
      <c r="J326" s="5" t="inlineStr">
        <is>
          <t>Shanti's lookalike; Om reunites with her at the end</t>
        </is>
      </c>
      <c r="K326" s="19" t="inlineStr">
        <is>
          <t>Aspiring actress cast as Shanti's double in the revived film; injured in the ruse.</t>
        </is>
      </c>
      <c r="L326" s="5" t="n"/>
      <c r="M326" s="5" t="inlineStr">
        <is>
          <t>SOURCE-065</t>
        </is>
      </c>
    </row>
    <row r="327" ht="49" customHeight="1">
      <c r="A327" s="15" t="inlineStr">
        <is>
          <t>CAST-326</t>
        </is>
      </c>
      <c r="B327" s="20" t="inlineStr">
        <is>
          <t>FILM-062</t>
        </is>
      </c>
      <c r="C327" s="5" t="inlineStr">
        <is>
          <t>Om Shanti Om</t>
        </is>
      </c>
      <c r="D327" s="17" t="n">
        <v>2007</v>
      </c>
      <c r="E327" s="5" t="inlineStr">
        <is>
          <t>Javed Sheikh</t>
        </is>
      </c>
      <c r="F327" s="5" t="inlineStr">
        <is>
          <t>Rajesh Kapoor</t>
        </is>
      </c>
      <c r="G327" s="5" t="inlineStr">
        <is>
          <t>Family</t>
        </is>
      </c>
      <c r="H327" s="5" t="inlineStr">
        <is>
          <t>Medium</t>
        </is>
      </c>
      <c r="I327" s="5" t="inlineStr">
        <is>
          <t>Father of Om Kapoor, the reincarnated Omi; his car strikes the dying Omi.</t>
        </is>
      </c>
      <c r="J327" s="5" t="inlineStr">
        <is>
          <t>Not applicable</t>
        </is>
      </c>
      <c r="K327" s="19" t="inlineStr">
        <is>
          <t>An actor whose car hits Omi while his wife Lovely is in labour; Omi dies in hospital as Rajesh's son Om Kapoor is born.</t>
        </is>
      </c>
      <c r="L327" s="5" t="n"/>
      <c r="M327" s="5" t="inlineStr">
        <is>
          <t>SOURCE-065</t>
        </is>
      </c>
    </row>
    <row r="328" ht="34" customHeight="1">
      <c r="A328" s="15" t="inlineStr">
        <is>
          <t>CAST-327</t>
        </is>
      </c>
      <c r="B328" s="20" t="inlineStr">
        <is>
          <t>FILM-062</t>
        </is>
      </c>
      <c r="C328" s="5" t="inlineStr">
        <is>
          <t>Om Shanti Om</t>
        </is>
      </c>
      <c r="D328" s="17" t="n">
        <v>2007</v>
      </c>
      <c r="E328" s="5" t="inlineStr">
        <is>
          <t>Asavari Joshi</t>
        </is>
      </c>
      <c r="F328" s="5" t="inlineStr">
        <is>
          <t>Lovely Kapoor</t>
        </is>
      </c>
      <c r="G328" s="5" t="inlineStr">
        <is>
          <t>Family</t>
        </is>
      </c>
      <c r="H328" s="5" t="inlineStr">
        <is>
          <t>Minor</t>
        </is>
      </c>
      <c r="I328" s="5" t="inlineStr">
        <is>
          <t>Mother of Om Kapoor, the reincarnated Omi.</t>
        </is>
      </c>
      <c r="J328" s="5" t="inlineStr">
        <is>
          <t>Not applicable</t>
        </is>
      </c>
      <c r="K328" s="19" t="inlineStr">
        <is>
          <t>Rajesh Kapoor's wife, who gives birth to Om Kapoor on the night Omi dies.</t>
        </is>
      </c>
      <c r="L328" s="5" t="n"/>
      <c r="M328" s="5" t="inlineStr">
        <is>
          <t>SOURCE-065</t>
        </is>
      </c>
    </row>
    <row r="329" ht="49" customHeight="1">
      <c r="A329" s="15" t="inlineStr">
        <is>
          <t>CAST-328</t>
        </is>
      </c>
      <c r="B329" s="20" t="inlineStr">
        <is>
          <t>FILM-062</t>
        </is>
      </c>
      <c r="C329" s="5" t="inlineStr">
        <is>
          <t>Om Shanti Om</t>
        </is>
      </c>
      <c r="D329" s="17" t="n">
        <v>2007</v>
      </c>
      <c r="E329" s="5" t="inlineStr">
        <is>
          <t>Nitesh Pandey</t>
        </is>
      </c>
      <c r="F329" s="5" t="inlineStr">
        <is>
          <t>Anwar Sheikh</t>
        </is>
      </c>
      <c r="G329" s="5" t="inlineStr">
        <is>
          <t>Supporting</t>
        </is>
      </c>
      <c r="H329" s="5" t="inlineStr">
        <is>
          <t>Minor</t>
        </is>
      </c>
      <c r="I329" s="5" t="inlineStr">
        <is>
          <t>O.K.'s assistant, who joins his plan to expose Mukesh.</t>
        </is>
      </c>
      <c r="J329" s="5" t="inlineStr">
        <is>
          <t>Arrives with Pappu and the real Sandy, revealing that the woman with Om was Shanti's ghost.</t>
        </is>
      </c>
      <c r="K329" s="19" t="inlineStr">
        <is>
          <t>O.K.'s assistant, who plans with Om, Bela and Pappu to expose Mukesh's crimes.</t>
        </is>
      </c>
      <c r="L329" s="5" t="n"/>
      <c r="M329" s="5" t="inlineStr">
        <is>
          <t>SOURCE-065</t>
        </is>
      </c>
    </row>
    <row r="330" ht="34" customHeight="1">
      <c r="A330" s="15" t="inlineStr">
        <is>
          <t>CAST-329</t>
        </is>
      </c>
      <c r="B330" s="20" t="inlineStr">
        <is>
          <t>FILM-063</t>
        </is>
      </c>
      <c r="C330" s="5" t="inlineStr">
        <is>
          <t>Shaurya</t>
        </is>
      </c>
      <c r="D330" s="17" t="n">
        <v>2008</v>
      </c>
      <c r="E330" s="5" t="inlineStr">
        <is>
          <t>Rahul Bose</t>
        </is>
      </c>
      <c r="F330" s="5" t="inlineStr">
        <is>
          <t>Major Siddhant "Sid" Chaudhary</t>
        </is>
      </c>
      <c r="G330" s="5" t="inlineStr">
        <is>
          <t>Co-lead</t>
        </is>
      </c>
      <c r="H330" s="5" t="inlineStr">
        <is>
          <t>Major</t>
        </is>
      </c>
      <c r="I330" s="5" t="inlineStr">
        <is>
          <t>Lead of the film Khan narrates</t>
        </is>
      </c>
      <c r="J330" s="5" t="inlineStr">
        <is>
          <t>Not applicable</t>
        </is>
      </c>
      <c r="K330" s="19" t="inlineStr">
        <is>
          <t>Army lawyer in the court martial of Captain Javed Khan.</t>
        </is>
      </c>
      <c r="L330" s="5" t="n"/>
      <c r="M330" s="5" t="inlineStr">
        <is>
          <t>SOURCE-066</t>
        </is>
      </c>
    </row>
    <row r="331" ht="34" customHeight="1">
      <c r="A331" s="15" t="inlineStr">
        <is>
          <t>CAST-330</t>
        </is>
      </c>
      <c r="B331" s="20" t="inlineStr">
        <is>
          <t>FILM-063</t>
        </is>
      </c>
      <c r="C331" s="5" t="inlineStr">
        <is>
          <t>Shaurya</t>
        </is>
      </c>
      <c r="D331" s="17" t="n">
        <v>2008</v>
      </c>
      <c r="E331" s="5" t="inlineStr">
        <is>
          <t>Kay Kay Menon</t>
        </is>
      </c>
      <c r="F331" s="5" t="inlineStr">
        <is>
          <t>Brigadier Rudra Pratap Singh</t>
        </is>
      </c>
      <c r="G331" s="5" t="inlineStr">
        <is>
          <t>Antagonist</t>
        </is>
      </c>
      <c r="H331" s="5" t="inlineStr">
        <is>
          <t>Major</t>
        </is>
      </c>
      <c r="I331" s="5" t="inlineStr">
        <is>
          <t>Senior officer at the centre of the case</t>
        </is>
      </c>
      <c r="J331" s="5" t="inlineStr">
        <is>
          <t>Not applicable</t>
        </is>
      </c>
      <c r="K331" s="19" t="inlineStr">
        <is>
          <t>Brigadier whose conduct is exposed in the court martial.</t>
        </is>
      </c>
      <c r="L331" s="5" t="inlineStr">
        <is>
          <t>Performance singled out by critics</t>
        </is>
      </c>
      <c r="M331" s="5" t="inlineStr">
        <is>
          <t>SOURCE-066</t>
        </is>
      </c>
    </row>
    <row r="332" ht="34" customHeight="1">
      <c r="A332" s="15" t="inlineStr">
        <is>
          <t>CAST-331</t>
        </is>
      </c>
      <c r="B332" s="20" t="inlineStr">
        <is>
          <t>FILM-063</t>
        </is>
      </c>
      <c r="C332" s="5" t="inlineStr">
        <is>
          <t>Shaurya</t>
        </is>
      </c>
      <c r="D332" s="17" t="n">
        <v>2008</v>
      </c>
      <c r="E332" s="5" t="inlineStr">
        <is>
          <t>Deepak Dobriyal</t>
        </is>
      </c>
      <c r="F332" s="5" t="inlineStr">
        <is>
          <t>Captain Javed Khan</t>
        </is>
      </c>
      <c r="G332" s="5" t="inlineStr">
        <is>
          <t>Supporting</t>
        </is>
      </c>
      <c r="H332" s="5" t="inlineStr">
        <is>
          <t>Major</t>
        </is>
      </c>
      <c r="I332" s="5" t="inlineStr">
        <is>
          <t>Accused officer in the case Khan narrates</t>
        </is>
      </c>
      <c r="J332" s="5" t="inlineStr">
        <is>
          <t>Not applicable</t>
        </is>
      </c>
      <c r="K332" s="19" t="inlineStr">
        <is>
          <t>Shot his superior Major Rathore after an argument during a counter-insurgency operation.</t>
        </is>
      </c>
      <c r="L332" s="5" t="n"/>
      <c r="M332" s="5" t="inlineStr">
        <is>
          <t>SOURCE-066</t>
        </is>
      </c>
    </row>
    <row r="333" ht="64" customHeight="1">
      <c r="A333" s="15" t="inlineStr">
        <is>
          <t>CAST-332</t>
        </is>
      </c>
      <c r="B333" s="20" t="inlineStr">
        <is>
          <t>FILM-063</t>
        </is>
      </c>
      <c r="C333" s="5" t="inlineStr">
        <is>
          <t>Shaurya</t>
        </is>
      </c>
      <c r="D333" s="17" t="n">
        <v>2008</v>
      </c>
      <c r="E333" s="5" t="inlineStr">
        <is>
          <t>Javed Jaffrey</t>
        </is>
      </c>
      <c r="F333" s="5" t="inlineStr">
        <is>
          <t>Major Akash Kapoor</t>
        </is>
      </c>
      <c r="G333" s="5" t="inlineStr">
        <is>
          <t>Co-lead</t>
        </is>
      </c>
      <c r="H333" s="5" t="inlineStr">
        <is>
          <t>Major</t>
        </is>
      </c>
      <c r="I333" s="5" t="inlineStr">
        <is>
          <t>Sid's best friend and the prosecuting lawyer in the court martial; Shah Rukh Khan is only the end-credits narrator.</t>
        </is>
      </c>
      <c r="J333" s="5" t="inlineStr">
        <is>
          <t>Not applicable</t>
        </is>
      </c>
      <c r="K333" s="19" t="inlineStr">
        <is>
          <t>A dedicated army lawyer and Sid's best friend, appointed to prosecute Captain Javed Khan. After Sid exposes Brigadier Pratap, Akash announces the charges and Javed's acquittal.</t>
        </is>
      </c>
      <c r="L333" s="5" t="inlineStr">
        <is>
          <t>The article states that reviews praised the lead performances, in particular Menon and Jaffrey</t>
        </is>
      </c>
      <c r="M333" s="5" t="inlineStr">
        <is>
          <t>SOURCE-066</t>
        </is>
      </c>
    </row>
    <row r="334" ht="64" customHeight="1">
      <c r="A334" s="15" t="inlineStr">
        <is>
          <t>CAST-333</t>
        </is>
      </c>
      <c r="B334" s="20" t="inlineStr">
        <is>
          <t>FILM-063</t>
        </is>
      </c>
      <c r="C334" s="5" t="inlineStr">
        <is>
          <t>Shaurya</t>
        </is>
      </c>
      <c r="D334" s="17" t="n">
        <v>2008</v>
      </c>
      <c r="E334" s="5" t="inlineStr">
        <is>
          <t>Minissha Lamba</t>
        </is>
      </c>
      <c r="F334" s="5" t="inlineStr">
        <is>
          <t>Journalist Kavya Shastri</t>
        </is>
      </c>
      <c r="G334" s="5" t="inlineStr">
        <is>
          <t>Co-lead</t>
        </is>
      </c>
      <c r="H334" s="5" t="inlineStr">
        <is>
          <t>Medium</t>
        </is>
      </c>
      <c r="I334" s="5" t="inlineStr">
        <is>
          <t>A Srinagar journalist who helps Sid build Javed's defence; Shah Rukh Khan is only the end-credits narrator.</t>
        </is>
      </c>
      <c r="J334" s="5" t="inlineStr">
        <is>
          <t>Not applicable</t>
        </is>
      </c>
      <c r="K334" s="19" t="inlineStr">
        <is>
          <t>An aspiring journalist who pursues the Rathore murder story, publishes an article naming Sid as her source, then helps him uncover the cover-up and is arrested for trespassing on army property.</t>
        </is>
      </c>
      <c r="L334" s="5" t="n"/>
      <c r="M334" s="5" t="inlineStr">
        <is>
          <t>SOURCE-066</t>
        </is>
      </c>
    </row>
    <row r="335" ht="34" customHeight="1">
      <c r="A335" s="15" t="inlineStr">
        <is>
          <t>CAST-334</t>
        </is>
      </c>
      <c r="B335" s="20" t="inlineStr">
        <is>
          <t>FILM-064</t>
        </is>
      </c>
      <c r="C335" s="5" t="inlineStr">
        <is>
          <t>Krazzy 4</t>
        </is>
      </c>
      <c r="D335" s="17" t="n">
        <v>2008</v>
      </c>
      <c r="E335" s="5" t="inlineStr">
        <is>
          <t>Juhi Chawla</t>
        </is>
      </c>
      <c r="F335" s="5" t="inlineStr">
        <is>
          <t>Dr. Sonali R. Sanyal</t>
        </is>
      </c>
      <c r="G335" s="5" t="inlineStr">
        <is>
          <t>Co-lead</t>
        </is>
      </c>
      <c r="H335" s="5" t="inlineStr">
        <is>
          <t>Major</t>
        </is>
      </c>
      <c r="I335" s="5" t="inlineStr">
        <is>
          <t>Lead of the film in which Khan appears in a song</t>
        </is>
      </c>
      <c r="J335" s="5" t="inlineStr">
        <is>
          <t>Not applicable</t>
        </is>
      </c>
      <c r="K335" s="19" t="inlineStr">
        <is>
          <t>Psychiatrist kidnapped on the way to a cricket match with four of her patients.</t>
        </is>
      </c>
      <c r="L335" s="5" t="n"/>
      <c r="M335" s="5" t="inlineStr">
        <is>
          <t>SOURCE-067</t>
        </is>
      </c>
    </row>
    <row r="336" ht="34" customHeight="1">
      <c r="A336" s="15" t="inlineStr">
        <is>
          <t>CAST-335</t>
        </is>
      </c>
      <c r="B336" s="20" t="inlineStr">
        <is>
          <t>FILM-064</t>
        </is>
      </c>
      <c r="C336" s="5" t="inlineStr">
        <is>
          <t>Krazzy 4</t>
        </is>
      </c>
      <c r="D336" s="17" t="n">
        <v>2008</v>
      </c>
      <c r="E336" s="5" t="inlineStr">
        <is>
          <t>Arshad Warsi</t>
        </is>
      </c>
      <c r="F336" s="5" t="inlineStr">
        <is>
          <t>Raja</t>
        </is>
      </c>
      <c r="G336" s="5" t="inlineStr">
        <is>
          <t>Co-lead</t>
        </is>
      </c>
      <c r="H336" s="5" t="inlineStr">
        <is>
          <t>Major</t>
        </is>
      </c>
      <c r="I336" s="5" t="inlineStr">
        <is>
          <t>Not directly connected</t>
        </is>
      </c>
      <c r="J336" s="5" t="inlineStr">
        <is>
          <t>Not applicable</t>
        </is>
      </c>
      <c r="K336" s="19" t="inlineStr">
        <is>
          <t>Patient with intermittent explosive disorder who searches for the kidnapped Sonali.</t>
        </is>
      </c>
      <c r="L336" s="5" t="n"/>
      <c r="M336" s="5" t="inlineStr">
        <is>
          <t>SOURCE-067</t>
        </is>
      </c>
    </row>
    <row r="337" ht="34" customHeight="1">
      <c r="A337" s="15" t="inlineStr">
        <is>
          <t>CAST-336</t>
        </is>
      </c>
      <c r="B337" s="20" t="inlineStr">
        <is>
          <t>FILM-064</t>
        </is>
      </c>
      <c r="C337" s="5" t="inlineStr">
        <is>
          <t>Krazzy 4</t>
        </is>
      </c>
      <c r="D337" s="17" t="n">
        <v>2008</v>
      </c>
      <c r="E337" s="5" t="inlineStr">
        <is>
          <t>Irrfan Khan</t>
        </is>
      </c>
      <c r="F337" s="5" t="inlineStr">
        <is>
          <t>Dr. Mukherjee</t>
        </is>
      </c>
      <c r="G337" s="5" t="inlineStr">
        <is>
          <t>Co-lead</t>
        </is>
      </c>
      <c r="H337" s="5" t="inlineStr">
        <is>
          <t>Major</t>
        </is>
      </c>
      <c r="I337" s="5" t="inlineStr">
        <is>
          <t>Not directly connected</t>
        </is>
      </c>
      <c r="J337" s="5" t="inlineStr">
        <is>
          <t>Not applicable</t>
        </is>
      </c>
      <c r="K337" s="19" t="inlineStr">
        <is>
          <t>Doctor with obsessive–compulsive personality disorder among Sonali's patients.</t>
        </is>
      </c>
      <c r="L337" s="5" t="n"/>
      <c r="M337" s="5" t="inlineStr">
        <is>
          <t>SOURCE-067</t>
        </is>
      </c>
    </row>
    <row r="338" ht="64" customHeight="1">
      <c r="A338" s="15" t="inlineStr">
        <is>
          <t>CAST-337</t>
        </is>
      </c>
      <c r="B338" s="20" t="inlineStr">
        <is>
          <t>FILM-064</t>
        </is>
      </c>
      <c r="C338" s="5" t="inlineStr">
        <is>
          <t>Krazzy 4</t>
        </is>
      </c>
      <c r="D338" s="17" t="n">
        <v>2008</v>
      </c>
      <c r="E338" s="5" t="inlineStr">
        <is>
          <t>Rajpal Yadav</t>
        </is>
      </c>
      <c r="F338" s="5" t="inlineStr">
        <is>
          <t>Gangadhar</t>
        </is>
      </c>
      <c r="G338" s="5" t="inlineStr">
        <is>
          <t>Co-lead</t>
        </is>
      </c>
      <c r="H338" s="5" t="inlineStr">
        <is>
          <t>Major</t>
        </is>
      </c>
      <c r="I338" s="5" t="inlineStr">
        <is>
          <t>One of the four patients at the centre of the film; Shah Rukh Khan appears only as a dancer in the song "Break Free".</t>
        </is>
      </c>
      <c r="J338" s="5" t="inlineStr">
        <is>
          <t>Not applicable</t>
        </is>
      </c>
      <c r="K338" s="19" t="inlineStr">
        <is>
          <t>A patient of Dr. Sonali with schizophrenia who believes he is living in India's freedom-struggle era. He joins the search for Sonali after her kidnapping.</t>
        </is>
      </c>
      <c r="L338" s="5" t="n"/>
      <c r="M338" s="5" t="inlineStr">
        <is>
          <t>SOURCE-067</t>
        </is>
      </c>
    </row>
    <row r="339" ht="64" customHeight="1">
      <c r="A339" s="15" t="inlineStr">
        <is>
          <t>CAST-338</t>
        </is>
      </c>
      <c r="B339" s="20" t="inlineStr">
        <is>
          <t>FILM-064</t>
        </is>
      </c>
      <c r="C339" s="5" t="inlineStr">
        <is>
          <t>Krazzy 4</t>
        </is>
      </c>
      <c r="D339" s="17" t="n">
        <v>2008</v>
      </c>
      <c r="E339" s="5" t="inlineStr">
        <is>
          <t>Suresh Menon</t>
        </is>
      </c>
      <c r="F339" s="5" t="inlineStr">
        <is>
          <t>Dabboo</t>
        </is>
      </c>
      <c r="G339" s="5" t="inlineStr">
        <is>
          <t>Co-lead</t>
        </is>
      </c>
      <c r="H339" s="5" t="inlineStr">
        <is>
          <t>Major</t>
        </is>
      </c>
      <c r="I339" s="5" t="inlineStr">
        <is>
          <t>One of the four patients at the centre of the film; Shah Rukh Khan appears only as a dancer in the song "Break Free".</t>
        </is>
      </c>
      <c r="J339" s="5" t="inlineStr">
        <is>
          <t>Not applicable</t>
        </is>
      </c>
      <c r="K339" s="19" t="inlineStr">
        <is>
          <t>A patient with selective mutism who secretly witnesses Sonali's kidnapping but, unable to speak, cannot alert the others.</t>
        </is>
      </c>
      <c r="L339" s="5" t="n"/>
      <c r="M339" s="5" t="inlineStr">
        <is>
          <t>SOURCE-067</t>
        </is>
      </c>
    </row>
    <row r="340" ht="34" customHeight="1">
      <c r="A340" s="15" t="inlineStr">
        <is>
          <t>CAST-339</t>
        </is>
      </c>
      <c r="B340" s="20" t="inlineStr">
        <is>
          <t>FILM-065</t>
        </is>
      </c>
      <c r="C340" s="5" t="inlineStr">
        <is>
          <t>Bhoothnath</t>
        </is>
      </c>
      <c r="D340" s="17" t="n">
        <v>2008</v>
      </c>
      <c r="E340" s="5" t="inlineStr">
        <is>
          <t>Amitabh Bachchan</t>
        </is>
      </c>
      <c r="F340" s="5" t="inlineStr">
        <is>
          <t>Kailash Nath (Bhoothnath)</t>
        </is>
      </c>
      <c r="G340" s="5" t="inlineStr">
        <is>
          <t>Co-lead</t>
        </is>
      </c>
      <c r="H340" s="5" t="inlineStr">
        <is>
          <t>Major</t>
        </is>
      </c>
      <c r="I340" s="5" t="inlineStr">
        <is>
          <t>The ghost whose final rites Aditya performs</t>
        </is>
      </c>
      <c r="J340" s="5" t="inlineStr">
        <is>
          <t>Not applicable</t>
        </is>
      </c>
      <c r="K340" s="19" t="inlineStr">
        <is>
          <t>Ghost haunting his old Goa villa who befriends Aditya's son Banku and finds peace when his son apologises.</t>
        </is>
      </c>
      <c r="L340" s="5" t="n"/>
      <c r="M340" s="5" t="inlineStr">
        <is>
          <t>SOURCE-068</t>
        </is>
      </c>
    </row>
    <row r="341" ht="34" customHeight="1">
      <c r="A341" s="15" t="inlineStr">
        <is>
          <t>CAST-340</t>
        </is>
      </c>
      <c r="B341" s="20" t="inlineStr">
        <is>
          <t>FILM-065</t>
        </is>
      </c>
      <c r="C341" s="5" t="inlineStr">
        <is>
          <t>Bhoothnath</t>
        </is>
      </c>
      <c r="D341" s="17" t="n">
        <v>2008</v>
      </c>
      <c r="E341" s="5" t="inlineStr">
        <is>
          <t>Juhi Chawla</t>
        </is>
      </c>
      <c r="F341" s="5" t="inlineStr">
        <is>
          <t>Anjali Sharma</t>
        </is>
      </c>
      <c r="G341" s="5" t="inlineStr">
        <is>
          <t>Family</t>
        </is>
      </c>
      <c r="H341" s="5" t="inlineStr">
        <is>
          <t>Major</t>
        </is>
      </c>
      <c r="I341" s="5" t="inlineStr">
        <is>
          <t>Aditya's wife</t>
        </is>
      </c>
      <c r="J341" s="5" t="inlineStr">
        <is>
          <t>Aditya's wife; the marriage is not developed</t>
        </is>
      </c>
      <c r="K341" s="19" t="inlineStr">
        <is>
          <t>Tells her son ghosts do not exist until Bhoothnath appears to her.</t>
        </is>
      </c>
      <c r="L341" s="5" t="n"/>
      <c r="M341" s="5" t="inlineStr">
        <is>
          <t>SOURCE-068</t>
        </is>
      </c>
    </row>
    <row r="342" ht="34" customHeight="1">
      <c r="A342" s="15" t="inlineStr">
        <is>
          <t>CAST-341</t>
        </is>
      </c>
      <c r="B342" s="20" t="inlineStr">
        <is>
          <t>FILM-065</t>
        </is>
      </c>
      <c r="C342" s="5" t="inlineStr">
        <is>
          <t>Bhoothnath</t>
        </is>
      </c>
      <c r="D342" s="17" t="n">
        <v>2008</v>
      </c>
      <c r="E342" s="5" t="inlineStr">
        <is>
          <t>Aman Siddiqui</t>
        </is>
      </c>
      <c r="F342" s="5" t="inlineStr">
        <is>
          <t>Aman "Banku" Sharma</t>
        </is>
      </c>
      <c r="G342" s="5" t="inlineStr">
        <is>
          <t>Family</t>
        </is>
      </c>
      <c r="H342" s="5" t="inlineStr">
        <is>
          <t>Major</t>
        </is>
      </c>
      <c r="I342" s="5" t="inlineStr">
        <is>
          <t>Aditya's son</t>
        </is>
      </c>
      <c r="J342" s="5" t="inlineStr">
        <is>
          <t>Not applicable</t>
        </is>
      </c>
      <c r="K342" s="19" t="inlineStr">
        <is>
          <t>Fearless boy who nicknames the ghost Bhoothnath and becomes his best friend.</t>
        </is>
      </c>
      <c r="L342" s="5" t="n"/>
      <c r="M342" s="5" t="inlineStr">
        <is>
          <t>SOURCE-068</t>
        </is>
      </c>
    </row>
    <row r="343" ht="34" customHeight="1">
      <c r="A343" s="15" t="inlineStr">
        <is>
          <t>CAST-342</t>
        </is>
      </c>
      <c r="B343" s="20" t="inlineStr">
        <is>
          <t>FILM-065</t>
        </is>
      </c>
      <c r="C343" s="5" t="inlineStr">
        <is>
          <t>Bhoothnath</t>
        </is>
      </c>
      <c r="D343" s="17" t="n">
        <v>2008</v>
      </c>
      <c r="E343" s="5" t="inlineStr">
        <is>
          <t>Priyanshu Chatterjee</t>
        </is>
      </c>
      <c r="F343" s="5" t="inlineStr">
        <is>
          <t>Vijay Nath</t>
        </is>
      </c>
      <c r="G343" s="5" t="inlineStr">
        <is>
          <t>Supporting</t>
        </is>
      </c>
      <c r="H343" s="5" t="inlineStr">
        <is>
          <t>Medium</t>
        </is>
      </c>
      <c r="I343" s="5" t="inlineStr">
        <is>
          <t>Confronted by Aditya over his neglect of his father</t>
        </is>
      </c>
      <c r="J343" s="5" t="inlineStr">
        <is>
          <t>Not applicable</t>
        </is>
      </c>
      <c r="K343" s="19" t="inlineStr">
        <is>
          <t>Kailash's US-based son who returns to sell the house and finally apologises at the final rites.</t>
        </is>
      </c>
      <c r="L343" s="5" t="n"/>
      <c r="M343" s="5" t="inlineStr">
        <is>
          <t>SOURCE-068</t>
        </is>
      </c>
    </row>
    <row r="344" ht="19" customHeight="1">
      <c r="A344" s="15" t="inlineStr">
        <is>
          <t>CAST-343</t>
        </is>
      </c>
      <c r="B344" s="20" t="inlineStr">
        <is>
          <t>FILM-066</t>
        </is>
      </c>
      <c r="C344" s="5" t="inlineStr">
        <is>
          <t>Kismat Konnection</t>
        </is>
      </c>
      <c r="D344" s="17" t="n">
        <v>2008</v>
      </c>
      <c r="E344" s="5" t="inlineStr">
        <is>
          <t>Shahid Kapoor</t>
        </is>
      </c>
      <c r="F344" s="5" t="inlineStr">
        <is>
          <t>Raj Malhotra</t>
        </is>
      </c>
      <c r="G344" s="5" t="inlineStr">
        <is>
          <t>Co-lead</t>
        </is>
      </c>
      <c r="H344" s="5" t="inlineStr">
        <is>
          <t>Major</t>
        </is>
      </c>
      <c r="I344" s="5" t="inlineStr">
        <is>
          <t>Lead of the film Khan narrates</t>
        </is>
      </c>
      <c r="J344" s="5" t="inlineStr">
        <is>
          <t>Not applicable</t>
        </is>
      </c>
      <c r="K344" s="19" t="inlineStr">
        <is>
          <t>Unlucky architect who comes to see Priya as his lucky charm.</t>
        </is>
      </c>
      <c r="L344" s="5" t="n"/>
      <c r="M344" s="5" t="inlineStr">
        <is>
          <t>SOURCE-069</t>
        </is>
      </c>
    </row>
    <row r="345" ht="19" customHeight="1">
      <c r="A345" s="15" t="inlineStr">
        <is>
          <t>CAST-344</t>
        </is>
      </c>
      <c r="B345" s="20" t="inlineStr">
        <is>
          <t>FILM-066</t>
        </is>
      </c>
      <c r="C345" s="5" t="inlineStr">
        <is>
          <t>Kismat Konnection</t>
        </is>
      </c>
      <c r="D345" s="17" t="n">
        <v>2008</v>
      </c>
      <c r="E345" s="5" t="inlineStr">
        <is>
          <t>Vidya Balan</t>
        </is>
      </c>
      <c r="F345" s="5" t="inlineStr">
        <is>
          <t>Priya Saluja</t>
        </is>
      </c>
      <c r="G345" s="5" t="inlineStr">
        <is>
          <t>Co-lead</t>
        </is>
      </c>
      <c r="H345" s="5" t="inlineStr">
        <is>
          <t>Major</t>
        </is>
      </c>
      <c r="I345" s="5" t="inlineStr">
        <is>
          <t>Heroine of the film Khan narrates</t>
        </is>
      </c>
      <c r="J345" s="5" t="inlineStr">
        <is>
          <t>Not applicable</t>
        </is>
      </c>
      <c r="K345" s="19" t="inlineStr">
        <is>
          <t>Campaigner trying to save a community centre.</t>
        </is>
      </c>
      <c r="L345" s="5" t="n"/>
      <c r="M345" s="5" t="inlineStr">
        <is>
          <t>SOURCE-069</t>
        </is>
      </c>
    </row>
    <row r="346" ht="64" customHeight="1">
      <c r="A346" s="15" t="inlineStr">
        <is>
          <t>CAST-345</t>
        </is>
      </c>
      <c r="B346" s="20" t="inlineStr">
        <is>
          <t>FILM-066</t>
        </is>
      </c>
      <c r="C346" s="5" t="inlineStr">
        <is>
          <t>Kismat Konnection</t>
        </is>
      </c>
      <c r="D346" s="17" t="n">
        <v>2008</v>
      </c>
      <c r="E346" s="5" t="inlineStr">
        <is>
          <t>Juhi Chawla</t>
        </is>
      </c>
      <c r="F346" s="5" t="inlineStr">
        <is>
          <t>Haseena Bano Jaan</t>
        </is>
      </c>
      <c r="G346" s="5" t="inlineStr">
        <is>
          <t>Supporting</t>
        </is>
      </c>
      <c r="H346" s="5" t="inlineStr">
        <is>
          <t>Medium</t>
        </is>
      </c>
      <c r="I346" s="5" t="inlineStr">
        <is>
          <t>A fortune teller whom the film's protagonist Raj consults (guest appearance); Shah Rukh Khan is the narrator.</t>
        </is>
      </c>
      <c r="J346" s="5" t="inlineStr">
        <is>
          <t>Not applicable</t>
        </is>
      </c>
      <c r="K346" s="19" t="inlineStr">
        <is>
          <t>A Romani fortune teller who tells Raj he is unlucky and needs a good luck charm, setting up his belief that Priya is his lucky charm.</t>
        </is>
      </c>
      <c r="L346" s="5" t="n"/>
      <c r="M346" s="5" t="inlineStr">
        <is>
          <t>SOURCE-069</t>
        </is>
      </c>
    </row>
    <row r="347" ht="34" customHeight="1">
      <c r="A347" s="15" t="inlineStr">
        <is>
          <t>CAST-346</t>
        </is>
      </c>
      <c r="B347" s="20" t="inlineStr">
        <is>
          <t>FILM-067</t>
        </is>
      </c>
      <c r="C347" s="5" t="inlineStr">
        <is>
          <t>Rab Ne Bana Di Jodi</t>
        </is>
      </c>
      <c r="D347" s="17" t="n">
        <v>2008</v>
      </c>
      <c r="E347" s="5" t="inlineStr">
        <is>
          <t>Vinay Pathak</t>
        </is>
      </c>
      <c r="F347" s="5" t="inlineStr">
        <is>
          <t>Balwinder "Bobby" Khosla</t>
        </is>
      </c>
      <c r="G347" s="5" t="inlineStr">
        <is>
          <t>Friend</t>
        </is>
      </c>
      <c r="H347" s="5" t="inlineStr">
        <is>
          <t>Major</t>
        </is>
      </c>
      <c r="I347" s="5" t="inlineStr">
        <is>
          <t>Suri's friend, who transforms him into Raj</t>
        </is>
      </c>
      <c r="J347" s="5" t="inlineStr">
        <is>
          <t>Engineers the disguise through which Suri courts Taani</t>
        </is>
      </c>
      <c r="K347" s="19" t="inlineStr">
        <is>
          <t>Hairdresser friend who gives the timid Suri a flamboyant makeover.</t>
        </is>
      </c>
      <c r="L347" s="5" t="inlineStr">
        <is>
          <t>Filmfare Best Supporting Actor nomination</t>
        </is>
      </c>
      <c r="M347" s="5" t="inlineStr">
        <is>
          <t>SOURCE-070</t>
        </is>
      </c>
    </row>
    <row r="348" ht="34" customHeight="1">
      <c r="A348" s="15" t="inlineStr">
        <is>
          <t>CAST-347</t>
        </is>
      </c>
      <c r="B348" s="20" t="inlineStr">
        <is>
          <t>FILM-067</t>
        </is>
      </c>
      <c r="C348" s="5" t="inlineStr">
        <is>
          <t>Rab Ne Bana Di Jodi</t>
        </is>
      </c>
      <c r="D348" s="17" t="n">
        <v>2008</v>
      </c>
      <c r="E348" s="5" t="inlineStr">
        <is>
          <t>M. K. Raina</t>
        </is>
      </c>
      <c r="F348" s="5" t="inlineStr">
        <is>
          <t>Professor Shirish Gupta</t>
        </is>
      </c>
      <c r="G348" s="5" t="inlineStr">
        <is>
          <t>Family</t>
        </is>
      </c>
      <c r="H348" s="5" t="inlineStr">
        <is>
          <t>Medium</t>
        </is>
      </c>
      <c r="I348" s="5" t="inlineStr">
        <is>
          <t>Suri's former professor</t>
        </is>
      </c>
      <c r="J348" s="5" t="inlineStr">
        <is>
          <t>Taani's father, who on his deathbed asks Suri to marry her</t>
        </is>
      </c>
      <c r="K348" s="19" t="inlineStr">
        <is>
          <t>Dies of a heart attack after Taani's fiancé is killed.</t>
        </is>
      </c>
      <c r="L348" s="5" t="n"/>
      <c r="M348" s="5" t="inlineStr">
        <is>
          <t>SOURCE-070</t>
        </is>
      </c>
    </row>
    <row r="349" ht="34" customHeight="1">
      <c r="A349" s="15" t="inlineStr">
        <is>
          <t>CAST-348</t>
        </is>
      </c>
      <c r="B349" s="20" t="inlineStr">
        <is>
          <t>FILM-067</t>
        </is>
      </c>
      <c r="C349" s="5" t="inlineStr">
        <is>
          <t>Rab Ne Bana Di Jodi</t>
        </is>
      </c>
      <c r="D349" s="17" t="n">
        <v>2008</v>
      </c>
      <c r="E349" s="5" t="inlineStr">
        <is>
          <t>Kajol</t>
        </is>
      </c>
      <c r="F349" s="5" t="inlineStr">
        <is>
          <t>Nargis (in 'Phir Milenge Chalte Chalte')</t>
        </is>
      </c>
      <c r="G349" s="5" t="inlineStr">
        <is>
          <t>Cameo</t>
        </is>
      </c>
      <c r="H349" s="5" t="inlineStr">
        <is>
          <t>Minor</t>
        </is>
      </c>
      <c r="I349" s="5" t="inlineStr">
        <is>
          <t>Dances with Khan in a song tribute</t>
        </is>
      </c>
      <c r="J349" s="5" t="inlineStr">
        <is>
          <t>Not applicable</t>
        </is>
      </c>
      <c r="K349" s="19" t="inlineStr">
        <is>
          <t>One of five actresses who appear as screen legends in the song 'Phir Milenge Chalte Chalte'.</t>
        </is>
      </c>
      <c r="L349" s="5" t="n"/>
      <c r="M349" s="5" t="inlineStr">
        <is>
          <t>SOURCE-070</t>
        </is>
      </c>
    </row>
    <row r="350" ht="49" customHeight="1">
      <c r="A350" s="15" t="inlineStr">
        <is>
          <t>CAST-349</t>
        </is>
      </c>
      <c r="B350" s="20" t="inlineStr">
        <is>
          <t>FILM-067</t>
        </is>
      </c>
      <c r="C350" s="5" t="inlineStr">
        <is>
          <t>Rab Ne Bana Di Jodi</t>
        </is>
      </c>
      <c r="D350" s="17" t="n">
        <v>2008</v>
      </c>
      <c r="E350" s="5" t="inlineStr">
        <is>
          <t>Rajesh Jais</t>
        </is>
      </c>
      <c r="F350" s="5" t="inlineStr">
        <is>
          <t>Khanna</t>
        </is>
      </c>
      <c r="G350" s="5" t="inlineStr">
        <is>
          <t>Supporting</t>
        </is>
      </c>
      <c r="H350" s="5" t="inlineStr">
        <is>
          <t>Minor</t>
        </is>
      </c>
      <c r="I350" s="5" t="inlineStr">
        <is>
          <t>Surinder's colleague at Punjab Power.</t>
        </is>
      </c>
      <c r="J350" s="5" t="inlineStr">
        <is>
          <t>One of the office colleagues whose self-invited party forces Suri to introduce his new wife, Taani.</t>
        </is>
      </c>
      <c r="K350" s="19" t="inlineStr">
        <is>
          <t>Suri's office colleague; the colleagues invite themselves to Suri's house after learning of his marriage.</t>
        </is>
      </c>
      <c r="L350" s="5" t="n"/>
      <c r="M350" s="5" t="inlineStr">
        <is>
          <t>SOURCE-070</t>
        </is>
      </c>
    </row>
    <row r="351" ht="34" customHeight="1">
      <c r="A351" s="15" t="inlineStr">
        <is>
          <t>CAST-350</t>
        </is>
      </c>
      <c r="B351" s="20" t="inlineStr">
        <is>
          <t>FILM-068</t>
        </is>
      </c>
      <c r="C351" s="5" t="inlineStr">
        <is>
          <t>Luck by Chance</t>
        </is>
      </c>
      <c r="D351" s="17" t="n">
        <v>2009</v>
      </c>
      <c r="E351" s="5" t="inlineStr">
        <is>
          <t>Farhan Akhtar</t>
        </is>
      </c>
      <c r="F351" s="5" t="inlineStr">
        <is>
          <t>Vikram Jaisingh</t>
        </is>
      </c>
      <c r="G351" s="5" t="inlineStr">
        <is>
          <t>Co-lead</t>
        </is>
      </c>
      <c r="H351" s="5" t="inlineStr">
        <is>
          <t>Major</t>
        </is>
      </c>
      <c r="I351" s="5" t="inlineStr">
        <is>
          <t>Rising actor Khan warns about fame</t>
        </is>
      </c>
      <c r="J351" s="5" t="inlineStr">
        <is>
          <t>Not applicable</t>
        </is>
      </c>
      <c r="K351" s="19" t="inlineStr">
        <is>
          <t>Struggling actor who lands a lead role and drifts from the friends who knew him before success.</t>
        </is>
      </c>
      <c r="L351" s="5" t="n"/>
      <c r="M351" s="5" t="inlineStr">
        <is>
          <t>SOURCE-071</t>
        </is>
      </c>
    </row>
    <row r="352" ht="19" customHeight="1">
      <c r="A352" s="15" t="inlineStr">
        <is>
          <t>CAST-351</t>
        </is>
      </c>
      <c r="B352" s="20" t="inlineStr">
        <is>
          <t>FILM-068</t>
        </is>
      </c>
      <c r="C352" s="5" t="inlineStr">
        <is>
          <t>Luck by Chance</t>
        </is>
      </c>
      <c r="D352" s="17" t="n">
        <v>2009</v>
      </c>
      <c r="E352" s="5" t="inlineStr">
        <is>
          <t>Konkona Sen Sharma</t>
        </is>
      </c>
      <c r="F352" s="5" t="inlineStr">
        <is>
          <t>Sona Mishra</t>
        </is>
      </c>
      <c r="G352" s="5" t="inlineStr">
        <is>
          <t>Co-lead</t>
        </is>
      </c>
      <c r="H352" s="5" t="inlineStr">
        <is>
          <t>Major</t>
        </is>
      </c>
      <c r="I352" s="5" t="inlineStr">
        <is>
          <t>Not directly connected</t>
        </is>
      </c>
      <c r="J352" s="5" t="inlineStr">
        <is>
          <t>Not applicable</t>
        </is>
      </c>
      <c r="K352" s="19" t="inlineStr">
        <is>
          <t>Struggling actress and Vikram's girlfriend.</t>
        </is>
      </c>
      <c r="L352" s="5" t="n"/>
      <c r="M352" s="5" t="inlineStr">
        <is>
          <t>SOURCE-071</t>
        </is>
      </c>
    </row>
    <row r="353" ht="19" customHeight="1">
      <c r="A353" s="15" t="inlineStr">
        <is>
          <t>CAST-352</t>
        </is>
      </c>
      <c r="B353" s="20" t="inlineStr">
        <is>
          <t>FILM-068</t>
        </is>
      </c>
      <c r="C353" s="5" t="inlineStr">
        <is>
          <t>Luck by Chance</t>
        </is>
      </c>
      <c r="D353" s="17" t="n">
        <v>2009</v>
      </c>
      <c r="E353" s="5" t="inlineStr">
        <is>
          <t>Aamir Khan</t>
        </is>
      </c>
      <c r="F353" s="5" t="inlineStr">
        <is>
          <t>Himself</t>
        </is>
      </c>
      <c r="G353" s="5" t="inlineStr">
        <is>
          <t>Self appearance</t>
        </is>
      </c>
      <c r="H353" s="5" t="inlineStr">
        <is>
          <t>Minor</t>
        </is>
      </c>
      <c r="I353" s="5" t="inlineStr">
        <is>
          <t>Fellow star in the cameo appearances</t>
        </is>
      </c>
      <c r="J353" s="5" t="inlineStr">
        <is>
          <t>Not applicable</t>
        </is>
      </c>
      <c r="K353" s="19" t="inlineStr">
        <is>
          <t>One of many industry figures appearing as themselves.</t>
        </is>
      </c>
      <c r="L353" s="5" t="n"/>
      <c r="M353" s="5" t="inlineStr">
        <is>
          <t>SOURCE-071</t>
        </is>
      </c>
    </row>
    <row r="354" ht="49" customHeight="1">
      <c r="A354" s="15" t="inlineStr">
        <is>
          <t>CAST-353</t>
        </is>
      </c>
      <c r="B354" s="20" t="inlineStr">
        <is>
          <t>FILM-068</t>
        </is>
      </c>
      <c r="C354" s="5" t="inlineStr">
        <is>
          <t>Luck by Chance</t>
        </is>
      </c>
      <c r="D354" s="17" t="n">
        <v>2009</v>
      </c>
      <c r="E354" s="5" t="inlineStr">
        <is>
          <t>Rishi Kapoor</t>
        </is>
      </c>
      <c r="F354" s="5" t="inlineStr">
        <is>
          <t>Rommy Rolly</t>
        </is>
      </c>
      <c r="G354" s="5" t="inlineStr">
        <is>
          <t>Supporting</t>
        </is>
      </c>
      <c r="H354" s="5" t="inlineStr">
        <is>
          <t>Major</t>
        </is>
      </c>
      <c r="I354" s="5" t="inlineStr">
        <is>
          <t>The producer whose film gives Vikram, the protagonist, his break; Shah Rukh Khan appears as himself.</t>
        </is>
      </c>
      <c r="J354" s="5" t="inlineStr">
        <is>
          <t>Not applicable</t>
        </is>
      </c>
      <c r="K354" s="19" t="inlineStr">
        <is>
          <t>One of Bollywood's biggest producers. Vikram auditions for and wins the male lead in Rolly's film, which becomes a hit.</t>
        </is>
      </c>
      <c r="L354" s="5" t="inlineStr">
        <is>
          <t>Filmfare Award for Best Supporting Actor nomination</t>
        </is>
      </c>
      <c r="M354" s="5" t="inlineStr">
        <is>
          <t>SOURCE-071</t>
        </is>
      </c>
    </row>
    <row r="355" ht="64" customHeight="1">
      <c r="A355" s="15" t="inlineStr">
        <is>
          <t>CAST-354</t>
        </is>
      </c>
      <c r="B355" s="20" t="inlineStr">
        <is>
          <t>FILM-068</t>
        </is>
      </c>
      <c r="C355" s="5" t="inlineStr">
        <is>
          <t>Luck by Chance</t>
        </is>
      </c>
      <c r="D355" s="17" t="n">
        <v>2009</v>
      </c>
      <c r="E355" s="5" t="inlineStr">
        <is>
          <t>Dimple Kapadia</t>
        </is>
      </c>
      <c r="F355" s="5" t="inlineStr">
        <is>
          <t>Neena Walia</t>
        </is>
      </c>
      <c r="G355" s="5" t="inlineStr">
        <is>
          <t>Supporting</t>
        </is>
      </c>
      <c r="H355" s="5" t="inlineStr">
        <is>
          <t>Major</t>
        </is>
      </c>
      <c r="I355" s="5" t="inlineStr">
        <is>
          <t>Yesteryear actress and mother of Vikram's co-star Nikki; Vikram, the protagonist, wins her over. Shah Rukh Khan appears as himself.</t>
        </is>
      </c>
      <c r="J355" s="5" t="inlineStr">
        <is>
          <t>Not applicable</t>
        </is>
      </c>
      <c r="K355" s="19" t="inlineStr">
        <is>
          <t>A legendary yesteryear actress and Nikki's mother. Vikram wins her over on location, and gossip later links him to flirting with her.</t>
        </is>
      </c>
      <c r="L355" s="5" t="inlineStr">
        <is>
          <t>Filmfare Award for Best Supporting Actress nomination</t>
        </is>
      </c>
      <c r="M355" s="5" t="inlineStr">
        <is>
          <t>SOURCE-071</t>
        </is>
      </c>
    </row>
    <row r="356" ht="49" customHeight="1">
      <c r="A356" s="15" t="inlineStr">
        <is>
          <t>CAST-355</t>
        </is>
      </c>
      <c r="B356" s="20" t="inlineStr">
        <is>
          <t>FILM-068</t>
        </is>
      </c>
      <c r="C356" s="5" t="inlineStr">
        <is>
          <t>Luck by Chance</t>
        </is>
      </c>
      <c r="D356" s="17" t="n">
        <v>2009</v>
      </c>
      <c r="E356" s="5" t="inlineStr">
        <is>
          <t>Juhi Chawla</t>
        </is>
      </c>
      <c r="F356" s="5" t="inlineStr">
        <is>
          <t>Minty Rolly</t>
        </is>
      </c>
      <c r="G356" s="5" t="inlineStr">
        <is>
          <t>Supporting</t>
        </is>
      </c>
      <c r="H356" s="5" t="inlineStr">
        <is>
          <t>Medium</t>
        </is>
      </c>
      <c r="I356" s="5" t="inlineStr">
        <is>
          <t>Wife of producer Rolly, whose film launches Vikram, the protagonist; Shah Rukh Khan appears as himself.</t>
        </is>
      </c>
      <c r="J356" s="5" t="inlineStr">
        <is>
          <t>Not applicable</t>
        </is>
      </c>
      <c r="K356" s="19" t="inlineStr">
        <is>
          <t>Producer Rolly's wife, one of the film's billed stars in a supporting role.</t>
        </is>
      </c>
      <c r="L356" s="5" t="n"/>
      <c r="M356" s="5" t="inlineStr">
        <is>
          <t>SOURCE-071</t>
        </is>
      </c>
    </row>
    <row r="357" ht="34" customHeight="1">
      <c r="A357" s="15" t="inlineStr">
        <is>
          <t>CAST-356</t>
        </is>
      </c>
      <c r="B357" s="20" t="inlineStr">
        <is>
          <t>FILM-069</t>
        </is>
      </c>
      <c r="C357" s="5" t="inlineStr">
        <is>
          <t>Billu</t>
        </is>
      </c>
      <c r="D357" s="17" t="n">
        <v>2009</v>
      </c>
      <c r="E357" s="5" t="inlineStr">
        <is>
          <t>Irrfan Khan</t>
        </is>
      </c>
      <c r="F357" s="5" t="inlineStr">
        <is>
          <t>Bilas Rao "Billu" Pardesi</t>
        </is>
      </c>
      <c r="G357" s="5" t="inlineStr">
        <is>
          <t>Co-lead</t>
        </is>
      </c>
      <c r="H357" s="5" t="inlineStr">
        <is>
          <t>Major</t>
        </is>
      </c>
      <c r="I357" s="5" t="inlineStr">
        <is>
          <t>Sahir's forgotten childhood friend</t>
        </is>
      </c>
      <c r="J357" s="5" t="inlineStr">
        <is>
          <t>Not applicable</t>
        </is>
      </c>
      <c r="K357" s="19" t="inlineStr">
        <is>
          <t>Poor village barber scorned when he cannot introduce the villagers to Sahir, whose success he once made possible.</t>
        </is>
      </c>
      <c r="L357" s="5" t="n"/>
      <c r="M357" s="5" t="inlineStr">
        <is>
          <t>SOURCE-072</t>
        </is>
      </c>
    </row>
    <row r="358" ht="19" customHeight="1">
      <c r="A358" s="15" t="inlineStr">
        <is>
          <t>CAST-357</t>
        </is>
      </c>
      <c r="B358" s="20" t="inlineStr">
        <is>
          <t>FILM-069</t>
        </is>
      </c>
      <c r="C358" s="5" t="inlineStr">
        <is>
          <t>Billu</t>
        </is>
      </c>
      <c r="D358" s="17" t="n">
        <v>2009</v>
      </c>
      <c r="E358" s="5" t="inlineStr">
        <is>
          <t>Lara Dutta</t>
        </is>
      </c>
      <c r="F358" s="5" t="inlineStr">
        <is>
          <t>Bindiya Pardesi</t>
        </is>
      </c>
      <c r="G358" s="5" t="inlineStr">
        <is>
          <t>Family</t>
        </is>
      </c>
      <c r="H358" s="5" t="inlineStr">
        <is>
          <t>Medium</t>
        </is>
      </c>
      <c r="I358" s="5" t="inlineStr">
        <is>
          <t>Wife of Sahir's childhood friend</t>
        </is>
      </c>
      <c r="J358" s="5" t="inlineStr">
        <is>
          <t>Not applicable</t>
        </is>
      </c>
      <c r="K358" s="19" t="inlineStr">
        <is>
          <t>Billu's wife, who begins to doubt his honesty.</t>
        </is>
      </c>
      <c r="L358" s="5" t="n"/>
      <c r="M358" s="5" t="inlineStr">
        <is>
          <t>SOURCE-072</t>
        </is>
      </c>
    </row>
    <row r="359" ht="34" customHeight="1">
      <c r="A359" s="15" t="inlineStr">
        <is>
          <t>CAST-358</t>
        </is>
      </c>
      <c r="B359" s="20" t="inlineStr">
        <is>
          <t>FILM-069</t>
        </is>
      </c>
      <c r="C359" s="5" t="inlineStr">
        <is>
          <t>Billu</t>
        </is>
      </c>
      <c r="D359" s="17" t="n">
        <v>2009</v>
      </c>
      <c r="E359" s="5" t="inlineStr">
        <is>
          <t>Om Puri</t>
        </is>
      </c>
      <c r="F359" s="5" t="inlineStr">
        <is>
          <t>Sahukaar Daamchand</t>
        </is>
      </c>
      <c r="G359" s="5" t="inlineStr">
        <is>
          <t>Supporting</t>
        </is>
      </c>
      <c r="H359" s="5" t="inlineStr">
        <is>
          <t>Medium</t>
        </is>
      </c>
      <c r="I359" s="5" t="inlineStr">
        <is>
          <t>Businessman desperate to meet Sahir</t>
        </is>
      </c>
      <c r="J359" s="5" t="inlineStr">
        <is>
          <t>Not applicable</t>
        </is>
      </c>
      <c r="K359" s="19" t="inlineStr">
        <is>
          <t>Showers Billu with gifts to secure an introduction to the star.</t>
        </is>
      </c>
      <c r="L359" s="5" t="n"/>
      <c r="M359" s="5" t="inlineStr">
        <is>
          <t>SOURCE-072</t>
        </is>
      </c>
    </row>
    <row r="360" ht="34" customHeight="1">
      <c r="A360" s="15" t="inlineStr">
        <is>
          <t>CAST-359</t>
        </is>
      </c>
      <c r="B360" s="20" t="inlineStr">
        <is>
          <t>FILM-069</t>
        </is>
      </c>
      <c r="C360" s="5" t="inlineStr">
        <is>
          <t>Billu</t>
        </is>
      </c>
      <c r="D360" s="17" t="n">
        <v>2009</v>
      </c>
      <c r="E360" s="5" t="inlineStr">
        <is>
          <t>Kareena Kapoor</t>
        </is>
      </c>
      <c r="F360" s="5" t="inlineStr">
        <is>
          <t>Sahir Khan's heroine in 'Marjaani'</t>
        </is>
      </c>
      <c r="G360" s="5" t="inlineStr">
        <is>
          <t>Cameo</t>
        </is>
      </c>
      <c r="H360" s="5" t="inlineStr">
        <is>
          <t>Minor</t>
        </is>
      </c>
      <c r="I360" s="5" t="inlineStr">
        <is>
          <t>Co-star in one of Sahir's film songs</t>
        </is>
      </c>
      <c r="J360" s="5" t="inlineStr">
        <is>
          <t>Not applicable</t>
        </is>
      </c>
      <c r="K360" s="19" t="inlineStr">
        <is>
          <t>Special appearance in the song 'Marjaani'.</t>
        </is>
      </c>
      <c r="L360" s="5" t="n"/>
      <c r="M360" s="5" t="inlineStr">
        <is>
          <t>SOURCE-072</t>
        </is>
      </c>
    </row>
    <row r="361" ht="49" customHeight="1">
      <c r="A361" s="15" t="inlineStr">
        <is>
          <t>CAST-360</t>
        </is>
      </c>
      <c r="B361" s="20" t="inlineStr">
        <is>
          <t>FILM-069</t>
        </is>
      </c>
      <c r="C361" s="5" t="inlineStr">
        <is>
          <t>Billu</t>
        </is>
      </c>
      <c r="D361" s="17" t="n">
        <v>2009</v>
      </c>
      <c r="E361" s="5" t="inlineStr">
        <is>
          <t>Priyanka Chopra</t>
        </is>
      </c>
      <c r="F361" s="5" t="inlineStr">
        <is>
          <t>Sahir Khan's heroine in 'You Get Me Rockin &amp; Reeling'</t>
        </is>
      </c>
      <c r="G361" s="5" t="inlineStr">
        <is>
          <t>Cameo</t>
        </is>
      </c>
      <c r="H361" s="5" t="inlineStr">
        <is>
          <t>Minor</t>
        </is>
      </c>
      <c r="I361" s="5" t="inlineStr">
        <is>
          <t>Co-star in one of Sahir's film songs</t>
        </is>
      </c>
      <c r="J361" s="5" t="inlineStr">
        <is>
          <t>Not applicable</t>
        </is>
      </c>
      <c r="K361" s="19" t="inlineStr">
        <is>
          <t>Special appearance in the song 'You Get Me Rockin &amp; Reeling'.</t>
        </is>
      </c>
      <c r="L361" s="5" t="n"/>
      <c r="M361" s="5" t="inlineStr">
        <is>
          <t>SOURCE-072</t>
        </is>
      </c>
    </row>
    <row r="362" ht="34" customHeight="1">
      <c r="A362" s="15" t="inlineStr">
        <is>
          <t>CAST-361</t>
        </is>
      </c>
      <c r="B362" s="20" t="inlineStr">
        <is>
          <t>FILM-069</t>
        </is>
      </c>
      <c r="C362" s="5" t="inlineStr">
        <is>
          <t>Billu</t>
        </is>
      </c>
      <c r="D362" s="17" t="n">
        <v>2009</v>
      </c>
      <c r="E362" s="5" t="inlineStr">
        <is>
          <t>Deepika Padukone</t>
        </is>
      </c>
      <c r="F362" s="5" t="inlineStr">
        <is>
          <t>Sahir Khan's heroine in 'Love Mera Hit Hit'</t>
        </is>
      </c>
      <c r="G362" s="5" t="inlineStr">
        <is>
          <t>Cameo</t>
        </is>
      </c>
      <c r="H362" s="5" t="inlineStr">
        <is>
          <t>Minor</t>
        </is>
      </c>
      <c r="I362" s="5" t="inlineStr">
        <is>
          <t>Co-star in one of Sahir's film songs</t>
        </is>
      </c>
      <c r="J362" s="5" t="inlineStr">
        <is>
          <t>Not applicable</t>
        </is>
      </c>
      <c r="K362" s="19" t="inlineStr">
        <is>
          <t>Special appearance in the song 'Love Mera Hit Hit'.</t>
        </is>
      </c>
      <c r="L362" s="5" t="n"/>
      <c r="M362" s="5" t="inlineStr">
        <is>
          <t>SOURCE-072</t>
        </is>
      </c>
    </row>
    <row r="363" ht="34" customHeight="1">
      <c r="A363" s="15" t="inlineStr">
        <is>
          <t>CAST-362</t>
        </is>
      </c>
      <c r="B363" s="20" t="inlineStr">
        <is>
          <t>FILM-069</t>
        </is>
      </c>
      <c r="C363" s="5" t="inlineStr">
        <is>
          <t>Billu</t>
        </is>
      </c>
      <c r="D363" s="17" t="n">
        <v>2009</v>
      </c>
      <c r="E363" s="5" t="inlineStr">
        <is>
          <t>Asrani</t>
        </is>
      </c>
      <c r="F363" s="5" t="inlineStr">
        <is>
          <t>Naubat Chacha</t>
        </is>
      </c>
      <c r="G363" s="5" t="inlineStr">
        <is>
          <t>Supporting</t>
        </is>
      </c>
      <c r="H363" s="5" t="inlineStr">
        <is>
          <t>Minor</t>
        </is>
      </c>
      <c r="I363" s="5" t="inlineStr">
        <is>
          <t>A close friend of Billu, Sahir's childhood friend.</t>
        </is>
      </c>
      <c r="J363" s="5" t="inlineStr">
        <is>
          <t>Not applicable</t>
        </is>
      </c>
      <c r="K363" s="19" t="inlineStr">
        <is>
          <t>One of Billu's close friends in the village of Budbuda.</t>
        </is>
      </c>
      <c r="L363" s="5" t="n"/>
      <c r="M363" s="5" t="inlineStr">
        <is>
          <t>SOURCE-072</t>
        </is>
      </c>
    </row>
    <row r="364" ht="34" customHeight="1">
      <c r="A364" s="15" t="inlineStr">
        <is>
          <t>CAST-363</t>
        </is>
      </c>
      <c r="B364" s="20" t="inlineStr">
        <is>
          <t>FILM-069</t>
        </is>
      </c>
      <c r="C364" s="5" t="inlineStr">
        <is>
          <t>Billu</t>
        </is>
      </c>
      <c r="D364" s="17" t="n">
        <v>2009</v>
      </c>
      <c r="E364" s="5" t="inlineStr">
        <is>
          <t>Rajpal Yadav</t>
        </is>
      </c>
      <c r="F364" s="5" t="inlineStr">
        <is>
          <t>Zallan Kumar / Budbudiya</t>
        </is>
      </c>
      <c r="G364" s="5" t="inlineStr">
        <is>
          <t>Comic support</t>
        </is>
      </c>
      <c r="H364" s="5" t="inlineStr">
        <is>
          <t>Minor</t>
        </is>
      </c>
      <c r="I364" s="5" t="inlineStr">
        <is>
          <t>A close friend of Billu, Sahir's childhood friend.</t>
        </is>
      </c>
      <c r="J364" s="5" t="inlineStr">
        <is>
          <t>Not applicable</t>
        </is>
      </c>
      <c r="K364" s="19" t="inlineStr">
        <is>
          <t>Budbudiya is one of Billu's close friends in the village of Budbuda.</t>
        </is>
      </c>
      <c r="L364" s="5" t="n"/>
      <c r="M364" s="5" t="inlineStr">
        <is>
          <t>SOURCE-072</t>
        </is>
      </c>
    </row>
    <row r="365" ht="34" customHeight="1">
      <c r="A365" s="15" t="inlineStr">
        <is>
          <t>CAST-364</t>
        </is>
      </c>
      <c r="B365" s="20" t="inlineStr">
        <is>
          <t>FILM-070</t>
        </is>
      </c>
      <c r="C365" s="5" t="inlineStr">
        <is>
          <t>Dulha Mil Gaya</t>
        </is>
      </c>
      <c r="D365" s="17" t="n">
        <v>2010</v>
      </c>
      <c r="E365" s="5" t="inlineStr">
        <is>
          <t>Sushmita Sen</t>
        </is>
      </c>
      <c r="F365" s="5" t="inlineStr">
        <is>
          <t>Shimmer Canhai</t>
        </is>
      </c>
      <c r="G365" s="5" t="inlineStr">
        <is>
          <t>Co-lead</t>
        </is>
      </c>
      <c r="H365" s="5" t="inlineStr">
        <is>
          <t>Major</t>
        </is>
      </c>
      <c r="I365" s="5" t="inlineStr">
        <is>
          <t>PRG's girlfriend</t>
        </is>
      </c>
      <c r="J365" s="5" t="inlineStr">
        <is>
          <t>Realises her feelings for PRG and meets him at the airport</t>
        </is>
      </c>
      <c r="K365" s="19" t="inlineStr">
        <is>
          <t>Donsai's friend who gives the abandoned Samarpreet a makeover to win back her husband.</t>
        </is>
      </c>
      <c r="L365" s="5" t="n"/>
      <c r="M365" s="5" t="inlineStr">
        <is>
          <t>SOURCE-073</t>
        </is>
      </c>
    </row>
    <row r="366" ht="34" customHeight="1">
      <c r="A366" s="15" t="inlineStr">
        <is>
          <t>CAST-365</t>
        </is>
      </c>
      <c r="B366" s="20" t="inlineStr">
        <is>
          <t>FILM-070</t>
        </is>
      </c>
      <c r="C366" s="5" t="inlineStr">
        <is>
          <t>Dulha Mil Gaya</t>
        </is>
      </c>
      <c r="D366" s="17" t="n">
        <v>2010</v>
      </c>
      <c r="E366" s="5" t="inlineStr">
        <is>
          <t>Fardeen Khan</t>
        </is>
      </c>
      <c r="F366" s="5" t="inlineStr">
        <is>
          <t>Tej "Donsai" Dhanraj</t>
        </is>
      </c>
      <c r="G366" s="5" t="inlineStr">
        <is>
          <t>Co-lead</t>
        </is>
      </c>
      <c r="H366" s="5" t="inlineStr">
        <is>
          <t>Major</t>
        </is>
      </c>
      <c r="I366" s="5" t="inlineStr">
        <is>
          <t>Not directly connected</t>
        </is>
      </c>
      <c r="J366" s="5" t="inlineStr">
        <is>
          <t>Not applicable</t>
        </is>
      </c>
      <c r="K366" s="19" t="inlineStr">
        <is>
          <t>Heir who marries only to inherit, deserts his wife, and falls for her in disguise.</t>
        </is>
      </c>
      <c r="L366" s="5" t="n"/>
      <c r="M366" s="5" t="inlineStr">
        <is>
          <t>SOURCE-073</t>
        </is>
      </c>
    </row>
    <row r="367" ht="34" customHeight="1">
      <c r="A367" s="15" t="inlineStr">
        <is>
          <t>CAST-366</t>
        </is>
      </c>
      <c r="B367" s="20" t="inlineStr">
        <is>
          <t>FILM-070</t>
        </is>
      </c>
      <c r="C367" s="5" t="inlineStr">
        <is>
          <t>Dulha Mil Gaya</t>
        </is>
      </c>
      <c r="D367" s="17" t="n">
        <v>2010</v>
      </c>
      <c r="E367" s="5" t="inlineStr">
        <is>
          <t>Ishita Sharma</t>
        </is>
      </c>
      <c r="F367" s="5" t="inlineStr">
        <is>
          <t>Samarpreet Kapoor Dhanraj / Samara</t>
        </is>
      </c>
      <c r="G367" s="5" t="inlineStr">
        <is>
          <t>Co-lead</t>
        </is>
      </c>
      <c r="H367" s="5" t="inlineStr">
        <is>
          <t>Major</t>
        </is>
      </c>
      <c r="I367" s="5" t="inlineStr">
        <is>
          <t>Helped by PRG and Shimmer</t>
        </is>
      </c>
      <c r="J367" s="5" t="inlineStr">
        <is>
          <t>Not applicable</t>
        </is>
      </c>
      <c r="K367" s="19" t="inlineStr">
        <is>
          <t>Punjabi bride who reinvents herself as Samara to win back her husband.</t>
        </is>
      </c>
      <c r="L367" s="5" t="n"/>
      <c r="M367" s="5" t="inlineStr">
        <is>
          <t>SOURCE-073</t>
        </is>
      </c>
    </row>
    <row r="368" ht="34" customHeight="1">
      <c r="A368" s="15" t="inlineStr">
        <is>
          <t>CAST-367</t>
        </is>
      </c>
      <c r="B368" s="20" t="inlineStr">
        <is>
          <t>FILM-071</t>
        </is>
      </c>
      <c r="C368" s="5" t="inlineStr">
        <is>
          <t>My Name Is Khan</t>
        </is>
      </c>
      <c r="D368" s="17" t="n">
        <v>2010</v>
      </c>
      <c r="E368" s="5" t="inlineStr">
        <is>
          <t>Arjan Aujla</t>
        </is>
      </c>
      <c r="F368" s="5" t="inlineStr">
        <is>
          <t>Sameer "Sam" Khan</t>
        </is>
      </c>
      <c r="G368" s="5" t="inlineStr">
        <is>
          <t>Family</t>
        </is>
      </c>
      <c r="H368" s="5" t="inlineStr">
        <is>
          <t>Major</t>
        </is>
      </c>
      <c r="I368" s="5" t="inlineStr">
        <is>
          <t>Rizwan's stepson</t>
        </is>
      </c>
      <c r="J368" s="5" t="inlineStr">
        <is>
          <t>His death breaks the marriage apart</t>
        </is>
      </c>
      <c r="K368" s="19" t="inlineStr">
        <is>
          <t>Mandira's son, killed in an attack by older students after 9/11.</t>
        </is>
      </c>
      <c r="L368" s="5" t="n"/>
      <c r="M368" s="5" t="inlineStr">
        <is>
          <t>SOURCE-074</t>
        </is>
      </c>
    </row>
    <row r="369" ht="34" customHeight="1">
      <c r="A369" s="15" t="inlineStr">
        <is>
          <t>CAST-368</t>
        </is>
      </c>
      <c r="B369" s="20" t="inlineStr">
        <is>
          <t>FILM-071</t>
        </is>
      </c>
      <c r="C369" s="5" t="inlineStr">
        <is>
          <t>My Name Is Khan</t>
        </is>
      </c>
      <c r="D369" s="17" t="n">
        <v>2010</v>
      </c>
      <c r="E369" s="5" t="inlineStr">
        <is>
          <t>Jimmy Sheirgill</t>
        </is>
      </c>
      <c r="F369" s="5" t="inlineStr">
        <is>
          <t>Zakir Khan</t>
        </is>
      </c>
      <c r="G369" s="5" t="inlineStr">
        <is>
          <t>Family</t>
        </is>
      </c>
      <c r="H369" s="5" t="inlineStr">
        <is>
          <t>Medium</t>
        </is>
      </c>
      <c r="I369" s="5" t="inlineStr">
        <is>
          <t>Rizwan's resentful younger brother</t>
        </is>
      </c>
      <c r="J369" s="5" t="inlineStr">
        <is>
          <t>Disapproves of the interfaith marriage</t>
        </is>
      </c>
      <c r="K369" s="19" t="inlineStr">
        <is>
          <t>San Francisco businessman who sponsors Rizwan's move to the US and employs him.</t>
        </is>
      </c>
      <c r="L369" s="5" t="n"/>
      <c r="M369" s="5" t="inlineStr">
        <is>
          <t>SOURCE-074</t>
        </is>
      </c>
    </row>
    <row r="370" ht="34" customHeight="1">
      <c r="A370" s="15" t="inlineStr">
        <is>
          <t>CAST-369</t>
        </is>
      </c>
      <c r="B370" s="20" t="inlineStr">
        <is>
          <t>FILM-071</t>
        </is>
      </c>
      <c r="C370" s="5" t="inlineStr">
        <is>
          <t>My Name Is Khan</t>
        </is>
      </c>
      <c r="D370" s="17" t="n">
        <v>2010</v>
      </c>
      <c r="E370" s="5" t="inlineStr">
        <is>
          <t>Sonya Jehan</t>
        </is>
      </c>
      <c r="F370" s="5" t="inlineStr">
        <is>
          <t>Hasina Khan</t>
        </is>
      </c>
      <c r="G370" s="5" t="inlineStr">
        <is>
          <t>Family</t>
        </is>
      </c>
      <c r="H370" s="5" t="inlineStr">
        <is>
          <t>Medium</t>
        </is>
      </c>
      <c r="I370" s="5" t="inlineStr">
        <is>
          <t>Diagnoses Rizwan's Asperger's syndrome</t>
        </is>
      </c>
      <c r="J370" s="5" t="inlineStr">
        <is>
          <t>Not applicable</t>
        </is>
      </c>
      <c r="K370" s="19" t="inlineStr">
        <is>
          <t>Zakir's wife, a psychologist figure in Rizwan's new life.</t>
        </is>
      </c>
      <c r="L370" s="5" t="n"/>
      <c r="M370" s="5" t="inlineStr">
        <is>
          <t>SOURCE-074</t>
        </is>
      </c>
    </row>
    <row r="371" ht="34" customHeight="1">
      <c r="A371" s="15" t="inlineStr">
        <is>
          <t>CAST-370</t>
        </is>
      </c>
      <c r="B371" s="20" t="inlineStr">
        <is>
          <t>FILM-071</t>
        </is>
      </c>
      <c r="C371" s="5" t="inlineStr">
        <is>
          <t>My Name Is Khan</t>
        </is>
      </c>
      <c r="D371" s="17" t="n">
        <v>2010</v>
      </c>
      <c r="E371" s="5" t="inlineStr">
        <is>
          <t>Zarina Wahab</t>
        </is>
      </c>
      <c r="F371" s="5" t="inlineStr">
        <is>
          <t>Razia Khan</t>
        </is>
      </c>
      <c r="G371" s="5" t="inlineStr">
        <is>
          <t>Family</t>
        </is>
      </c>
      <c r="H371" s="5" t="inlineStr">
        <is>
          <t>Medium</t>
        </is>
      </c>
      <c r="I371" s="5" t="inlineStr">
        <is>
          <t>Rizwan's mother</t>
        </is>
      </c>
      <c r="J371" s="5" t="inlineStr">
        <is>
          <t>Not applicable</t>
        </is>
      </c>
      <c r="K371" s="19" t="inlineStr">
        <is>
          <t>Raises Rizwan in Mumbai with special tutoring, arousing Zakir's resentment.</t>
        </is>
      </c>
      <c r="L371" s="5" t="n"/>
      <c r="M371" s="5" t="inlineStr">
        <is>
          <t>SOURCE-074</t>
        </is>
      </c>
    </row>
    <row r="372" ht="34" customHeight="1">
      <c r="A372" s="15" t="inlineStr">
        <is>
          <t>CAST-371</t>
        </is>
      </c>
      <c r="B372" s="20" t="inlineStr">
        <is>
          <t>FILM-071</t>
        </is>
      </c>
      <c r="C372" s="5" t="inlineStr">
        <is>
          <t>My Name Is Khan</t>
        </is>
      </c>
      <c r="D372" s="17" t="n">
        <v>2010</v>
      </c>
      <c r="E372" s="5" t="inlineStr">
        <is>
          <t>Jennifer Echols</t>
        </is>
      </c>
      <c r="F372" s="5" t="inlineStr">
        <is>
          <t>Mama Jenny</t>
        </is>
      </c>
      <c r="G372" s="5" t="inlineStr">
        <is>
          <t>Friend</t>
        </is>
      </c>
      <c r="H372" s="5" t="inlineStr">
        <is>
          <t>Medium</t>
        </is>
      </c>
      <c r="I372" s="5" t="inlineStr">
        <is>
          <t>Befriends Rizwan in Wilhelmina, Georgia</t>
        </is>
      </c>
      <c r="J372" s="5" t="inlineStr">
        <is>
          <t>Mandira reunites with Rizwan in her town</t>
        </is>
      </c>
      <c r="K372" s="19" t="inlineStr">
        <is>
          <t>Mother in an impoverished Georgia town whose community Rizwan returns to help after a hurricane.</t>
        </is>
      </c>
      <c r="L372" s="5" t="n"/>
      <c r="M372" s="5" t="inlineStr">
        <is>
          <t>SOURCE-074</t>
        </is>
      </c>
    </row>
    <row r="373" ht="34" customHeight="1">
      <c r="A373" s="15" t="inlineStr">
        <is>
          <t>CAST-372</t>
        </is>
      </c>
      <c r="B373" s="20" t="inlineStr">
        <is>
          <t>FILM-071</t>
        </is>
      </c>
      <c r="C373" s="5" t="inlineStr">
        <is>
          <t>My Name Is Khan</t>
        </is>
      </c>
      <c r="D373" s="17" t="n">
        <v>2010</v>
      </c>
      <c r="E373" s="5" t="inlineStr">
        <is>
          <t>Arif Zakaria</t>
        </is>
      </c>
      <c r="F373" s="5" t="inlineStr">
        <is>
          <t>Dr. Faisal Rahman</t>
        </is>
      </c>
      <c r="G373" s="5" t="inlineStr">
        <is>
          <t>Antagonist</t>
        </is>
      </c>
      <c r="H373" s="5" t="inlineStr">
        <is>
          <t>Medium</t>
        </is>
      </c>
      <c r="I373" s="5" t="inlineStr">
        <is>
          <t>Extremist Rizwan confronts and reports</t>
        </is>
      </c>
      <c r="J373" s="5" t="inlineStr">
        <is>
          <t>One of his followers stabs Rizwan as Mandira arrives</t>
        </is>
      </c>
      <c r="K373" s="19" t="inlineStr">
        <is>
          <t>Radical doctor preaching violence at a Los Angeles mosque.</t>
        </is>
      </c>
      <c r="L373" s="5" t="n"/>
      <c r="M373" s="5" t="inlineStr">
        <is>
          <t>SOURCE-074</t>
        </is>
      </c>
    </row>
    <row r="374" ht="34" customHeight="1">
      <c r="A374" s="15" t="inlineStr">
        <is>
          <t>CAST-373</t>
        </is>
      </c>
      <c r="B374" s="20" t="inlineStr">
        <is>
          <t>FILM-071</t>
        </is>
      </c>
      <c r="C374" s="5" t="inlineStr">
        <is>
          <t>My Name Is Khan</t>
        </is>
      </c>
      <c r="D374" s="17" t="n">
        <v>2010</v>
      </c>
      <c r="E374" s="5" t="inlineStr">
        <is>
          <t>Kenton Duty</t>
        </is>
      </c>
      <c r="F374" s="5" t="inlineStr">
        <is>
          <t>Reese Garrick</t>
        </is>
      </c>
      <c r="G374" s="5" t="inlineStr">
        <is>
          <t>Supporting</t>
        </is>
      </c>
      <c r="H374" s="5" t="inlineStr">
        <is>
          <t>Medium</t>
        </is>
      </c>
      <c r="I374" s="5" t="inlineStr">
        <is>
          <t>Sam's former best friend</t>
        </is>
      </c>
      <c r="J374" s="5" t="inlineStr">
        <is>
          <t>His confession helps bring justice for Sam</t>
        </is>
      </c>
      <c r="K374" s="19" t="inlineStr">
        <is>
          <t>Neighbour's son who witnessed the attack on Sam and names the boys responsible.</t>
        </is>
      </c>
      <c r="L374" s="5" t="n"/>
      <c r="M374" s="5" t="inlineStr">
        <is>
          <t>SOURCE-074</t>
        </is>
      </c>
    </row>
    <row r="375" ht="64" customHeight="1">
      <c r="A375" s="15" t="inlineStr">
        <is>
          <t>CAST-374</t>
        </is>
      </c>
      <c r="B375" s="20" t="inlineStr">
        <is>
          <t>FILM-071</t>
        </is>
      </c>
      <c r="C375" s="5" t="inlineStr">
        <is>
          <t>My Name Is Khan</t>
        </is>
      </c>
      <c r="D375" s="17" t="n">
        <v>2010</v>
      </c>
      <c r="E375" s="5" t="inlineStr">
        <is>
          <t>Christopher B. Duncan</t>
        </is>
      </c>
      <c r="F375" s="5" t="inlineStr">
        <is>
          <t>Barack Obama</t>
        </is>
      </c>
      <c r="G375" s="5" t="inlineStr">
        <is>
          <t>Authority figure</t>
        </is>
      </c>
      <c r="H375" s="5" t="inlineStr">
        <is>
          <t>Medium</t>
        </is>
      </c>
      <c r="I375" s="5" t="inlineStr">
        <is>
          <t>The newly elected President whom Rizvan finally meets at the end of his journey.</t>
        </is>
      </c>
      <c r="J375" s="5" t="inlineStr">
        <is>
          <t>Rizvan's meeting with the President fulfils the condition Mandira set for his return, before they go home together.</t>
        </is>
      </c>
      <c r="K375" s="19" t="inlineStr">
        <is>
          <t>The President publicly acknowledges Rizvan, saying "Your name is Khan and you are not a terrorist".</t>
        </is>
      </c>
      <c r="L375" s="5" t="n"/>
      <c r="M375" s="5" t="inlineStr">
        <is>
          <t>SOURCE-074</t>
        </is>
      </c>
    </row>
    <row r="376" ht="34" customHeight="1">
      <c r="A376" s="15" t="inlineStr">
        <is>
          <t>CAST-375</t>
        </is>
      </c>
      <c r="B376" s="20" t="inlineStr">
        <is>
          <t>FILM-072</t>
        </is>
      </c>
      <c r="C376" s="5" t="inlineStr">
        <is>
          <t>Shahrukh Bola "Khoobsurat Hai Tu"</t>
        </is>
      </c>
      <c r="D376" s="17" t="n">
        <v>2010</v>
      </c>
      <c r="E376" s="5" t="inlineStr">
        <is>
          <t>Preetika Chawla</t>
        </is>
      </c>
      <c r="F376" s="5" t="inlineStr">
        <is>
          <t>Laali</t>
        </is>
      </c>
      <c r="G376" s="5" t="inlineStr">
        <is>
          <t>Co-lead</t>
        </is>
      </c>
      <c r="H376" s="5" t="inlineStr">
        <is>
          <t>Major</t>
        </is>
      </c>
      <c r="I376" s="5" t="inlineStr">
        <is>
          <t>Devoted fan whom Khan calls beautiful</t>
        </is>
      </c>
      <c r="J376" s="5" t="inlineStr">
        <is>
          <t>Not applicable</t>
        </is>
      </c>
      <c r="K376" s="19" t="inlineStr">
        <is>
          <t>Flower seller and Shah Rukh Khan fan who dreams of being his heroine.</t>
        </is>
      </c>
      <c r="L376" s="5" t="n"/>
      <c r="M376" s="5" t="inlineStr">
        <is>
          <t>SOURCE-075</t>
        </is>
      </c>
    </row>
    <row r="377" ht="34" customHeight="1">
      <c r="A377" s="15" t="inlineStr">
        <is>
          <t>CAST-376</t>
        </is>
      </c>
      <c r="B377" s="20" t="inlineStr">
        <is>
          <t>FILM-072</t>
        </is>
      </c>
      <c r="C377" s="5" t="inlineStr">
        <is>
          <t>Shahrukh Bola "Khoobsurat Hai Tu"</t>
        </is>
      </c>
      <c r="D377" s="17" t="n">
        <v>2010</v>
      </c>
      <c r="E377" s="5" t="inlineStr">
        <is>
          <t>Afzaal Khan</t>
        </is>
      </c>
      <c r="F377" s="5" t="inlineStr">
        <is>
          <t>Vicky</t>
        </is>
      </c>
      <c r="G377" s="5" t="inlineStr">
        <is>
          <t>Co-lead</t>
        </is>
      </c>
      <c r="H377" s="5" t="inlineStr">
        <is>
          <t>Major</t>
        </is>
      </c>
      <c r="I377" s="5" t="inlineStr">
        <is>
          <t>Not directly connected</t>
        </is>
      </c>
      <c r="J377" s="5" t="inlineStr">
        <is>
          <t>Not applicable</t>
        </is>
      </c>
      <c r="K377" s="19" t="inlineStr">
        <is>
          <t>Laali's boyfriend.</t>
        </is>
      </c>
      <c r="L377" s="5" t="n"/>
      <c r="M377" s="5" t="inlineStr">
        <is>
          <t>SOURCE-075</t>
        </is>
      </c>
    </row>
    <row r="378" ht="34" customHeight="1">
      <c r="A378" s="15" t="inlineStr">
        <is>
          <t>CAST-377</t>
        </is>
      </c>
      <c r="B378" s="20" t="inlineStr">
        <is>
          <t>FILM-073</t>
        </is>
      </c>
      <c r="C378" s="5" t="inlineStr">
        <is>
          <t>Always Kabhi Kabhi</t>
        </is>
      </c>
      <c r="D378" s="17" t="n">
        <v>2011</v>
      </c>
      <c r="E378" s="5" t="inlineStr">
        <is>
          <t>Ali Fazal</t>
        </is>
      </c>
      <c r="F378" s="5" t="inlineStr">
        <is>
          <t>Sameer "Sam" Khanna</t>
        </is>
      </c>
      <c r="G378" s="5" t="inlineStr">
        <is>
          <t>Co-lead</t>
        </is>
      </c>
      <c r="H378" s="5" t="inlineStr">
        <is>
          <t>Major</t>
        </is>
      </c>
      <c r="I378" s="5" t="inlineStr">
        <is>
          <t>Performs with Khan in the closing song</t>
        </is>
      </c>
      <c r="J378" s="5" t="inlineStr">
        <is>
          <t>Not applicable</t>
        </is>
      </c>
      <c r="K378" s="19" t="inlineStr">
        <is>
          <t>One of four teenagers in their eventful final school year.</t>
        </is>
      </c>
      <c r="L378" s="5" t="n"/>
      <c r="M378" s="5" t="inlineStr">
        <is>
          <t>SOURCE-076</t>
        </is>
      </c>
    </row>
    <row r="379" ht="34" customHeight="1">
      <c r="A379" s="15" t="inlineStr">
        <is>
          <t>CAST-378</t>
        </is>
      </c>
      <c r="B379" s="20" t="inlineStr">
        <is>
          <t>FILM-073</t>
        </is>
      </c>
      <c r="C379" s="5" t="inlineStr">
        <is>
          <t>Always Kabhi Kabhi</t>
        </is>
      </c>
      <c r="D379" s="17" t="n">
        <v>2011</v>
      </c>
      <c r="E379" s="5" t="inlineStr">
        <is>
          <t>Giselli Monteiro</t>
        </is>
      </c>
      <c r="F379" s="5" t="inlineStr">
        <is>
          <t>Aishwarya "Aish" Dhawan</t>
        </is>
      </c>
      <c r="G379" s="5" t="inlineStr">
        <is>
          <t>Co-lead</t>
        </is>
      </c>
      <c r="H379" s="5" t="inlineStr">
        <is>
          <t>Major</t>
        </is>
      </c>
      <c r="I379" s="5" t="inlineStr">
        <is>
          <t>Performs with Khan in the closing song</t>
        </is>
      </c>
      <c r="J379" s="5" t="inlineStr">
        <is>
          <t>Not applicable</t>
        </is>
      </c>
      <c r="K379" s="19" t="inlineStr">
        <is>
          <t>One of four teenagers in their eventful final school year.</t>
        </is>
      </c>
      <c r="L379" s="5" t="n"/>
      <c r="M379" s="5" t="inlineStr">
        <is>
          <t>SOURCE-076</t>
        </is>
      </c>
    </row>
    <row r="380" ht="49" customHeight="1">
      <c r="A380" s="15" t="inlineStr">
        <is>
          <t>CAST-379</t>
        </is>
      </c>
      <c r="B380" s="20" t="inlineStr">
        <is>
          <t>FILM-073</t>
        </is>
      </c>
      <c r="C380" s="5" t="inlineStr">
        <is>
          <t>Always Kabhi Kabhi</t>
        </is>
      </c>
      <c r="D380" s="17" t="n">
        <v>2011</v>
      </c>
      <c r="E380" s="5" t="inlineStr">
        <is>
          <t>Zoa Morani</t>
        </is>
      </c>
      <c r="F380" s="5" t="inlineStr">
        <is>
          <t>Nandini Oberoi (Nandy Bull)</t>
        </is>
      </c>
      <c r="G380" s="5" t="inlineStr">
        <is>
          <t>Co-lead</t>
        </is>
      </c>
      <c r="H380" s="5" t="inlineStr">
        <is>
          <t>Major</t>
        </is>
      </c>
      <c r="I380" s="5" t="inlineStr">
        <is>
          <t>One of the four students at the centre of the film; Shah Rukh Khan appears only in the song "Antenna".</t>
        </is>
      </c>
      <c r="J380" s="5" t="inlineStr">
        <is>
          <t>Not applicable</t>
        </is>
      </c>
      <c r="K380" s="19" t="inlineStr">
        <is>
          <t>A student whose parents are always travelling; she argues constantly with Tariq until they realise they love each other, after she forwards his MIT denial letter.</t>
        </is>
      </c>
      <c r="L380" s="5" t="n"/>
      <c r="M380" s="5" t="inlineStr">
        <is>
          <t>SOURCE-076</t>
        </is>
      </c>
    </row>
    <row r="381" ht="49" customHeight="1">
      <c r="A381" s="15" t="inlineStr">
        <is>
          <t>CAST-380</t>
        </is>
      </c>
      <c r="B381" s="20" t="inlineStr">
        <is>
          <t>FILM-073</t>
        </is>
      </c>
      <c r="C381" s="5" t="inlineStr">
        <is>
          <t>Always Kabhi Kabhi</t>
        </is>
      </c>
      <c r="D381" s="17" t="n">
        <v>2011</v>
      </c>
      <c r="E381" s="5" t="inlineStr">
        <is>
          <t>Satyajeet Dubey</t>
        </is>
      </c>
      <c r="F381" s="5" t="inlineStr">
        <is>
          <t>Tariq Naqvi (Einstein)</t>
        </is>
      </c>
      <c r="G381" s="5" t="inlineStr">
        <is>
          <t>Co-lead</t>
        </is>
      </c>
      <c r="H381" s="5" t="inlineStr">
        <is>
          <t>Major</t>
        </is>
      </c>
      <c r="I381" s="5" t="inlineStr">
        <is>
          <t>One of the four students at the centre of the film; Shah Rukh Khan appears only in the song "Antenna".</t>
        </is>
      </c>
      <c r="J381" s="5" t="inlineStr">
        <is>
          <t>Not applicable</t>
        </is>
      </c>
      <c r="K381" s="19" t="inlineStr">
        <is>
          <t>A student burdened by his parents' dream that he study at MIT. He falls for Nandini and later gets into IIT, trying to make his father see it as equal to MIT.</t>
        </is>
      </c>
      <c r="L381" s="5" t="n"/>
      <c r="M381" s="5" t="inlineStr">
        <is>
          <t>SOURCE-076</t>
        </is>
      </c>
    </row>
    <row r="382" ht="34" customHeight="1">
      <c r="A382" s="15" t="inlineStr">
        <is>
          <t>CAST-381</t>
        </is>
      </c>
      <c r="B382" s="20" t="inlineStr">
        <is>
          <t>FILM-074</t>
        </is>
      </c>
      <c r="C382" s="5" t="inlineStr">
        <is>
          <t>Love Breakups Zindagi</t>
        </is>
      </c>
      <c r="D382" s="17" t="n">
        <v>2011</v>
      </c>
      <c r="E382" s="5" t="inlineStr">
        <is>
          <t>Zayed Khan</t>
        </is>
      </c>
      <c r="F382" s="5" t="inlineStr">
        <is>
          <t>Jai Malhotra</t>
        </is>
      </c>
      <c r="G382" s="5" t="inlineStr">
        <is>
          <t>Co-lead</t>
        </is>
      </c>
      <c r="H382" s="5" t="inlineStr">
        <is>
          <t>Major</t>
        </is>
      </c>
      <c r="I382" s="5" t="inlineStr">
        <is>
          <t>Lead of the film in which Khan appears as himself</t>
        </is>
      </c>
      <c r="J382" s="5" t="inlineStr">
        <is>
          <t>Not applicable</t>
        </is>
      </c>
      <c r="K382" s="19" t="inlineStr">
        <is>
          <t>Settled young man who feels something is missing; also the film's producer.</t>
        </is>
      </c>
      <c r="L382" s="5" t="n"/>
      <c r="M382" s="5" t="inlineStr">
        <is>
          <t>SOURCE-077</t>
        </is>
      </c>
    </row>
    <row r="383" ht="34" customHeight="1">
      <c r="A383" s="15" t="inlineStr">
        <is>
          <t>CAST-382</t>
        </is>
      </c>
      <c r="B383" s="20" t="inlineStr">
        <is>
          <t>FILM-074</t>
        </is>
      </c>
      <c r="C383" s="5" t="inlineStr">
        <is>
          <t>Love Breakups Zindagi</t>
        </is>
      </c>
      <c r="D383" s="17" t="n">
        <v>2011</v>
      </c>
      <c r="E383" s="5" t="inlineStr">
        <is>
          <t>Dia Mirza</t>
        </is>
      </c>
      <c r="F383" s="5" t="inlineStr">
        <is>
          <t>Naina Kapoor</t>
        </is>
      </c>
      <c r="G383" s="5" t="inlineStr">
        <is>
          <t>Co-lead</t>
        </is>
      </c>
      <c r="H383" s="5" t="inlineStr">
        <is>
          <t>Major</t>
        </is>
      </c>
      <c r="I383" s="5" t="inlineStr">
        <is>
          <t>Not directly connected</t>
        </is>
      </c>
      <c r="J383" s="5" t="inlineStr">
        <is>
          <t>Not applicable</t>
        </is>
      </c>
      <c r="K383" s="19" t="inlineStr">
        <is>
          <t>Young woman who feels someone is missing from her settled life.</t>
        </is>
      </c>
      <c r="L383" s="5" t="n"/>
      <c r="M383" s="5" t="inlineStr">
        <is>
          <t>SOURCE-077</t>
        </is>
      </c>
    </row>
    <row r="384" ht="49" customHeight="1">
      <c r="A384" s="15" t="inlineStr">
        <is>
          <t>CAST-383</t>
        </is>
      </c>
      <c r="B384" s="20" t="inlineStr">
        <is>
          <t>FILM-074</t>
        </is>
      </c>
      <c r="C384" s="5" t="inlineStr">
        <is>
          <t>Love Breakups Zindagi</t>
        </is>
      </c>
      <c r="D384" s="17" t="n">
        <v>2011</v>
      </c>
      <c r="E384" s="5" t="inlineStr">
        <is>
          <t>Cyrus Sahukar</t>
        </is>
      </c>
      <c r="F384" s="5" t="inlineStr">
        <is>
          <t>Govind</t>
        </is>
      </c>
      <c r="G384" s="5" t="inlineStr">
        <is>
          <t>Supporting</t>
        </is>
      </c>
      <c r="H384" s="5" t="inlineStr">
        <is>
          <t>Medium</t>
        </is>
      </c>
      <c r="I384" s="5" t="inlineStr">
        <is>
          <t>One of the ensemble's interlinked characters; Shah Rukh Khan appears as himself in a cameo.</t>
        </is>
      </c>
      <c r="J384" s="5" t="inlineStr">
        <is>
          <t>Not applicable</t>
        </is>
      </c>
      <c r="K384" s="19" t="inlineStr">
        <is>
          <t>A man with a colourful past on his way into another seemingly all-wrong relationship that may be the love he has been looking for.</t>
        </is>
      </c>
      <c r="L384" s="5" t="n"/>
      <c r="M384" s="5" t="inlineStr">
        <is>
          <t>SOURCE-077</t>
        </is>
      </c>
    </row>
    <row r="385" ht="49" customHeight="1">
      <c r="A385" s="15" t="inlineStr">
        <is>
          <t>CAST-384</t>
        </is>
      </c>
      <c r="B385" s="20" t="inlineStr">
        <is>
          <t>FILM-074</t>
        </is>
      </c>
      <c r="C385" s="5" t="inlineStr">
        <is>
          <t>Love Breakups Zindagi</t>
        </is>
      </c>
      <c r="D385" s="17" t="n">
        <v>2011</v>
      </c>
      <c r="E385" s="5" t="inlineStr">
        <is>
          <t>Tisca Chopra</t>
        </is>
      </c>
      <c r="F385" s="5" t="inlineStr">
        <is>
          <t>Sheila Thapar</t>
        </is>
      </c>
      <c r="G385" s="5" t="inlineStr">
        <is>
          <t>Supporting</t>
        </is>
      </c>
      <c r="H385" s="5" t="inlineStr">
        <is>
          <t>Medium</t>
        </is>
      </c>
      <c r="I385" s="5" t="inlineStr">
        <is>
          <t>One of the ensemble's interlinked characters; Shah Rukh Khan appears as himself in a cameo.</t>
        </is>
      </c>
      <c r="J385" s="5" t="inlineStr">
        <is>
          <t>Not applicable</t>
        </is>
      </c>
      <c r="K385" s="19" t="inlineStr">
        <is>
          <t>A woman who has stayed single a long time waiting for Mr. Perfect and must decide whether to take her chance when he appears.</t>
        </is>
      </c>
      <c r="L385" s="5" t="n"/>
      <c r="M385" s="5" t="inlineStr">
        <is>
          <t>SOURCE-077</t>
        </is>
      </c>
    </row>
    <row r="386" ht="34" customHeight="1">
      <c r="A386" s="15" t="inlineStr">
        <is>
          <t>CAST-385</t>
        </is>
      </c>
      <c r="B386" s="20" t="inlineStr">
        <is>
          <t>FILM-075</t>
        </is>
      </c>
      <c r="C386" s="5" t="inlineStr">
        <is>
          <t>Ra.One</t>
        </is>
      </c>
      <c r="D386" s="17" t="n">
        <v>2011</v>
      </c>
      <c r="E386" s="5" t="inlineStr">
        <is>
          <t>Arjun Rampal</t>
        </is>
      </c>
      <c r="F386" s="5" t="inlineStr">
        <is>
          <t>Ra.One</t>
        </is>
      </c>
      <c r="G386" s="5" t="inlineStr">
        <is>
          <t>Antagonist</t>
        </is>
      </c>
      <c r="H386" s="5" t="inlineStr">
        <is>
          <t>Major</t>
        </is>
      </c>
      <c r="I386" s="5" t="inlineStr">
        <is>
          <t>Game villain who kills Shekhar and battles G.One</t>
        </is>
      </c>
      <c r="J386" s="5" t="inlineStr">
        <is>
          <t>Hypnotises Sonia and takes her form</t>
        </is>
      </c>
      <c r="K386" s="19" t="inlineStr">
        <is>
          <t>Self-learning video-game antagonist who escapes into the real world to kill the player 'Lucifer'.</t>
        </is>
      </c>
      <c r="L386" s="5" t="n"/>
      <c r="M386" s="5" t="inlineStr">
        <is>
          <t>SOURCE-078</t>
        </is>
      </c>
    </row>
    <row r="387" ht="34" customHeight="1">
      <c r="A387" s="15" t="inlineStr">
        <is>
          <t>CAST-386</t>
        </is>
      </c>
      <c r="B387" s="20" t="inlineStr">
        <is>
          <t>FILM-075</t>
        </is>
      </c>
      <c r="C387" s="5" t="inlineStr">
        <is>
          <t>Ra.One</t>
        </is>
      </c>
      <c r="D387" s="17" t="n">
        <v>2011</v>
      </c>
      <c r="E387" s="5" t="inlineStr">
        <is>
          <t>Armaan Verma</t>
        </is>
      </c>
      <c r="F387" s="5" t="inlineStr">
        <is>
          <t>Prateek Subramaniam (Lucifer)</t>
        </is>
      </c>
      <c r="G387" s="5" t="inlineStr">
        <is>
          <t>Family</t>
        </is>
      </c>
      <c r="H387" s="5" t="inlineStr">
        <is>
          <t>Major</t>
        </is>
      </c>
      <c r="I387" s="5" t="inlineStr">
        <is>
          <t>Shekhar's son, whom G.One protects</t>
        </is>
      </c>
      <c r="J387" s="5" t="inlineStr">
        <is>
          <t>Not applicable</t>
        </is>
      </c>
      <c r="K387" s="19" t="inlineStr">
        <is>
          <t>Game-obsessed boy whose idea shapes Ra.One; he controls G.One in the final battle and later restores him.</t>
        </is>
      </c>
      <c r="L387" s="5" t="n"/>
      <c r="M387" s="5" t="inlineStr">
        <is>
          <t>SOURCE-078</t>
        </is>
      </c>
    </row>
    <row r="388" ht="34" customHeight="1">
      <c r="A388" s="15" t="inlineStr">
        <is>
          <t>CAST-387</t>
        </is>
      </c>
      <c r="B388" s="20" t="inlineStr">
        <is>
          <t>FILM-075</t>
        </is>
      </c>
      <c r="C388" s="5" t="inlineStr">
        <is>
          <t>Ra.One</t>
        </is>
      </c>
      <c r="D388" s="17" t="n">
        <v>2011</v>
      </c>
      <c r="E388" s="5" t="inlineStr">
        <is>
          <t>Shahana Goswami</t>
        </is>
      </c>
      <c r="F388" s="5" t="inlineStr">
        <is>
          <t>Jenny Nayar</t>
        </is>
      </c>
      <c r="G388" s="5" t="inlineStr">
        <is>
          <t>Supporting</t>
        </is>
      </c>
      <c r="H388" s="5" t="inlineStr">
        <is>
          <t>Medium</t>
        </is>
      </c>
      <c r="I388" s="5" t="inlineStr">
        <is>
          <t>Colleague who programs the game and helps bring G.One to life</t>
        </is>
      </c>
      <c r="J388" s="5" t="inlineStr">
        <is>
          <t>Not applicable</t>
        </is>
      </c>
      <c r="K388" s="19" t="inlineStr">
        <is>
          <t>Barron Industries employee behind the technology that lets digital beings enter the real world.</t>
        </is>
      </c>
      <c r="L388" s="5" t="n"/>
      <c r="M388" s="5" t="inlineStr">
        <is>
          <t>SOURCE-078</t>
        </is>
      </c>
    </row>
    <row r="389" ht="19" customHeight="1">
      <c r="A389" s="15" t="inlineStr">
        <is>
          <t>CAST-388</t>
        </is>
      </c>
      <c r="B389" s="20" t="inlineStr">
        <is>
          <t>FILM-075</t>
        </is>
      </c>
      <c r="C389" s="5" t="inlineStr">
        <is>
          <t>Ra.One</t>
        </is>
      </c>
      <c r="D389" s="17" t="n">
        <v>2011</v>
      </c>
      <c r="E389" s="5" t="inlineStr">
        <is>
          <t>Rajinikanth</t>
        </is>
      </c>
      <c r="F389" s="5" t="inlineStr">
        <is>
          <t>Chitti the Robot</t>
        </is>
      </c>
      <c r="G389" s="5" t="inlineStr">
        <is>
          <t>Cameo</t>
        </is>
      </c>
      <c r="H389" s="5" t="inlineStr">
        <is>
          <t>Minor</t>
        </is>
      </c>
      <c r="I389" s="5" t="inlineStr">
        <is>
          <t>Guest appearance</t>
        </is>
      </c>
      <c r="J389" s="5" t="inlineStr">
        <is>
          <t>Not applicable</t>
        </is>
      </c>
      <c r="K389" s="19" t="inlineStr">
        <is>
          <t>Computer-generated likeness of his Enthiran character.</t>
        </is>
      </c>
      <c r="L389" s="5" t="n"/>
      <c r="M389" s="5" t="inlineStr">
        <is>
          <t>SOURCE-078</t>
        </is>
      </c>
    </row>
    <row r="390" ht="49" customHeight="1">
      <c r="A390" s="15" t="inlineStr">
        <is>
          <t>CAST-389</t>
        </is>
      </c>
      <c r="B390" s="20" t="inlineStr">
        <is>
          <t>FILM-075</t>
        </is>
      </c>
      <c r="C390" s="5" t="inlineStr">
        <is>
          <t>Ra.One</t>
        </is>
      </c>
      <c r="D390" s="17" t="n">
        <v>2011</v>
      </c>
      <c r="E390" s="5" t="inlineStr">
        <is>
          <t>Tom Wu</t>
        </is>
      </c>
      <c r="F390" s="5" t="inlineStr">
        <is>
          <t>Akashi / Ra.One (disguised)</t>
        </is>
      </c>
      <c r="G390" s="5" t="inlineStr">
        <is>
          <t>Supporting</t>
        </is>
      </c>
      <c r="H390" s="5" t="inlineStr">
        <is>
          <t>Medium</t>
        </is>
      </c>
      <c r="I390" s="5" t="inlineStr">
        <is>
          <t>Shekhar's colleague who does the motion capture for the game's characters.</t>
        </is>
      </c>
      <c r="J390" s="5" t="inlineStr">
        <is>
          <t>Not applicable</t>
        </is>
      </c>
      <c r="K390" s="19" t="inlineStr">
        <is>
          <t>Akashi ignores malfunctions while the game is designed; Ra.One assumes his form and murders him, then uses his shape to chase Prateek and Jenny.</t>
        </is>
      </c>
      <c r="L390" s="5" t="n"/>
      <c r="M390" s="5" t="inlineStr">
        <is>
          <t>SOURCE-078</t>
        </is>
      </c>
    </row>
    <row r="391" ht="34" customHeight="1">
      <c r="A391" s="15" t="inlineStr">
        <is>
          <t>CAST-390</t>
        </is>
      </c>
      <c r="B391" s="20" t="inlineStr">
        <is>
          <t>FILM-076</t>
        </is>
      </c>
      <c r="C391" s="5" t="inlineStr">
        <is>
          <t>Don 2</t>
        </is>
      </c>
      <c r="D391" s="17" t="n">
        <v>2011</v>
      </c>
      <c r="E391" s="5" t="inlineStr">
        <is>
          <t>Boman Irani</t>
        </is>
      </c>
      <c r="F391" s="5" t="inlineStr">
        <is>
          <t>Vardhaan Makhija</t>
        </is>
      </c>
      <c r="G391" s="5" t="inlineStr">
        <is>
          <t>Antagonist</t>
        </is>
      </c>
      <c r="H391" s="5" t="inlineStr">
        <is>
          <t>Major</t>
        </is>
      </c>
      <c r="I391" s="5" t="inlineStr">
        <is>
          <t>Old rival who escapes prison with Don and betrays him</t>
        </is>
      </c>
      <c r="J391" s="5" t="inlineStr">
        <is>
          <t>Not applicable</t>
        </is>
      </c>
      <c r="K391" s="19" t="inlineStr">
        <is>
          <t>Kingpin from the first film, arrested again after Don subdues him.</t>
        </is>
      </c>
      <c r="L391" s="5" t="n"/>
      <c r="M391" s="5" t="inlineStr">
        <is>
          <t>SOURCE-079</t>
        </is>
      </c>
    </row>
    <row r="392" ht="19" customHeight="1">
      <c r="A392" s="15" t="inlineStr">
        <is>
          <t>CAST-391</t>
        </is>
      </c>
      <c r="B392" s="20" t="inlineStr">
        <is>
          <t>FILM-076</t>
        </is>
      </c>
      <c r="C392" s="5" t="inlineStr">
        <is>
          <t>Don 2</t>
        </is>
      </c>
      <c r="D392" s="17" t="n">
        <v>2011</v>
      </c>
      <c r="E392" s="5" t="inlineStr">
        <is>
          <t>Lara Dutta</t>
        </is>
      </c>
      <c r="F392" s="5" t="inlineStr">
        <is>
          <t>Ayesha Singh</t>
        </is>
      </c>
      <c r="G392" s="5" t="inlineStr">
        <is>
          <t>Friend</t>
        </is>
      </c>
      <c r="H392" s="5" t="inlineStr">
        <is>
          <t>Medium</t>
        </is>
      </c>
      <c r="I392" s="5" t="inlineStr">
        <is>
          <t>Don's trusted companion</t>
        </is>
      </c>
      <c r="J392" s="5" t="inlineStr">
        <is>
          <t>Not applicable</t>
        </is>
      </c>
      <c r="K392" s="19" t="inlineStr">
        <is>
          <t>Helps retrieve the Zurich tape and ends at Don's side.</t>
        </is>
      </c>
      <c r="L392" s="5" t="n"/>
      <c r="M392" s="5" t="inlineStr">
        <is>
          <t>SOURCE-079</t>
        </is>
      </c>
    </row>
    <row r="393" ht="34" customHeight="1">
      <c r="A393" s="15" t="inlineStr">
        <is>
          <t>CAST-392</t>
        </is>
      </c>
      <c r="B393" s="20" t="inlineStr">
        <is>
          <t>FILM-076</t>
        </is>
      </c>
      <c r="C393" s="5" t="inlineStr">
        <is>
          <t>Don 2</t>
        </is>
      </c>
      <c r="D393" s="17" t="n">
        <v>2011</v>
      </c>
      <c r="E393" s="5" t="inlineStr">
        <is>
          <t>Kunal Kapoor</t>
        </is>
      </c>
      <c r="F393" s="5" t="inlineStr">
        <is>
          <t>Sameer "Sam" Ali</t>
        </is>
      </c>
      <c r="G393" s="5" t="inlineStr">
        <is>
          <t>Friend</t>
        </is>
      </c>
      <c r="H393" s="5" t="inlineStr">
        <is>
          <t>Medium</t>
        </is>
      </c>
      <c r="I393" s="5" t="inlineStr">
        <is>
          <t>Team member who appears to betray Don</t>
        </is>
      </c>
      <c r="J393" s="5" t="inlineStr">
        <is>
          <t>Not applicable</t>
        </is>
      </c>
      <c r="K393" s="19" t="inlineStr">
        <is>
          <t>Calls the police on Don as part of Don's own plan.</t>
        </is>
      </c>
      <c r="L393" s="5" t="n"/>
      <c r="M393" s="5" t="inlineStr">
        <is>
          <t>SOURCE-079</t>
        </is>
      </c>
    </row>
    <row r="394" ht="19" customHeight="1">
      <c r="A394" s="15" t="inlineStr">
        <is>
          <t>CAST-393</t>
        </is>
      </c>
      <c r="B394" s="20" t="inlineStr">
        <is>
          <t>FILM-076</t>
        </is>
      </c>
      <c r="C394" s="5" t="inlineStr">
        <is>
          <t>Don 2</t>
        </is>
      </c>
      <c r="D394" s="17" t="n">
        <v>2011</v>
      </c>
      <c r="E394" s="5" t="inlineStr">
        <is>
          <t>Om Puri</t>
        </is>
      </c>
      <c r="F394" s="5" t="inlineStr">
        <is>
          <t>Detective Vishal Malik</t>
        </is>
      </c>
      <c r="G394" s="5" t="inlineStr">
        <is>
          <t>Authority figure</t>
        </is>
      </c>
      <c r="H394" s="5" t="inlineStr">
        <is>
          <t>Medium</t>
        </is>
      </c>
      <c r="I394" s="5" t="inlineStr">
        <is>
          <t>Interpol officer pursuing Don</t>
        </is>
      </c>
      <c r="J394" s="5" t="inlineStr">
        <is>
          <t>Roma's colleague</t>
        </is>
      </c>
      <c r="K394" s="19" t="inlineStr">
        <is>
          <t>Follows Don to Berlin with Roma.</t>
        </is>
      </c>
      <c r="L394" s="5" t="n"/>
      <c r="M394" s="5" t="inlineStr">
        <is>
          <t>SOURCE-079</t>
        </is>
      </c>
    </row>
    <row r="395" ht="34" customHeight="1">
      <c r="A395" s="15" t="inlineStr">
        <is>
          <t>CAST-394</t>
        </is>
      </c>
      <c r="B395" s="20" t="inlineStr">
        <is>
          <t>FILM-076</t>
        </is>
      </c>
      <c r="C395" s="5" t="inlineStr">
        <is>
          <t>Don 2</t>
        </is>
      </c>
      <c r="D395" s="17" t="n">
        <v>2011</v>
      </c>
      <c r="E395" s="5" t="inlineStr">
        <is>
          <t>Nawwab Shah</t>
        </is>
      </c>
      <c r="F395" s="5" t="inlineStr">
        <is>
          <t>Abdul Jabbar</t>
        </is>
      </c>
      <c r="G395" s="5" t="inlineStr">
        <is>
          <t>Antagonist</t>
        </is>
      </c>
      <c r="H395" s="5" t="inlineStr">
        <is>
          <t>Medium</t>
        </is>
      </c>
      <c r="I395" s="5" t="inlineStr">
        <is>
          <t>Hit man bribed by Don who betrays him</t>
        </is>
      </c>
      <c r="J395" s="5" t="inlineStr">
        <is>
          <t>Shoots Roma</t>
        </is>
      </c>
      <c r="K395" s="19" t="inlineStr">
        <is>
          <t>Deadly assassin killed by Don in the final standoff.</t>
        </is>
      </c>
      <c r="L395" s="5" t="n"/>
      <c r="M395" s="5" t="inlineStr">
        <is>
          <t>SOURCE-079</t>
        </is>
      </c>
    </row>
    <row r="396" ht="19" customHeight="1">
      <c r="A396" s="15" t="inlineStr">
        <is>
          <t>CAST-395</t>
        </is>
      </c>
      <c r="B396" s="20" t="inlineStr">
        <is>
          <t>FILM-076</t>
        </is>
      </c>
      <c r="C396" s="5" t="inlineStr">
        <is>
          <t>Don 2</t>
        </is>
      </c>
      <c r="D396" s="17" t="n">
        <v>2011</v>
      </c>
      <c r="E396" s="5" t="inlineStr">
        <is>
          <t>Hrithik Roshan</t>
        </is>
      </c>
      <c r="F396" s="5" t="inlineStr">
        <is>
          <t>Don (disguised face)</t>
        </is>
      </c>
      <c r="G396" s="5" t="inlineStr">
        <is>
          <t>Cameo</t>
        </is>
      </c>
      <c r="H396" s="5" t="inlineStr">
        <is>
          <t>Minor</t>
        </is>
      </c>
      <c r="I396" s="5" t="inlineStr">
        <is>
          <t>Appears as Don's disguised face</t>
        </is>
      </c>
      <c r="J396" s="5" t="inlineStr">
        <is>
          <t>Not applicable</t>
        </is>
      </c>
      <c r="K396" s="19" t="inlineStr">
        <is>
          <t>Special appearance.</t>
        </is>
      </c>
      <c r="L396" s="5" t="n"/>
      <c r="M396" s="5" t="inlineStr">
        <is>
          <t>SOURCE-079</t>
        </is>
      </c>
    </row>
    <row r="397" ht="64" customHeight="1">
      <c r="A397" s="15" t="inlineStr">
        <is>
          <t>CAST-396</t>
        </is>
      </c>
      <c r="B397" s="20" t="inlineStr">
        <is>
          <t>FILM-076</t>
        </is>
      </c>
      <c r="C397" s="5" t="inlineStr">
        <is>
          <t>Don 2</t>
        </is>
      </c>
      <c r="D397" s="17" t="n">
        <v>2011</v>
      </c>
      <c r="E397" s="5" t="inlineStr">
        <is>
          <t>Alyy Khan</t>
        </is>
      </c>
      <c r="F397" s="5" t="inlineStr">
        <is>
          <t>J. K. Diwan</t>
        </is>
      </c>
      <c r="G397" s="5" t="inlineStr">
        <is>
          <t>Antagonist</t>
        </is>
      </c>
      <c r="H397" s="5" t="inlineStr">
        <is>
          <t>Medium</t>
        </is>
      </c>
      <c r="I397" s="5" t="inlineStr">
        <is>
          <t>Bank vice president blackmailed by Don and later killed by him.</t>
        </is>
      </c>
      <c r="J397" s="5" t="inlineStr">
        <is>
          <t>Not applicable</t>
        </is>
      </c>
      <c r="K397" s="19" t="inlineStr">
        <is>
          <t>Vice president of the Deutsche Zentral-Bank in Berlin, recorded paying Singhania to have James Werden killed. Don blackmails him into handing over the vault blueprints, and after Diwan sends Jabbar after him, Don kills him with a car bomb.</t>
        </is>
      </c>
      <c r="L397" s="5" t="n"/>
      <c r="M397" s="5" t="inlineStr">
        <is>
          <t>SOURCE-079</t>
        </is>
      </c>
    </row>
    <row r="398" ht="34" customHeight="1">
      <c r="A398" s="15" t="inlineStr">
        <is>
          <t>CAST-397</t>
        </is>
      </c>
      <c r="B398" s="20" t="inlineStr">
        <is>
          <t>FILM-077</t>
        </is>
      </c>
      <c r="C398" s="5" t="inlineStr">
        <is>
          <t>Jab Tak Hai Jaan</t>
        </is>
      </c>
      <c r="D398" s="17" t="n">
        <v>2012</v>
      </c>
      <c r="E398" s="5" t="inlineStr">
        <is>
          <t>Sharib Hashmi</t>
        </is>
      </c>
      <c r="F398" s="5" t="inlineStr">
        <is>
          <t>Zain Mirza</t>
        </is>
      </c>
      <c r="G398" s="5" t="inlineStr">
        <is>
          <t>Friend</t>
        </is>
      </c>
      <c r="H398" s="5" t="inlineStr">
        <is>
          <t>Medium</t>
        </is>
      </c>
      <c r="I398" s="5" t="inlineStr">
        <is>
          <t>Samar's London roommate and best friend</t>
        </is>
      </c>
      <c r="J398" s="5" t="inlineStr">
        <is>
          <t>Not applicable</t>
        </is>
      </c>
      <c r="K398" s="19" t="inlineStr">
        <is>
          <t>Shares Samar's struggling immigrant years.</t>
        </is>
      </c>
      <c r="L398" s="5" t="n"/>
      <c r="M398" s="5" t="inlineStr">
        <is>
          <t>SOURCE-080</t>
        </is>
      </c>
    </row>
    <row r="399" ht="34" customHeight="1">
      <c r="A399" s="15" t="inlineStr">
        <is>
          <t>CAST-398</t>
        </is>
      </c>
      <c r="B399" s="20" t="inlineStr">
        <is>
          <t>FILM-077</t>
        </is>
      </c>
      <c r="C399" s="5" t="inlineStr">
        <is>
          <t>Jab Tak Hai Jaan</t>
        </is>
      </c>
      <c r="D399" s="17" t="n">
        <v>2012</v>
      </c>
      <c r="E399" s="5" t="inlineStr">
        <is>
          <t>Neetu Kapoor</t>
        </is>
      </c>
      <c r="F399" s="5" t="inlineStr">
        <is>
          <t>Pooja Thappar Sharqazi</t>
        </is>
      </c>
      <c r="G399" s="5" t="inlineStr">
        <is>
          <t>Family</t>
        </is>
      </c>
      <c r="H399" s="5" t="inlineStr">
        <is>
          <t>Minor</t>
        </is>
      </c>
      <c r="I399" s="5" t="inlineStr">
        <is>
          <t>Reconciled with Meera through Samar</t>
        </is>
      </c>
      <c r="J399" s="5" t="inlineStr">
        <is>
          <t>Meera's estranged mother</t>
        </is>
      </c>
      <c r="K399" s="19" t="inlineStr">
        <is>
          <t>Left Meera's father for another man when Meera was twelve. Special appearance.</t>
        </is>
      </c>
      <c r="L399" s="5" t="n"/>
      <c r="M399" s="5" t="inlineStr">
        <is>
          <t>SOURCE-080</t>
        </is>
      </c>
    </row>
    <row r="400" ht="34" customHeight="1">
      <c r="A400" s="15" t="inlineStr">
        <is>
          <t>CAST-399</t>
        </is>
      </c>
      <c r="B400" s="20" t="inlineStr">
        <is>
          <t>FILM-077</t>
        </is>
      </c>
      <c r="C400" s="5" t="inlineStr">
        <is>
          <t>Jab Tak Hai Jaan</t>
        </is>
      </c>
      <c r="D400" s="17" t="n">
        <v>2012</v>
      </c>
      <c r="E400" s="5" t="inlineStr">
        <is>
          <t>Anupam Kher</t>
        </is>
      </c>
      <c r="F400" s="5" t="inlineStr">
        <is>
          <t>Kamal Thappar</t>
        </is>
      </c>
      <c r="G400" s="5" t="inlineStr">
        <is>
          <t>Family</t>
        </is>
      </c>
      <c r="H400" s="5" t="inlineStr">
        <is>
          <t>Minor</t>
        </is>
      </c>
      <c r="I400" s="5" t="inlineStr">
        <is>
          <t>Meera's father</t>
        </is>
      </c>
      <c r="J400" s="5" t="inlineStr">
        <is>
          <t>The dominant figure in Meera's life</t>
        </is>
      </c>
      <c r="K400" s="19" t="inlineStr">
        <is>
          <t>Wealthy businessman for whose retirement party Meera learns Punjabi. Special appearance.</t>
        </is>
      </c>
      <c r="L400" s="5" t="n"/>
      <c r="M400" s="5" t="inlineStr">
        <is>
          <t>SOURCE-080</t>
        </is>
      </c>
    </row>
    <row r="401" ht="19" customHeight="1">
      <c r="A401" s="15" t="inlineStr">
        <is>
          <t>CAST-400</t>
        </is>
      </c>
      <c r="B401" s="20" t="inlineStr">
        <is>
          <t>FILM-077</t>
        </is>
      </c>
      <c r="C401" s="5" t="inlineStr">
        <is>
          <t>Jab Tak Hai Jaan</t>
        </is>
      </c>
      <c r="D401" s="17" t="n">
        <v>2012</v>
      </c>
      <c r="E401" s="5" t="inlineStr">
        <is>
          <t>Sarika</t>
        </is>
      </c>
      <c r="F401" s="5" t="inlineStr">
        <is>
          <t>Dr. Zoya Ali Khan</t>
        </is>
      </c>
      <c r="G401" s="5" t="inlineStr">
        <is>
          <t>Supporting</t>
        </is>
      </c>
      <c r="H401" s="5" t="inlineStr">
        <is>
          <t>Minor</t>
        </is>
      </c>
      <c r="I401" s="5" t="inlineStr">
        <is>
          <t>Samar's doctor.</t>
        </is>
      </c>
      <c r="J401" s="5" t="inlineStr">
        <is>
          <t>Not applicable</t>
        </is>
      </c>
      <c r="K401" s="19" t="inlineStr">
        <is>
          <t>A neurologist who is Samar's doctor, per the cast list.</t>
        </is>
      </c>
      <c r="L401" s="5" t="n"/>
      <c r="M401" s="5" t="inlineStr">
        <is>
          <t>SOURCE-080</t>
        </is>
      </c>
    </row>
    <row r="402" ht="34" customHeight="1">
      <c r="A402" s="15" t="inlineStr">
        <is>
          <t>CAST-401</t>
        </is>
      </c>
      <c r="B402" s="20" t="inlineStr">
        <is>
          <t>FILM-077</t>
        </is>
      </c>
      <c r="C402" s="5" t="inlineStr">
        <is>
          <t>Jab Tak Hai Jaan</t>
        </is>
      </c>
      <c r="D402" s="17" t="n">
        <v>2012</v>
      </c>
      <c r="E402" s="5" t="inlineStr">
        <is>
          <t>Rishi Kapoor</t>
        </is>
      </c>
      <c r="F402" s="5" t="inlineStr">
        <is>
          <t>Imraan Sharqazi</t>
        </is>
      </c>
      <c r="G402" s="5" t="inlineStr">
        <is>
          <t>Family</t>
        </is>
      </c>
      <c r="H402" s="5" t="inlineStr">
        <is>
          <t>Minor</t>
        </is>
      </c>
      <c r="I402" s="5" t="inlineStr">
        <is>
          <t>Stepfather of Samar's love interest Meera.</t>
        </is>
      </c>
      <c r="J402" s="5" t="inlineStr">
        <is>
          <t>Husband of the mother Samar helps Meera reconcile with.</t>
        </is>
      </c>
      <c r="K402" s="19" t="inlineStr">
        <is>
          <t>Meera's stepfather, the man for whom her mother left the family; appears in a special appearance.</t>
        </is>
      </c>
      <c r="L402" s="5" t="n"/>
      <c r="M402" s="5" t="inlineStr">
        <is>
          <t>SOURCE-080</t>
        </is>
      </c>
    </row>
    <row r="403" ht="49" customHeight="1">
      <c r="A403" s="15" t="inlineStr">
        <is>
          <t>CAST-402</t>
        </is>
      </c>
      <c r="B403" s="20" t="inlineStr">
        <is>
          <t>FILM-077</t>
        </is>
      </c>
      <c r="C403" s="5" t="inlineStr">
        <is>
          <t>Jab Tak Hai Jaan</t>
        </is>
      </c>
      <c r="D403" s="17" t="n">
        <v>2012</v>
      </c>
      <c r="E403" s="5" t="inlineStr">
        <is>
          <t>Jay Conroy</t>
        </is>
      </c>
      <c r="F403" s="5" t="inlineStr">
        <is>
          <t>Roger</t>
        </is>
      </c>
      <c r="G403" s="5" t="inlineStr">
        <is>
          <t>Romantic rival</t>
        </is>
      </c>
      <c r="H403" s="5" t="inlineStr">
        <is>
          <t>Minor</t>
        </is>
      </c>
      <c r="I403" s="5" t="inlineStr">
        <is>
          <t>Meera's fiance when Samar meets her.</t>
        </is>
      </c>
      <c r="J403" s="5" t="inlineStr">
        <is>
          <t>Meera plans to break off the engagement for Samar; she later reveals she never married him.</t>
        </is>
      </c>
      <c r="K403" s="19" t="inlineStr">
        <is>
          <t>Samar first meets Meera at her engagement party to Roger. Meera later says she never married him and only helps his daughter with events.</t>
        </is>
      </c>
      <c r="L403" s="5" t="n"/>
      <c r="M403" s="5" t="inlineStr">
        <is>
          <t>SOURCE-080</t>
        </is>
      </c>
    </row>
    <row r="404" ht="34" customHeight="1">
      <c r="A404" s="15" t="inlineStr">
        <is>
          <t>CAST-403</t>
        </is>
      </c>
      <c r="B404" s="20" t="inlineStr">
        <is>
          <t>FILM-078</t>
        </is>
      </c>
      <c r="C404" s="5" t="inlineStr">
        <is>
          <t>Bombay Talkies</t>
        </is>
      </c>
      <c r="D404" s="17" t="n">
        <v>2013</v>
      </c>
      <c r="E404" s="5" t="inlineStr">
        <is>
          <t>Rani Mukerji</t>
        </is>
      </c>
      <c r="F404" s="5" t="inlineStr">
        <is>
          <t>Gayatri</t>
        </is>
      </c>
      <c r="G404" s="5" t="inlineStr">
        <is>
          <t>Co-lead</t>
        </is>
      </c>
      <c r="H404" s="5" t="inlineStr">
        <is>
          <t>Medium</t>
        </is>
      </c>
      <c r="I404" s="5" t="inlineStr">
        <is>
          <t>Lead of one of the anthology's segments</t>
        </is>
      </c>
      <c r="J404" s="5" t="inlineStr">
        <is>
          <t>Not applicable</t>
        </is>
      </c>
      <c r="K404" s="19" t="inlineStr">
        <is>
          <t>Wife in Karan Johar's segment 'Ajeeb Dastaan Hai Yeh'.</t>
        </is>
      </c>
      <c r="L404" s="5" t="n"/>
      <c r="M404" s="5" t="inlineStr">
        <is>
          <t>SOURCE-081</t>
        </is>
      </c>
    </row>
    <row r="405" ht="34" customHeight="1">
      <c r="A405" s="15" t="inlineStr">
        <is>
          <t>CAST-404</t>
        </is>
      </c>
      <c r="B405" s="20" t="inlineStr">
        <is>
          <t>FILM-078</t>
        </is>
      </c>
      <c r="C405" s="5" t="inlineStr">
        <is>
          <t>Bombay Talkies</t>
        </is>
      </c>
      <c r="D405" s="17" t="n">
        <v>2013</v>
      </c>
      <c r="E405" s="5" t="inlineStr">
        <is>
          <t>Nawazuddin Siddiqui</t>
        </is>
      </c>
      <c r="F405" s="5" t="inlineStr">
        <is>
          <t>Purandar</t>
        </is>
      </c>
      <c r="G405" s="5" t="inlineStr">
        <is>
          <t>Co-lead</t>
        </is>
      </c>
      <c r="H405" s="5" t="inlineStr">
        <is>
          <t>Medium</t>
        </is>
      </c>
      <c r="I405" s="5" t="inlineStr">
        <is>
          <t>Lead of one of the anthology's segments</t>
        </is>
      </c>
      <c r="J405" s="5" t="inlineStr">
        <is>
          <t>Not applicable</t>
        </is>
      </c>
      <c r="K405" s="19" t="inlineStr">
        <is>
          <t>Struggling actor in Dibakar Banerjee's segment 'Star'.</t>
        </is>
      </c>
      <c r="L405" s="5" t="n"/>
      <c r="M405" s="5" t="inlineStr">
        <is>
          <t>SOURCE-081</t>
        </is>
      </c>
    </row>
    <row r="406" ht="49" customHeight="1">
      <c r="A406" s="15" t="inlineStr">
        <is>
          <t>CAST-405</t>
        </is>
      </c>
      <c r="B406" s="20" t="inlineStr">
        <is>
          <t>FILM-078</t>
        </is>
      </c>
      <c r="C406" s="5" t="inlineStr">
        <is>
          <t>Bombay Talkies</t>
        </is>
      </c>
      <c r="D406" s="17" t="n">
        <v>2013</v>
      </c>
      <c r="E406" s="5" t="inlineStr">
        <is>
          <t>Saqib Saleem</t>
        </is>
      </c>
      <c r="F406" s="5" t="inlineStr">
        <is>
          <t>Avinash</t>
        </is>
      </c>
      <c r="G406" s="5" t="inlineStr">
        <is>
          <t>Co-lead</t>
        </is>
      </c>
      <c r="H406" s="5" t="inlineStr">
        <is>
          <t>Medium</t>
        </is>
      </c>
      <c r="I406" s="5" t="inlineStr">
        <is>
          <t>Lead of the Ajeeb Dastaan Hai Yeh segment; not connected to Shah Rukh Khan's self appearance.</t>
        </is>
      </c>
      <c r="J406" s="5" t="inlineStr">
        <is>
          <t>Not applicable</t>
        </is>
      </c>
      <c r="K406" s="19" t="inlineStr">
        <is>
          <t>A young gay man who leaves his family home, befriends his colleague Gayatri and realises her husband Dev is a closeted homosexual.</t>
        </is>
      </c>
      <c r="L406" s="5" t="n"/>
      <c r="M406" s="5" t="inlineStr">
        <is>
          <t>SOURCE-081</t>
        </is>
      </c>
    </row>
    <row r="407" ht="49" customHeight="1">
      <c r="A407" s="15" t="inlineStr">
        <is>
          <t>CAST-406</t>
        </is>
      </c>
      <c r="B407" s="20" t="inlineStr">
        <is>
          <t>FILM-078</t>
        </is>
      </c>
      <c r="C407" s="5" t="inlineStr">
        <is>
          <t>Bombay Talkies</t>
        </is>
      </c>
      <c r="D407" s="17" t="n">
        <v>2013</v>
      </c>
      <c r="E407" s="5" t="inlineStr">
        <is>
          <t>Randeep Hooda</t>
        </is>
      </c>
      <c r="F407" s="5" t="inlineStr">
        <is>
          <t>Dev</t>
        </is>
      </c>
      <c r="G407" s="5" t="inlineStr">
        <is>
          <t>Co-lead</t>
        </is>
      </c>
      <c r="H407" s="5" t="inlineStr">
        <is>
          <t>Medium</t>
        </is>
      </c>
      <c r="I407" s="5" t="inlineStr">
        <is>
          <t>Co-lead of the Ajeeb Dastaan Hai Yeh segment; not connected to Shah Rukh Khan's self appearance.</t>
        </is>
      </c>
      <c r="J407" s="5" t="inlineStr">
        <is>
          <t>Not applicable</t>
        </is>
      </c>
      <c r="K407" s="19" t="inlineStr">
        <is>
          <t>Gayatri's husband, whose repressed attraction to Avinash leads to violence and the end of his marriage.</t>
        </is>
      </c>
      <c r="L407" s="5" t="n"/>
      <c r="M407" s="5" t="inlineStr">
        <is>
          <t>SOURCE-081</t>
        </is>
      </c>
    </row>
    <row r="408" ht="49" customHeight="1">
      <c r="A408" s="15" t="inlineStr">
        <is>
          <t>CAST-407</t>
        </is>
      </c>
      <c r="B408" s="20" t="inlineStr">
        <is>
          <t>FILM-078</t>
        </is>
      </c>
      <c r="C408" s="5" t="inlineStr">
        <is>
          <t>Bombay Talkies</t>
        </is>
      </c>
      <c r="D408" s="17" t="n">
        <v>2013</v>
      </c>
      <c r="E408" s="5" t="inlineStr">
        <is>
          <t>Vineet Kumar Singh</t>
        </is>
      </c>
      <c r="F408" s="5" t="inlineStr">
        <is>
          <t>Vijay</t>
        </is>
      </c>
      <c r="G408" s="5" t="inlineStr">
        <is>
          <t>Co-lead</t>
        </is>
      </c>
      <c r="H408" s="5" t="inlineStr">
        <is>
          <t>Medium</t>
        </is>
      </c>
      <c r="I408" s="5" t="inlineStr">
        <is>
          <t>Lead of the Murabba segment; not connected to Shah Rukh Khan's self appearance.</t>
        </is>
      </c>
      <c r="J408" s="5" t="inlineStr">
        <is>
          <t>Not applicable</t>
        </is>
      </c>
      <c r="K408" s="19" t="inlineStr">
        <is>
          <t>A young man from Allahabad who travels to Mumbai to meet Amitabh Bachchan and fulfil his ailing father's wish.</t>
        </is>
      </c>
      <c r="L408" s="5" t="n"/>
      <c r="M408" s="5" t="inlineStr">
        <is>
          <t>SOURCE-081</t>
        </is>
      </c>
    </row>
    <row r="409" ht="34" customHeight="1">
      <c r="A409" s="15" t="inlineStr">
        <is>
          <t>CAST-408</t>
        </is>
      </c>
      <c r="B409" s="20" t="inlineStr">
        <is>
          <t>FILM-079</t>
        </is>
      </c>
      <c r="C409" s="5" t="inlineStr">
        <is>
          <t>Chennai Express</t>
        </is>
      </c>
      <c r="D409" s="17" t="n">
        <v>2013</v>
      </c>
      <c r="E409" s="5" t="inlineStr">
        <is>
          <t>Sathyaraj</t>
        </is>
      </c>
      <c r="F409" s="5" t="inlineStr">
        <is>
          <t>Durgeshwara "Durgesh" Azhagusundaram</t>
        </is>
      </c>
      <c r="G409" s="5" t="inlineStr">
        <is>
          <t>Family</t>
        </is>
      </c>
      <c r="H409" s="5" t="inlineStr">
        <is>
          <t>Major</t>
        </is>
      </c>
      <c r="I409" s="5" t="inlineStr">
        <is>
          <t>Crime boss who finally accepts Rahul</t>
        </is>
      </c>
      <c r="J409" s="5" t="inlineStr">
        <is>
          <t>Meenamma's father, who fixed her marriage to Tangaballi</t>
        </is>
      </c>
      <c r="K409" s="19" t="inlineStr">
        <is>
          <t>Powerful Tamil Nadu mafia kingpin and landlord who reforms after Rahul's stand.</t>
        </is>
      </c>
      <c r="L409" s="5" t="n"/>
      <c r="M409" s="5" t="inlineStr">
        <is>
          <t>SOURCE-082</t>
        </is>
      </c>
    </row>
    <row r="410" ht="34" customHeight="1">
      <c r="A410" s="15" t="inlineStr">
        <is>
          <t>CAST-409</t>
        </is>
      </c>
      <c r="B410" s="20" t="inlineStr">
        <is>
          <t>FILM-079</t>
        </is>
      </c>
      <c r="C410" s="5" t="inlineStr">
        <is>
          <t>Chennai Express</t>
        </is>
      </c>
      <c r="D410" s="17" t="n">
        <v>2013</v>
      </c>
      <c r="E410" s="5" t="inlineStr">
        <is>
          <t>Nikitin Dheer</t>
        </is>
      </c>
      <c r="F410" s="5" t="inlineStr">
        <is>
          <t>Tangaballi</t>
        </is>
      </c>
      <c r="G410" s="5" t="inlineStr">
        <is>
          <t>Romantic rival</t>
        </is>
      </c>
      <c r="H410" s="5" t="inlineStr">
        <is>
          <t>Major</t>
        </is>
      </c>
      <c r="I410" s="5" t="inlineStr">
        <is>
          <t>Challenges Rahul to a duel and fights him at the climax</t>
        </is>
      </c>
      <c r="J410" s="5" t="inlineStr">
        <is>
          <t>Meenamma's intended groom</t>
        </is>
      </c>
      <c r="K410" s="19" t="inlineStr">
        <is>
          <t>Hulking gangster who pursues the fleeing couple and reforms after losing to Rahul.</t>
        </is>
      </c>
      <c r="L410" s="5" t="n"/>
      <c r="M410" s="5" t="inlineStr">
        <is>
          <t>SOURCE-082</t>
        </is>
      </c>
    </row>
    <row r="411" ht="34" customHeight="1">
      <c r="A411" s="15" t="inlineStr">
        <is>
          <t>CAST-410</t>
        </is>
      </c>
      <c r="B411" s="20" t="inlineStr">
        <is>
          <t>FILM-079</t>
        </is>
      </c>
      <c r="C411" s="5" t="inlineStr">
        <is>
          <t>Chennai Express</t>
        </is>
      </c>
      <c r="D411" s="17" t="n">
        <v>2013</v>
      </c>
      <c r="E411" s="5" t="inlineStr">
        <is>
          <t>Kamini Kaushal</t>
        </is>
      </c>
      <c r="F411" s="5" t="inlineStr">
        <is>
          <t>Neetu Mithaiwala</t>
        </is>
      </c>
      <c r="G411" s="5" t="inlineStr">
        <is>
          <t>Family</t>
        </is>
      </c>
      <c r="H411" s="5" t="inlineStr">
        <is>
          <t>Minor</t>
        </is>
      </c>
      <c r="I411" s="5" t="inlineStr">
        <is>
          <t>Rahul's grandmother</t>
        </is>
      </c>
      <c r="J411" s="5" t="inlineStr">
        <is>
          <t>Not applicable</t>
        </is>
      </c>
      <c r="K411" s="19" t="inlineStr">
        <is>
          <t>Asks Rahul to immerse his grandfather's ashes in Rameswaram and sees him off on the train.</t>
        </is>
      </c>
      <c r="L411" s="5" t="n"/>
      <c r="M411" s="5" t="inlineStr">
        <is>
          <t>SOURCE-082</t>
        </is>
      </c>
    </row>
    <row r="412" ht="49" customHeight="1">
      <c r="A412" s="15" t="inlineStr">
        <is>
          <t>CAST-411</t>
        </is>
      </c>
      <c r="B412" s="20" t="inlineStr">
        <is>
          <t>FILM-079</t>
        </is>
      </c>
      <c r="C412" s="5" t="inlineStr">
        <is>
          <t>Chennai Express</t>
        </is>
      </c>
      <c r="D412" s="17" t="n">
        <v>2013</v>
      </c>
      <c r="E412" s="5" t="inlineStr">
        <is>
          <t>Lekh Tandon</t>
        </is>
      </c>
      <c r="F412" s="5" t="inlineStr">
        <is>
          <t>Y. Y. Mithaiwala</t>
        </is>
      </c>
      <c r="G412" s="5" t="inlineStr">
        <is>
          <t>Family</t>
        </is>
      </c>
      <c r="H412" s="5" t="inlineStr">
        <is>
          <t>Minor</t>
        </is>
      </c>
      <c r="I412" s="5" t="inlineStr">
        <is>
          <t>Rahul's grandfather.</t>
        </is>
      </c>
      <c r="J412" s="5" t="inlineStr">
        <is>
          <t>His ashes set off the journey on which Rahul meets Meenamma.</t>
        </is>
      </c>
      <c r="K412" s="19" t="inlineStr">
        <is>
          <t>Confectionery-chain owner who dies on the eve of his 100th birthday. His wish to have his ashes immersed in Rameswaram sends Rahul onto the Chennai Express.</t>
        </is>
      </c>
      <c r="L412" s="5" t="n"/>
      <c r="M412" s="5" t="inlineStr">
        <is>
          <t>SOURCE-082</t>
        </is>
      </c>
    </row>
    <row r="413" ht="34" customHeight="1">
      <c r="A413" s="15" t="inlineStr">
        <is>
          <t>CAST-412</t>
        </is>
      </c>
      <c r="B413" s="20" t="inlineStr">
        <is>
          <t>FILM-079</t>
        </is>
      </c>
      <c r="C413" s="5" t="inlineStr">
        <is>
          <t>Chennai Express</t>
        </is>
      </c>
      <c r="D413" s="17" t="n">
        <v>2013</v>
      </c>
      <c r="E413" s="5" t="inlineStr">
        <is>
          <t>Mukesh Tiwari</t>
        </is>
      </c>
      <c r="F413" s="5" t="inlineStr">
        <is>
          <t>Inspector Shamsher Singh</t>
        </is>
      </c>
      <c r="G413" s="5" t="inlineStr">
        <is>
          <t>Authority figure</t>
        </is>
      </c>
      <c r="H413" s="5" t="inlineStr">
        <is>
          <t>Minor</t>
        </is>
      </c>
      <c r="I413" s="5" t="inlineStr">
        <is>
          <t>Local policeman who helps Rahul escape.</t>
        </is>
      </c>
      <c r="J413" s="5" t="inlineStr">
        <is>
          <t>Helps Rahul flee before his duel with Tangaballi.</t>
        </is>
      </c>
      <c r="K413" s="19" t="inlineStr">
        <is>
          <t>A local policeman who helps Rahul escape on the night of the duel, after which Rahul ends up among Sri Lankan smugglers.</t>
        </is>
      </c>
      <c r="L413" s="5" t="n"/>
      <c r="M413" s="5" t="inlineStr">
        <is>
          <t>SOURCE-082</t>
        </is>
      </c>
    </row>
    <row r="414" ht="34" customHeight="1">
      <c r="A414" s="15" t="inlineStr">
        <is>
          <t>CAST-413</t>
        </is>
      </c>
      <c r="B414" s="20" t="inlineStr">
        <is>
          <t>FILM-080</t>
        </is>
      </c>
      <c r="C414" s="5" t="inlineStr">
        <is>
          <t>Bhoothnath Returns</t>
        </is>
      </c>
      <c r="D414" s="17" t="n">
        <v>2014</v>
      </c>
      <c r="E414" s="5" t="inlineStr">
        <is>
          <t>Amitabh Bachchan</t>
        </is>
      </c>
      <c r="F414" s="5" t="inlineStr">
        <is>
          <t>Kailash Nath (Bhoothnath)</t>
        </is>
      </c>
      <c r="G414" s="5" t="inlineStr">
        <is>
          <t>Co-lead</t>
        </is>
      </c>
      <c r="H414" s="5" t="inlineStr">
        <is>
          <t>Major</t>
        </is>
      </c>
      <c r="I414" s="5" t="inlineStr">
        <is>
          <t>The ghost from the first film</t>
        </is>
      </c>
      <c r="J414" s="5" t="inlineStr">
        <is>
          <t>Not applicable</t>
        </is>
      </c>
      <c r="K414" s="19" t="inlineStr">
        <is>
          <t>Mocked in the ghost world for failing to scare children, he returns to India and enters politics.</t>
        </is>
      </c>
      <c r="L414" s="5" t="n"/>
      <c r="M414" s="5" t="inlineStr">
        <is>
          <t>SOURCE-083</t>
        </is>
      </c>
    </row>
    <row r="415" ht="19" customHeight="1">
      <c r="A415" s="15" t="inlineStr">
        <is>
          <t>CAST-414</t>
        </is>
      </c>
      <c r="B415" s="20" t="inlineStr">
        <is>
          <t>FILM-080</t>
        </is>
      </c>
      <c r="C415" s="5" t="inlineStr">
        <is>
          <t>Bhoothnath Returns</t>
        </is>
      </c>
      <c r="D415" s="17" t="n">
        <v>2014</v>
      </c>
      <c r="E415" s="5" t="inlineStr">
        <is>
          <t>Boman Irani</t>
        </is>
      </c>
      <c r="F415" s="5" t="inlineStr">
        <is>
          <t>Bhau Sahib</t>
        </is>
      </c>
      <c r="G415" s="5" t="inlineStr">
        <is>
          <t>Antagonist</t>
        </is>
      </c>
      <c r="H415" s="5" t="inlineStr">
        <is>
          <t>Major</t>
        </is>
      </c>
      <c r="I415" s="5" t="inlineStr">
        <is>
          <t>Not directly connected</t>
        </is>
      </c>
      <c r="J415" s="5" t="inlineStr">
        <is>
          <t>Not applicable</t>
        </is>
      </c>
      <c r="K415" s="19" t="inlineStr">
        <is>
          <t>Corrupt politician in the film's electoral satire.</t>
        </is>
      </c>
      <c r="L415" s="5" t="n"/>
      <c r="M415" s="5" t="inlineStr">
        <is>
          <t>SOURCE-083</t>
        </is>
      </c>
    </row>
    <row r="416" ht="19" customHeight="1">
      <c r="A416" s="15" t="inlineStr">
        <is>
          <t>CAST-415</t>
        </is>
      </c>
      <c r="B416" s="20" t="inlineStr">
        <is>
          <t>FILM-080</t>
        </is>
      </c>
      <c r="C416" s="5" t="inlineStr">
        <is>
          <t>Bhoothnath Returns</t>
        </is>
      </c>
      <c r="D416" s="17" t="n">
        <v>2014</v>
      </c>
      <c r="E416" s="5" t="inlineStr">
        <is>
          <t>Parth Bhalerao</t>
        </is>
      </c>
      <c r="F416" s="5" t="inlineStr">
        <is>
          <t>Akhrot</t>
        </is>
      </c>
      <c r="G416" s="5" t="inlineStr">
        <is>
          <t>Co-lead</t>
        </is>
      </c>
      <c r="H416" s="5" t="inlineStr">
        <is>
          <t>Major</t>
        </is>
      </c>
      <c r="I416" s="5" t="inlineStr">
        <is>
          <t>Not directly connected</t>
        </is>
      </c>
      <c r="J416" s="5" t="inlineStr">
        <is>
          <t>Not applicable</t>
        </is>
      </c>
      <c r="K416" s="19" t="inlineStr">
        <is>
          <t>Boy who can see Bhoothnath and strikes a deal with him.</t>
        </is>
      </c>
      <c r="L416" s="5" t="n"/>
      <c r="M416" s="5" t="inlineStr">
        <is>
          <t>SOURCE-083</t>
        </is>
      </c>
    </row>
    <row r="417" ht="34" customHeight="1">
      <c r="A417" s="15" t="inlineStr">
        <is>
          <t>CAST-416</t>
        </is>
      </c>
      <c r="B417" s="20" t="inlineStr">
        <is>
          <t>FILM-081</t>
        </is>
      </c>
      <c r="C417" s="5" t="inlineStr">
        <is>
          <t>Happy New Year</t>
        </is>
      </c>
      <c r="D417" s="17" t="n">
        <v>2014</v>
      </c>
      <c r="E417" s="5" t="inlineStr">
        <is>
          <t>Abhishek Bachchan</t>
        </is>
      </c>
      <c r="F417" s="5" t="inlineStr">
        <is>
          <t>Nandan "Nandu" Bhide / Vicky Grover</t>
        </is>
      </c>
      <c r="G417" s="5" t="inlineStr">
        <is>
          <t>Co-lead</t>
        </is>
      </c>
      <c r="H417" s="5" t="inlineStr">
        <is>
          <t>Major</t>
        </is>
      </c>
      <c r="I417" s="5" t="inlineStr">
        <is>
          <t>Heist team member who looks identical to Grover's son</t>
        </is>
      </c>
      <c r="J417" s="5" t="inlineStr">
        <is>
          <t>Mohini's childhood friend who recruits her</t>
        </is>
      </c>
      <c r="K417" s="19" t="inlineStr">
        <is>
          <t>Joins the heist to pay for his mother's surgery; also plays Grover's son Vicky.</t>
        </is>
      </c>
      <c r="L417" s="5" t="n"/>
      <c r="M417" s="5" t="inlineStr">
        <is>
          <t>SOURCE-084</t>
        </is>
      </c>
    </row>
    <row r="418" ht="34" customHeight="1">
      <c r="A418" s="15" t="inlineStr">
        <is>
          <t>CAST-417</t>
        </is>
      </c>
      <c r="B418" s="20" t="inlineStr">
        <is>
          <t>FILM-081</t>
        </is>
      </c>
      <c r="C418" s="5" t="inlineStr">
        <is>
          <t>Happy New Year</t>
        </is>
      </c>
      <c r="D418" s="17" t="n">
        <v>2014</v>
      </c>
      <c r="E418" s="5" t="inlineStr">
        <is>
          <t>Jackie Shroff</t>
        </is>
      </c>
      <c r="F418" s="5" t="inlineStr">
        <is>
          <t>Charan Grover</t>
        </is>
      </c>
      <c r="G418" s="5" t="inlineStr">
        <is>
          <t>Antagonist</t>
        </is>
      </c>
      <c r="H418" s="5" t="inlineStr">
        <is>
          <t>Major</t>
        </is>
      </c>
      <c r="I418" s="5" t="inlineStr">
        <is>
          <t>Tycoon who framed Charlie's father</t>
        </is>
      </c>
      <c r="J418" s="5" t="inlineStr">
        <is>
          <t>Not applicable</t>
        </is>
      </c>
      <c r="K418" s="19" t="inlineStr">
        <is>
          <t>Stole his own diamonds for insurance and drove Manohar to suicide; arrested after the heist frames him.</t>
        </is>
      </c>
      <c r="L418" s="5" t="n"/>
      <c r="M418" s="5" t="inlineStr">
        <is>
          <t>SOURCE-084</t>
        </is>
      </c>
    </row>
    <row r="419" ht="34" customHeight="1">
      <c r="A419" s="15" t="inlineStr">
        <is>
          <t>CAST-418</t>
        </is>
      </c>
      <c r="B419" s="20" t="inlineStr">
        <is>
          <t>FILM-081</t>
        </is>
      </c>
      <c r="C419" s="5" t="inlineStr">
        <is>
          <t>Happy New Year</t>
        </is>
      </c>
      <c r="D419" s="17" t="n">
        <v>2014</v>
      </c>
      <c r="E419" s="5" t="inlineStr">
        <is>
          <t>Sonu Sood</t>
        </is>
      </c>
      <c r="F419" s="5" t="inlineStr">
        <is>
          <t>Captain Jagmohan "Jag" Prakash</t>
        </is>
      </c>
      <c r="G419" s="5" t="inlineStr">
        <is>
          <t>Friend</t>
        </is>
      </c>
      <c r="H419" s="5" t="inlineStr">
        <is>
          <t>Major</t>
        </is>
      </c>
      <c r="I419" s="5" t="inlineStr">
        <is>
          <t>Explosives expert and friend of Charlie's father</t>
        </is>
      </c>
      <c r="J419" s="5" t="inlineStr">
        <is>
          <t>Not applicable</t>
        </is>
      </c>
      <c r="K419" s="19" t="inlineStr">
        <is>
          <t>Hard-of-hearing strongman on the heist team.</t>
        </is>
      </c>
      <c r="L419" s="5" t="n"/>
      <c r="M419" s="5" t="inlineStr">
        <is>
          <t>SOURCE-084</t>
        </is>
      </c>
    </row>
    <row r="420" ht="34" customHeight="1">
      <c r="A420" s="15" t="inlineStr">
        <is>
          <t>CAST-419</t>
        </is>
      </c>
      <c r="B420" s="20" t="inlineStr">
        <is>
          <t>FILM-081</t>
        </is>
      </c>
      <c r="C420" s="5" t="inlineStr">
        <is>
          <t>Happy New Year</t>
        </is>
      </c>
      <c r="D420" s="17" t="n">
        <v>2014</v>
      </c>
      <c r="E420" s="5" t="inlineStr">
        <is>
          <t>Boman Irani</t>
        </is>
      </c>
      <c r="F420" s="5" t="inlineStr">
        <is>
          <t>Tehmton "Tammy" Irani</t>
        </is>
      </c>
      <c r="G420" s="5" t="inlineStr">
        <is>
          <t>Friend</t>
        </is>
      </c>
      <c r="H420" s="5" t="inlineStr">
        <is>
          <t>Major</t>
        </is>
      </c>
      <c r="I420" s="5" t="inlineStr">
        <is>
          <t>Safecracker and friend of Charlie's father</t>
        </is>
      </c>
      <c r="J420" s="5" t="inlineStr">
        <is>
          <t>Not applicable</t>
        </is>
      </c>
      <c r="K420" s="19" t="inlineStr">
        <is>
          <t>Seizure-prone safecracker who helped build the Shalimar vault.</t>
        </is>
      </c>
      <c r="L420" s="5" t="n"/>
      <c r="M420" s="5" t="inlineStr">
        <is>
          <t>SOURCE-084</t>
        </is>
      </c>
    </row>
    <row r="421" ht="19" customHeight="1">
      <c r="A421" s="15" t="inlineStr">
        <is>
          <t>CAST-420</t>
        </is>
      </c>
      <c r="B421" s="20" t="inlineStr">
        <is>
          <t>FILM-081</t>
        </is>
      </c>
      <c r="C421" s="5" t="inlineStr">
        <is>
          <t>Happy New Year</t>
        </is>
      </c>
      <c r="D421" s="17" t="n">
        <v>2014</v>
      </c>
      <c r="E421" s="5" t="inlineStr">
        <is>
          <t>Vivaan Shah</t>
        </is>
      </c>
      <c r="F421" s="5" t="inlineStr">
        <is>
          <t>Rohan Singh</t>
        </is>
      </c>
      <c r="G421" s="5" t="inlineStr">
        <is>
          <t>Friend</t>
        </is>
      </c>
      <c r="H421" s="5" t="inlineStr">
        <is>
          <t>Medium</t>
        </is>
      </c>
      <c r="I421" s="5" t="inlineStr">
        <is>
          <t>Hacker on Charlie's team</t>
        </is>
      </c>
      <c r="J421" s="5" t="inlineStr">
        <is>
          <t>Not applicable</t>
        </is>
      </c>
      <c r="K421" s="19" t="inlineStr">
        <is>
          <t>Jag's nephew, who rigs the qualifying round.</t>
        </is>
      </c>
      <c r="L421" s="5" t="n"/>
      <c r="M421" s="5" t="inlineStr">
        <is>
          <t>SOURCE-084</t>
        </is>
      </c>
    </row>
    <row r="422" ht="49" customHeight="1">
      <c r="A422" s="15" t="inlineStr">
        <is>
          <t>CAST-421</t>
        </is>
      </c>
      <c r="B422" s="20" t="inlineStr">
        <is>
          <t>FILM-081</t>
        </is>
      </c>
      <c r="C422" s="5" t="inlineStr">
        <is>
          <t>Happy New Year</t>
        </is>
      </c>
      <c r="D422" s="17" t="n">
        <v>2014</v>
      </c>
      <c r="E422" s="5" t="inlineStr">
        <is>
          <t>Anupam Kher</t>
        </is>
      </c>
      <c r="F422" s="5" t="inlineStr">
        <is>
          <t>Manohar Sharma</t>
        </is>
      </c>
      <c r="G422" s="5" t="inlineStr">
        <is>
          <t>Family</t>
        </is>
      </c>
      <c r="H422" s="5" t="inlineStr">
        <is>
          <t>Medium</t>
        </is>
      </c>
      <c r="I422" s="5" t="inlineStr">
        <is>
          <t>Charlie's father, whose framing drives Charlie's revenge.</t>
        </is>
      </c>
      <c r="J422" s="5" t="inlineStr">
        <is>
          <t>Not applicable</t>
        </is>
      </c>
      <c r="K422" s="19" t="inlineStr">
        <is>
          <t>An honest businessman who built the Shalimar safe and was framed by Charan Grover for the diamond theft. Charlie later reveals he died by suicide in prison.</t>
        </is>
      </c>
      <c r="L422" s="5" t="n"/>
      <c r="M422" s="5" t="inlineStr">
        <is>
          <t>SOURCE-084</t>
        </is>
      </c>
    </row>
    <row r="423" ht="34" customHeight="1">
      <c r="A423" s="15" t="inlineStr">
        <is>
          <t>CAST-422</t>
        </is>
      </c>
      <c r="B423" s="20" t="inlineStr">
        <is>
          <t>FILM-082</t>
        </is>
      </c>
      <c r="C423" s="5" t="inlineStr">
        <is>
          <t>Dilwale</t>
        </is>
      </c>
      <c r="D423" s="17" t="n">
        <v>2015</v>
      </c>
      <c r="E423" s="5" t="inlineStr">
        <is>
          <t>Varun Dhawan</t>
        </is>
      </c>
      <c r="F423" s="5" t="inlineStr">
        <is>
          <t>Veer Bakshi</t>
        </is>
      </c>
      <c r="G423" s="5" t="inlineStr">
        <is>
          <t>Family</t>
        </is>
      </c>
      <c r="H423" s="5" t="inlineStr">
        <is>
          <t>Major</t>
        </is>
      </c>
      <c r="I423" s="5" t="inlineStr">
        <is>
          <t>Raj's younger adoptive brother</t>
        </is>
      </c>
      <c r="J423" s="5" t="inlineStr">
        <is>
          <t>His romance with Meera's sister reunites Raj and Meera</t>
        </is>
      </c>
      <c r="K423" s="19" t="inlineStr">
        <is>
          <t>Car tuner in Goa who falls for Ishita and schemes to rekindle their siblings' love.</t>
        </is>
      </c>
      <c r="L423" s="5" t="n"/>
      <c r="M423" s="5" t="inlineStr">
        <is>
          <t>SOURCE-085</t>
        </is>
      </c>
    </row>
    <row r="424" ht="34" customHeight="1">
      <c r="A424" s="15" t="inlineStr">
        <is>
          <t>CAST-423</t>
        </is>
      </c>
      <c r="B424" s="20" t="inlineStr">
        <is>
          <t>FILM-082</t>
        </is>
      </c>
      <c r="C424" s="5" t="inlineStr">
        <is>
          <t>Dilwale</t>
        </is>
      </c>
      <c r="D424" s="17" t="n">
        <v>2015</v>
      </c>
      <c r="E424" s="5" t="inlineStr">
        <is>
          <t>Kriti Sanon</t>
        </is>
      </c>
      <c r="F424" s="5" t="inlineStr">
        <is>
          <t>Ishita Malik</t>
        </is>
      </c>
      <c r="G424" s="5" t="inlineStr">
        <is>
          <t>Supporting</t>
        </is>
      </c>
      <c r="H424" s="5" t="inlineStr">
        <is>
          <t>Major</t>
        </is>
      </c>
      <c r="I424" s="5" t="inlineStr">
        <is>
          <t>His brother's girlfriend</t>
        </is>
      </c>
      <c r="J424" s="5" t="inlineStr">
        <is>
          <t>Meera's younger sister, who helps reunite the couple</t>
        </is>
      </c>
      <c r="K424" s="19" t="inlineStr">
        <is>
          <t>Falls for Veer and plots with him to bring Raj and Meera together.</t>
        </is>
      </c>
      <c r="L424" s="5" t="n"/>
      <c r="M424" s="5" t="inlineStr">
        <is>
          <t>SOURCE-085</t>
        </is>
      </c>
    </row>
    <row r="425" ht="19" customHeight="1">
      <c r="A425" s="15" t="inlineStr">
        <is>
          <t>CAST-424</t>
        </is>
      </c>
      <c r="B425" s="20" t="inlineStr">
        <is>
          <t>FILM-082</t>
        </is>
      </c>
      <c r="C425" s="5" t="inlineStr">
        <is>
          <t>Dilwale</t>
        </is>
      </c>
      <c r="D425" s="17" t="n">
        <v>2015</v>
      </c>
      <c r="E425" s="5" t="inlineStr">
        <is>
          <t>Boman Irani</t>
        </is>
      </c>
      <c r="F425" s="5" t="inlineStr">
        <is>
          <t>King</t>
        </is>
      </c>
      <c r="G425" s="5" t="inlineStr">
        <is>
          <t>Antagonist</t>
        </is>
      </c>
      <c r="H425" s="5" t="inlineStr">
        <is>
          <t>Medium</t>
        </is>
      </c>
      <c r="I425" s="5" t="inlineStr">
        <is>
          <t>Drug baron Raj thrashes as Kaali</t>
        </is>
      </c>
      <c r="J425" s="5" t="inlineStr">
        <is>
          <t>Shoots Meera</t>
        </is>
      </c>
      <c r="K425" s="19" t="inlineStr">
        <is>
          <t>Goa drug baron who suspects Raj is Kaali.</t>
        </is>
      </c>
      <c r="L425" s="5" t="n"/>
      <c r="M425" s="5" t="inlineStr">
        <is>
          <t>SOURCE-085</t>
        </is>
      </c>
    </row>
    <row r="426" ht="34" customHeight="1">
      <c r="A426" s="15" t="inlineStr">
        <is>
          <t>CAST-425</t>
        </is>
      </c>
      <c r="B426" s="20" t="inlineStr">
        <is>
          <t>FILM-082</t>
        </is>
      </c>
      <c r="C426" s="5" t="inlineStr">
        <is>
          <t>Dilwale</t>
        </is>
      </c>
      <c r="D426" s="17" t="n">
        <v>2015</v>
      </c>
      <c r="E426" s="5" t="inlineStr">
        <is>
          <t>Vinod Khanna</t>
        </is>
      </c>
      <c r="F426" s="5" t="inlineStr">
        <is>
          <t>Randhir Bakshi</t>
        </is>
      </c>
      <c r="G426" s="5" t="inlineStr">
        <is>
          <t>Family</t>
        </is>
      </c>
      <c r="H426" s="5" t="inlineStr">
        <is>
          <t>Medium</t>
        </is>
      </c>
      <c r="I426" s="5" t="inlineStr">
        <is>
          <t>Kaali's adoptive father</t>
        </is>
      </c>
      <c r="J426" s="5" t="inlineStr">
        <is>
          <t>Rival of Meera's father; the two kill each other</t>
        </is>
      </c>
      <c r="K426" s="19" t="inlineStr">
        <is>
          <t>Crime boss in Sofia. Khanna's final film appearance.</t>
        </is>
      </c>
      <c r="L426" s="5" t="n"/>
      <c r="M426" s="5" t="inlineStr">
        <is>
          <t>SOURCE-085</t>
        </is>
      </c>
    </row>
    <row r="427" ht="19" customHeight="1">
      <c r="A427" s="15" t="inlineStr">
        <is>
          <t>CAST-426</t>
        </is>
      </c>
      <c r="B427" s="20" t="inlineStr">
        <is>
          <t>FILM-082</t>
        </is>
      </c>
      <c r="C427" s="5" t="inlineStr">
        <is>
          <t>Dilwale</t>
        </is>
      </c>
      <c r="D427" s="17" t="n">
        <v>2015</v>
      </c>
      <c r="E427" s="5" t="inlineStr">
        <is>
          <t>Kabir Bedi</t>
        </is>
      </c>
      <c r="F427" s="5" t="inlineStr">
        <is>
          <t>Dev Malik</t>
        </is>
      </c>
      <c r="G427" s="5" t="inlineStr">
        <is>
          <t>Antagonist</t>
        </is>
      </c>
      <c r="H427" s="5" t="inlineStr">
        <is>
          <t>Medium</t>
        </is>
      </c>
      <c r="I427" s="5" t="inlineStr">
        <is>
          <t>Tries to kill Kaali and his father</t>
        </is>
      </c>
      <c r="J427" s="5" t="inlineStr">
        <is>
          <t>Meera's father</t>
        </is>
      </c>
      <c r="K427" s="19" t="inlineStr">
        <is>
          <t>Crime boss whose ambush ends in his and Randhir's deaths.</t>
        </is>
      </c>
      <c r="L427" s="5" t="n"/>
      <c r="M427" s="5" t="inlineStr">
        <is>
          <t>SOURCE-085</t>
        </is>
      </c>
    </row>
    <row r="428" ht="34" customHeight="1">
      <c r="A428" s="15" t="inlineStr">
        <is>
          <t>CAST-427</t>
        </is>
      </c>
      <c r="B428" s="20" t="inlineStr">
        <is>
          <t>FILM-082</t>
        </is>
      </c>
      <c r="C428" s="5" t="inlineStr">
        <is>
          <t>Dilwale</t>
        </is>
      </c>
      <c r="D428" s="17" t="n">
        <v>2015</v>
      </c>
      <c r="E428" s="5" t="inlineStr">
        <is>
          <t>Mukesh Tiwari</t>
        </is>
      </c>
      <c r="F428" s="5" t="inlineStr">
        <is>
          <t>Shakti Saigal</t>
        </is>
      </c>
      <c r="G428" s="5" t="inlineStr">
        <is>
          <t>Friend</t>
        </is>
      </c>
      <c r="H428" s="5" t="inlineStr">
        <is>
          <t>Medium</t>
        </is>
      </c>
      <c r="I428" s="5" t="inlineStr">
        <is>
          <t>Kaali's right-hand man and friend.</t>
        </is>
      </c>
      <c r="J428" s="5" t="inlineStr">
        <is>
          <t>Persuades Kaali to forget the past after his break with Meera.</t>
        </is>
      </c>
      <c r="K428" s="19" t="inlineStr">
        <is>
          <t>Helps Raj thrash King's gang and, with Anwar, convinces Kaali to start a new life with Veer. He is Sidhu's brother.</t>
        </is>
      </c>
      <c r="L428" s="5" t="n"/>
      <c r="M428" s="5" t="inlineStr">
        <is>
          <t>SOURCE-085</t>
        </is>
      </c>
    </row>
    <row r="429" ht="34" customHeight="1">
      <c r="A429" s="15" t="inlineStr">
        <is>
          <t>CAST-428</t>
        </is>
      </c>
      <c r="B429" s="20" t="inlineStr">
        <is>
          <t>FILM-082</t>
        </is>
      </c>
      <c r="C429" s="5" t="inlineStr">
        <is>
          <t>Dilwale</t>
        </is>
      </c>
      <c r="D429" s="17" t="n">
        <v>2015</v>
      </c>
      <c r="E429" s="5" t="inlineStr">
        <is>
          <t>Pankaj Tripathi</t>
        </is>
      </c>
      <c r="F429" s="5" t="inlineStr">
        <is>
          <t>Anwar Ali Mirza</t>
        </is>
      </c>
      <c r="G429" s="5" t="inlineStr">
        <is>
          <t>Friend</t>
        </is>
      </c>
      <c r="H429" s="5" t="inlineStr">
        <is>
          <t>Medium</t>
        </is>
      </c>
      <c r="I429" s="5" t="inlineStr">
        <is>
          <t>Kaali's right-hand man and friend.</t>
        </is>
      </c>
      <c r="J429" s="5" t="inlineStr">
        <is>
          <t>Persuades Kaali to forget the past after his break with Meera.</t>
        </is>
      </c>
      <c r="K429" s="19" t="inlineStr">
        <is>
          <t>Helps Raj fight King's gang and, with Shakti, convinces Kaali to start afresh with Veer.</t>
        </is>
      </c>
      <c r="L429" s="5" t="n"/>
      <c r="M429" s="5" t="inlineStr">
        <is>
          <t>SOURCE-085</t>
        </is>
      </c>
    </row>
    <row r="430" ht="34" customHeight="1">
      <c r="A430" s="15" t="inlineStr">
        <is>
          <t>CAST-429</t>
        </is>
      </c>
      <c r="B430" s="20" t="inlineStr">
        <is>
          <t>FILM-083</t>
        </is>
      </c>
      <c r="C430" s="5" t="inlineStr">
        <is>
          <t>Fan</t>
        </is>
      </c>
      <c r="D430" s="17" t="n">
        <v>2016</v>
      </c>
      <c r="E430" s="5" t="inlineStr">
        <is>
          <t>Shriya Pilgaonkar</t>
        </is>
      </c>
      <c r="F430" s="5" t="inlineStr">
        <is>
          <t>Neha Singh</t>
        </is>
      </c>
      <c r="G430" s="5" t="inlineStr">
        <is>
          <t>Supporting</t>
        </is>
      </c>
      <c r="H430" s="5" t="inlineStr">
        <is>
          <t>Medium</t>
        </is>
      </c>
      <c r="I430" s="5" t="inlineStr">
        <is>
          <t>Gaurav's crush, whom Aryan meets in Delhi</t>
        </is>
      </c>
      <c r="J430" s="5" t="inlineStr">
        <is>
          <t>Gaurav's unspoken love, which Aryan declares on stage</t>
        </is>
      </c>
      <c r="K430" s="19" t="inlineStr">
        <is>
          <t>Call-centre worker and Gaurav's neighbour.</t>
        </is>
      </c>
      <c r="L430" s="5" t="n"/>
      <c r="M430" s="5" t="inlineStr">
        <is>
          <t>SOURCE-086</t>
        </is>
      </c>
    </row>
    <row r="431" ht="19" customHeight="1">
      <c r="A431" s="15" t="inlineStr">
        <is>
          <t>CAST-430</t>
        </is>
      </c>
      <c r="B431" s="20" t="inlineStr">
        <is>
          <t>FILM-083</t>
        </is>
      </c>
      <c r="C431" s="5" t="inlineStr">
        <is>
          <t>Fan</t>
        </is>
      </c>
      <c r="D431" s="17" t="n">
        <v>2016</v>
      </c>
      <c r="E431" s="5" t="inlineStr">
        <is>
          <t>Waluscha De Sousa</t>
        </is>
      </c>
      <c r="F431" s="5" t="inlineStr">
        <is>
          <t>Bella Khanna</t>
        </is>
      </c>
      <c r="G431" s="5" t="inlineStr">
        <is>
          <t>Family</t>
        </is>
      </c>
      <c r="H431" s="5" t="inlineStr">
        <is>
          <t>Minor</t>
        </is>
      </c>
      <c r="I431" s="5" t="inlineStr">
        <is>
          <t>Aryan's wife</t>
        </is>
      </c>
      <c r="J431" s="5" t="inlineStr">
        <is>
          <t>Not applicable</t>
        </is>
      </c>
      <c r="K431" s="19" t="inlineStr">
        <is>
          <t>Frightened when Gaurav invades the family home.</t>
        </is>
      </c>
      <c r="L431" s="5" t="n"/>
      <c r="M431" s="5" t="inlineStr">
        <is>
          <t>SOURCE-086</t>
        </is>
      </c>
    </row>
    <row r="432" ht="19" customHeight="1">
      <c r="A432" s="15" t="inlineStr">
        <is>
          <t>CAST-431</t>
        </is>
      </c>
      <c r="B432" s="20" t="inlineStr">
        <is>
          <t>FILM-083</t>
        </is>
      </c>
      <c r="C432" s="5" t="inlineStr">
        <is>
          <t>Fan</t>
        </is>
      </c>
      <c r="D432" s="17" t="n">
        <v>2016</v>
      </c>
      <c r="E432" s="5" t="inlineStr">
        <is>
          <t>Sayani Gupta</t>
        </is>
      </c>
      <c r="F432" s="5" t="inlineStr">
        <is>
          <t>Sunaina</t>
        </is>
      </c>
      <c r="G432" s="5" t="inlineStr">
        <is>
          <t>Supporting</t>
        </is>
      </c>
      <c r="H432" s="5" t="inlineStr">
        <is>
          <t>Minor</t>
        </is>
      </c>
      <c r="I432" s="5" t="inlineStr">
        <is>
          <t>Aryan's manager</t>
        </is>
      </c>
      <c r="J432" s="5" t="inlineStr">
        <is>
          <t>Not applicable</t>
        </is>
      </c>
      <c r="K432" s="19" t="inlineStr">
        <is>
          <t>Manages Aryan through the crisis Gaurav creates.</t>
        </is>
      </c>
      <c r="L432" s="5" t="n"/>
      <c r="M432" s="5" t="inlineStr">
        <is>
          <t>SOURCE-086</t>
        </is>
      </c>
    </row>
    <row r="433" ht="19" customHeight="1">
      <c r="A433" s="15" t="inlineStr">
        <is>
          <t>CAST-432</t>
        </is>
      </c>
      <c r="B433" s="20" t="inlineStr">
        <is>
          <t>FILM-083</t>
        </is>
      </c>
      <c r="C433" s="5" t="inlineStr">
        <is>
          <t>Fan</t>
        </is>
      </c>
      <c r="D433" s="17" t="n">
        <v>2016</v>
      </c>
      <c r="E433" s="5" t="inlineStr">
        <is>
          <t>Yogendra Tikku</t>
        </is>
      </c>
      <c r="F433" s="5" t="inlineStr">
        <is>
          <t>Mr. Chandna</t>
        </is>
      </c>
      <c r="G433" s="5" t="inlineStr">
        <is>
          <t>Family</t>
        </is>
      </c>
      <c r="H433" s="5" t="inlineStr">
        <is>
          <t>Minor</t>
        </is>
      </c>
      <c r="I433" s="5" t="inlineStr">
        <is>
          <t>Gaurav's father, whom Aryan visits</t>
        </is>
      </c>
      <c r="J433" s="5" t="inlineStr">
        <is>
          <t>Not applicable</t>
        </is>
      </c>
      <c r="K433" s="19" t="inlineStr">
        <is>
          <t>Encourages Gaurav's trip to Mumbai and later helps Aryan.</t>
        </is>
      </c>
      <c r="L433" s="5" t="n"/>
      <c r="M433" s="5" t="inlineStr">
        <is>
          <t>SOURCE-086</t>
        </is>
      </c>
    </row>
    <row r="434" ht="34" customHeight="1">
      <c r="A434" s="15" t="inlineStr">
        <is>
          <t>CAST-433</t>
        </is>
      </c>
      <c r="B434" s="20" t="inlineStr">
        <is>
          <t>FILM-083</t>
        </is>
      </c>
      <c r="C434" s="5" t="inlineStr">
        <is>
          <t>Fan</t>
        </is>
      </c>
      <c r="D434" s="17" t="n">
        <v>2016</v>
      </c>
      <c r="E434" s="5" t="inlineStr">
        <is>
          <t>Deepika Amin</t>
        </is>
      </c>
      <c r="F434" s="5" t="inlineStr">
        <is>
          <t>Mrs. Chandna</t>
        </is>
      </c>
      <c r="G434" s="5" t="inlineStr">
        <is>
          <t>Family</t>
        </is>
      </c>
      <c r="H434" s="5" t="inlineStr">
        <is>
          <t>Minor</t>
        </is>
      </c>
      <c r="I434" s="5" t="inlineStr">
        <is>
          <t>Gaurav's mother.</t>
        </is>
      </c>
      <c r="J434" s="5" t="inlineStr">
        <is>
          <t>Not applicable</t>
        </is>
      </c>
      <c r="K434" s="19" t="inlineStr">
        <is>
          <t>Gaurav's mother, who with her husband encourages his trip to Mumbai and later helps Aryan when he visits Delhi.</t>
        </is>
      </c>
      <c r="L434" s="5" t="n"/>
      <c r="M434" s="5" t="inlineStr">
        <is>
          <t>SOURCE-086</t>
        </is>
      </c>
    </row>
    <row r="435" ht="49" customHeight="1">
      <c r="A435" s="15" t="inlineStr">
        <is>
          <t>CAST-434</t>
        </is>
      </c>
      <c r="B435" s="20" t="inlineStr">
        <is>
          <t>FILM-083</t>
        </is>
      </c>
      <c r="C435" s="5" t="inlineStr">
        <is>
          <t>Fan</t>
        </is>
      </c>
      <c r="D435" s="17" t="n">
        <v>2016</v>
      </c>
      <c r="E435" s="5" t="inlineStr">
        <is>
          <t>Taher Shabbir</t>
        </is>
      </c>
      <c r="F435" s="5" t="inlineStr">
        <is>
          <t>Sid Kapoor</t>
        </is>
      </c>
      <c r="G435" s="5" t="inlineStr">
        <is>
          <t>Supporting</t>
        </is>
      </c>
      <c r="H435" s="5" t="inlineStr">
        <is>
          <t>Minor</t>
        </is>
      </c>
      <c r="I435" s="5" t="inlineStr">
        <is>
          <t>Aryan's rival, attacked by Gaurav.</t>
        </is>
      </c>
      <c r="J435" s="5" t="inlineStr">
        <is>
          <t>Not applicable</t>
        </is>
      </c>
      <c r="K435" s="19" t="inlineStr">
        <is>
          <t>An actor who criticises Aryan to the press. Gaurav beats him and records his forced apology, which leads to Gaurav's arrest.</t>
        </is>
      </c>
      <c r="L435" s="5" t="n"/>
      <c r="M435" s="5" t="inlineStr">
        <is>
          <t>SOURCE-086</t>
        </is>
      </c>
    </row>
    <row r="436" ht="34" customHeight="1">
      <c r="A436" s="15" t="inlineStr">
        <is>
          <t>CAST-435</t>
        </is>
      </c>
      <c r="B436" s="20" t="inlineStr">
        <is>
          <t>FILM-084</t>
        </is>
      </c>
      <c r="C436" s="5" t="inlineStr">
        <is>
          <t>Ae Dil Hai Mushkil</t>
        </is>
      </c>
      <c r="D436" s="17" t="n">
        <v>2016</v>
      </c>
      <c r="E436" s="5" t="inlineStr">
        <is>
          <t>Aishwarya Rai Bachchan</t>
        </is>
      </c>
      <c r="F436" s="5" t="inlineStr">
        <is>
          <t>Saba Tahir Khan</t>
        </is>
      </c>
      <c r="G436" s="5" t="inlineStr">
        <is>
          <t>Co-lead</t>
        </is>
      </c>
      <c r="H436" s="5" t="inlineStr">
        <is>
          <t>Major</t>
        </is>
      </c>
      <c r="I436" s="5" t="inlineStr">
        <is>
          <t>Tahir's ex-wife</t>
        </is>
      </c>
      <c r="J436" s="5" t="inlineStr">
        <is>
          <t>Not applicable</t>
        </is>
      </c>
      <c r="K436" s="19" t="inlineStr">
        <is>
          <t>Poet who has an affair with Ayan in Karan Johar's romantic drama.</t>
        </is>
      </c>
      <c r="L436" s="5" t="n"/>
      <c r="M436" s="5" t="inlineStr">
        <is>
          <t>SOURCE-087</t>
        </is>
      </c>
    </row>
    <row r="437" ht="34" customHeight="1">
      <c r="A437" s="15" t="inlineStr">
        <is>
          <t>CAST-436</t>
        </is>
      </c>
      <c r="B437" s="20" t="inlineStr">
        <is>
          <t>FILM-084</t>
        </is>
      </c>
      <c r="C437" s="5" t="inlineStr">
        <is>
          <t>Ae Dil Hai Mushkil</t>
        </is>
      </c>
      <c r="D437" s="17" t="n">
        <v>2016</v>
      </c>
      <c r="E437" s="5" t="inlineStr">
        <is>
          <t>Ranbir Kapoor</t>
        </is>
      </c>
      <c r="F437" s="5" t="inlineStr">
        <is>
          <t>Ayan Sanger</t>
        </is>
      </c>
      <c r="G437" s="5" t="inlineStr">
        <is>
          <t>Co-lead</t>
        </is>
      </c>
      <c r="H437" s="5" t="inlineStr">
        <is>
          <t>Major</t>
        </is>
      </c>
      <c r="I437" s="5" t="inlineStr">
        <is>
          <t>Lead of the film in which Khan makes a cameo</t>
        </is>
      </c>
      <c r="J437" s="5" t="inlineStr">
        <is>
          <t>Not applicable</t>
        </is>
      </c>
      <c r="K437" s="19" t="inlineStr">
        <is>
          <t>Aspiring singer in unrequited love with his friend Alizeh.</t>
        </is>
      </c>
      <c r="L437" s="5" t="n"/>
      <c r="M437" s="5" t="inlineStr">
        <is>
          <t>SOURCE-087</t>
        </is>
      </c>
    </row>
    <row r="438" ht="19" customHeight="1">
      <c r="A438" s="15" t="inlineStr">
        <is>
          <t>CAST-437</t>
        </is>
      </c>
      <c r="B438" s="20" t="inlineStr">
        <is>
          <t>FILM-084</t>
        </is>
      </c>
      <c r="C438" s="5" t="inlineStr">
        <is>
          <t>Ae Dil Hai Mushkil</t>
        </is>
      </c>
      <c r="D438" s="17" t="n">
        <v>2016</v>
      </c>
      <c r="E438" s="5" t="inlineStr">
        <is>
          <t>Anushka Sharma</t>
        </is>
      </c>
      <c r="F438" s="5" t="inlineStr">
        <is>
          <t>Alizeh Khan</t>
        </is>
      </c>
      <c r="G438" s="5" t="inlineStr">
        <is>
          <t>Co-lead</t>
        </is>
      </c>
      <c r="H438" s="5" t="inlineStr">
        <is>
          <t>Major</t>
        </is>
      </c>
      <c r="I438" s="5" t="inlineStr">
        <is>
          <t>Not directly connected</t>
        </is>
      </c>
      <c r="J438" s="5" t="inlineStr">
        <is>
          <t>Not applicable</t>
        </is>
      </c>
      <c r="K438" s="19" t="inlineStr">
        <is>
          <t>Ayan's close friend who does not return his love.</t>
        </is>
      </c>
      <c r="L438" s="5" t="n"/>
      <c r="M438" s="5" t="inlineStr">
        <is>
          <t>SOURCE-087</t>
        </is>
      </c>
    </row>
    <row r="439" ht="64" customHeight="1">
      <c r="A439" s="15" t="inlineStr">
        <is>
          <t>CAST-438</t>
        </is>
      </c>
      <c r="B439" s="20" t="inlineStr">
        <is>
          <t>FILM-084</t>
        </is>
      </c>
      <c r="C439" s="5" t="inlineStr">
        <is>
          <t>Ae Dil Hai Mushkil</t>
        </is>
      </c>
      <c r="D439" s="17" t="n">
        <v>2016</v>
      </c>
      <c r="E439" s="5" t="inlineStr">
        <is>
          <t>Fawad Khan</t>
        </is>
      </c>
      <c r="F439" s="5" t="inlineStr">
        <is>
          <t>DJ Ali Ahmed</t>
        </is>
      </c>
      <c r="G439" s="5" t="inlineStr">
        <is>
          <t>Supporting</t>
        </is>
      </c>
      <c r="H439" s="5" t="inlineStr">
        <is>
          <t>Medium</t>
        </is>
      </c>
      <c r="I439" s="5" t="inlineStr">
        <is>
          <t>Not connected to Tahir; Ali is the ex-boyfriend and later husband of Alizeh, a lead character.</t>
        </is>
      </c>
      <c r="J439" s="5" t="inlineStr">
        <is>
          <t>Not applicable</t>
        </is>
      </c>
      <c r="K439" s="19" t="inlineStr">
        <is>
          <t>Alizeh's ex-boyfriend, whom she reunites with and marries. He later tells Ayan that they have separated. The article describes the role as the backbone for a certain conflict of a character.</t>
        </is>
      </c>
      <c r="L439" s="5" t="n"/>
      <c r="M439" s="5" t="inlineStr">
        <is>
          <t>SOURCE-087</t>
        </is>
      </c>
    </row>
    <row r="440" ht="34" customHeight="1">
      <c r="A440" s="15" t="inlineStr">
        <is>
          <t>CAST-439</t>
        </is>
      </c>
      <c r="B440" s="20" t="inlineStr">
        <is>
          <t>FILM-085</t>
        </is>
      </c>
      <c r="C440" s="5" t="inlineStr">
        <is>
          <t>Dear Zindagi</t>
        </is>
      </c>
      <c r="D440" s="17" t="n">
        <v>2016</v>
      </c>
      <c r="E440" s="5" t="inlineStr">
        <is>
          <t>Alia Bhatt</t>
        </is>
      </c>
      <c r="F440" s="5" t="inlineStr">
        <is>
          <t>Kaira</t>
        </is>
      </c>
      <c r="G440" s="5" t="inlineStr">
        <is>
          <t>Co-lead</t>
        </is>
      </c>
      <c r="H440" s="5" t="inlineStr">
        <is>
          <t>Major</t>
        </is>
      </c>
      <c r="I440" s="5" t="inlineStr">
        <is>
          <t>Jug's patient</t>
        </is>
      </c>
      <c r="J440" s="5" t="inlineStr">
        <is>
          <t>Develops feelings for Jug, who declines</t>
        </is>
      </c>
      <c r="K440" s="19" t="inlineStr">
        <is>
          <t>Aspiring cinematographer with insomnia and a fear of abandonment rooted in her childhood.</t>
        </is>
      </c>
      <c r="L440" s="5" t="n"/>
      <c r="M440" s="5" t="inlineStr">
        <is>
          <t>SOURCE-088</t>
        </is>
      </c>
    </row>
    <row r="441" ht="34" customHeight="1">
      <c r="A441" s="15" t="inlineStr">
        <is>
          <t>CAST-440</t>
        </is>
      </c>
      <c r="B441" s="20" t="inlineStr">
        <is>
          <t>FILM-085</t>
        </is>
      </c>
      <c r="C441" s="5" t="inlineStr">
        <is>
          <t>Dear Zindagi</t>
        </is>
      </c>
      <c r="D441" s="17" t="n">
        <v>2016</v>
      </c>
      <c r="E441" s="5" t="inlineStr">
        <is>
          <t>Kunal Kapoor</t>
        </is>
      </c>
      <c r="F441" s="5" t="inlineStr">
        <is>
          <t>Raghuvendra</t>
        </is>
      </c>
      <c r="G441" s="5" t="inlineStr">
        <is>
          <t>Supporting</t>
        </is>
      </c>
      <c r="H441" s="5" t="inlineStr">
        <is>
          <t>Medium</t>
        </is>
      </c>
      <c r="I441" s="5" t="inlineStr">
        <is>
          <t>Not directly connected</t>
        </is>
      </c>
      <c r="J441" s="5" t="inlineStr">
        <is>
          <t>One of Kaira's boyfriends</t>
        </is>
      </c>
      <c r="K441" s="19" t="inlineStr">
        <is>
          <t>Film producer Kaira sleeps with before he gets engaged to another woman.</t>
        </is>
      </c>
      <c r="L441" s="5" t="n"/>
      <c r="M441" s="5" t="inlineStr">
        <is>
          <t>SOURCE-088</t>
        </is>
      </c>
    </row>
    <row r="442" ht="34" customHeight="1">
      <c r="A442" s="15" t="inlineStr">
        <is>
          <t>CAST-441</t>
        </is>
      </c>
      <c r="B442" s="20" t="inlineStr">
        <is>
          <t>FILM-085</t>
        </is>
      </c>
      <c r="C442" s="5" t="inlineStr">
        <is>
          <t>Dear Zindagi</t>
        </is>
      </c>
      <c r="D442" s="17" t="n">
        <v>2016</v>
      </c>
      <c r="E442" s="5" t="inlineStr">
        <is>
          <t>Ali Zafar</t>
        </is>
      </c>
      <c r="F442" s="5" t="inlineStr">
        <is>
          <t>Rumi</t>
        </is>
      </c>
      <c r="G442" s="5" t="inlineStr">
        <is>
          <t>Supporting</t>
        </is>
      </c>
      <c r="H442" s="5" t="inlineStr">
        <is>
          <t>Medium</t>
        </is>
      </c>
      <c r="I442" s="5" t="inlineStr">
        <is>
          <t>Not directly connected</t>
        </is>
      </c>
      <c r="J442" s="5" t="inlineStr">
        <is>
          <t>One of Kaira's boyfriends</t>
        </is>
      </c>
      <c r="K442" s="19" t="inlineStr">
        <is>
          <t>Musician with whom Kaira has a brief relationship. Zafar's final Hindi acting credit.</t>
        </is>
      </c>
      <c r="L442" s="5" t="n"/>
      <c r="M442" s="5" t="inlineStr">
        <is>
          <t>SOURCE-088</t>
        </is>
      </c>
    </row>
    <row r="443" ht="34" customHeight="1">
      <c r="A443" s="15" t="inlineStr">
        <is>
          <t>CAST-442</t>
        </is>
      </c>
      <c r="B443" s="20" t="inlineStr">
        <is>
          <t>FILM-085</t>
        </is>
      </c>
      <c r="C443" s="5" t="inlineStr">
        <is>
          <t>Dear Zindagi</t>
        </is>
      </c>
      <c r="D443" s="17" t="n">
        <v>2016</v>
      </c>
      <c r="E443" s="5" t="inlineStr">
        <is>
          <t>Rohit Saraf</t>
        </is>
      </c>
      <c r="F443" s="5" t="inlineStr">
        <is>
          <t>Kabir "Kiddo"</t>
        </is>
      </c>
      <c r="G443" s="5" t="inlineStr">
        <is>
          <t>Family</t>
        </is>
      </c>
      <c r="H443" s="5" t="inlineStr">
        <is>
          <t>Minor</t>
        </is>
      </c>
      <c r="I443" s="5" t="inlineStr">
        <is>
          <t>Not directly connected</t>
        </is>
      </c>
      <c r="J443" s="5" t="inlineStr">
        <is>
          <t>Not applicable</t>
        </is>
      </c>
      <c r="K443" s="19" t="inlineStr">
        <is>
          <t>Kaira's younger brother and the only family member she confides in. Saraf's debut.</t>
        </is>
      </c>
      <c r="L443" s="5" t="n"/>
      <c r="M443" s="5" t="inlineStr">
        <is>
          <t>SOURCE-088</t>
        </is>
      </c>
    </row>
    <row r="444" ht="34" customHeight="1">
      <c r="A444" s="15" t="inlineStr">
        <is>
          <t>CAST-443</t>
        </is>
      </c>
      <c r="B444" s="20" t="inlineStr">
        <is>
          <t>FILM-085</t>
        </is>
      </c>
      <c r="C444" s="5" t="inlineStr">
        <is>
          <t>Dear Zindagi</t>
        </is>
      </c>
      <c r="D444" s="17" t="n">
        <v>2016</v>
      </c>
      <c r="E444" s="5" t="inlineStr">
        <is>
          <t>Angad Bedi</t>
        </is>
      </c>
      <c r="F444" s="5" t="inlineStr">
        <is>
          <t>Sid</t>
        </is>
      </c>
      <c r="G444" s="5" t="inlineStr">
        <is>
          <t>Supporting</t>
        </is>
      </c>
      <c r="H444" s="5" t="inlineStr">
        <is>
          <t>Minor</t>
        </is>
      </c>
      <c r="I444" s="5" t="inlineStr">
        <is>
          <t>Ex-boyfriend of Jug's patient Kaira.</t>
        </is>
      </c>
      <c r="J444" s="5" t="inlineStr">
        <is>
          <t>Not applicable</t>
        </is>
      </c>
      <c r="K444" s="19" t="inlineStr">
        <is>
          <t>Restobar owner and Kaira's childhood sweetheart, whom she breaks up with as her life takes a downturn.</t>
        </is>
      </c>
      <c r="L444" s="5" t="n"/>
      <c r="M444" s="5" t="inlineStr">
        <is>
          <t>SOURCE-088</t>
        </is>
      </c>
    </row>
    <row r="445" ht="49" customHeight="1">
      <c r="A445" s="15" t="inlineStr">
        <is>
          <t>CAST-444</t>
        </is>
      </c>
      <c r="B445" s="20" t="inlineStr">
        <is>
          <t>FILM-085</t>
        </is>
      </c>
      <c r="C445" s="5" t="inlineStr">
        <is>
          <t>Dear Zindagi</t>
        </is>
      </c>
      <c r="D445" s="17" t="n">
        <v>2016</v>
      </c>
      <c r="E445" s="5" t="inlineStr">
        <is>
          <t>Aban Deohans</t>
        </is>
      </c>
      <c r="F445" s="5" t="inlineStr">
        <is>
          <t>Kaira's mother</t>
        </is>
      </c>
      <c r="G445" s="5" t="inlineStr">
        <is>
          <t>Family</t>
        </is>
      </c>
      <c r="H445" s="5" t="inlineStr">
        <is>
          <t>Minor</t>
        </is>
      </c>
      <c r="I445" s="5" t="inlineStr">
        <is>
          <t>Mother of Jug's patient Kaira; Kaira's resentment of her parents is central to the therapy.</t>
        </is>
      </c>
      <c r="J445" s="5" t="inlineStr">
        <is>
          <t>Not applicable</t>
        </is>
      </c>
      <c r="K445" s="19" t="inlineStr">
        <is>
          <t>She and her husband left Kaira with her grandparents as a child. Kaira confronts her parents at a family event and later tries to reconcile.</t>
        </is>
      </c>
      <c r="L445" s="5" t="n"/>
      <c r="M445" s="5" t="inlineStr">
        <is>
          <t>SOURCE-088</t>
        </is>
      </c>
    </row>
    <row r="446" ht="49" customHeight="1">
      <c r="A446" s="15" t="inlineStr">
        <is>
          <t>CAST-445</t>
        </is>
      </c>
      <c r="B446" s="20" t="inlineStr">
        <is>
          <t>FILM-085</t>
        </is>
      </c>
      <c r="C446" s="5" t="inlineStr">
        <is>
          <t>Dear Zindagi</t>
        </is>
      </c>
      <c r="D446" s="17" t="n">
        <v>2016</v>
      </c>
      <c r="E446" s="5" t="inlineStr">
        <is>
          <t>Atul Kale</t>
        </is>
      </c>
      <c r="F446" s="5" t="inlineStr">
        <is>
          <t>Kaira's father</t>
        </is>
      </c>
      <c r="G446" s="5" t="inlineStr">
        <is>
          <t>Family</t>
        </is>
      </c>
      <c r="H446" s="5" t="inlineStr">
        <is>
          <t>Minor</t>
        </is>
      </c>
      <c r="I446" s="5" t="inlineStr">
        <is>
          <t>Father of Jug's patient Kaira; Kaira's resentment of her parents is central to the therapy.</t>
        </is>
      </c>
      <c r="J446" s="5" t="inlineStr">
        <is>
          <t>Not applicable</t>
        </is>
      </c>
      <c r="K446" s="19" t="inlineStr">
        <is>
          <t>He and his wife left Kaira with her grandparents after their business failed. Jug advises Kaira to see her parents as people capable of mistakes.</t>
        </is>
      </c>
      <c r="L446" s="5" t="n"/>
      <c r="M446" s="5" t="inlineStr">
        <is>
          <t>SOURCE-088</t>
        </is>
      </c>
    </row>
    <row r="447" ht="34" customHeight="1">
      <c r="A447" s="15" t="inlineStr">
        <is>
          <t>CAST-446</t>
        </is>
      </c>
      <c r="B447" s="20" t="inlineStr">
        <is>
          <t>FILM-086</t>
        </is>
      </c>
      <c r="C447" s="5" t="inlineStr">
        <is>
          <t>Raees</t>
        </is>
      </c>
      <c r="D447" s="17" t="n">
        <v>2017</v>
      </c>
      <c r="E447" s="5" t="inlineStr">
        <is>
          <t>Nawazuddin Siddiqui</t>
        </is>
      </c>
      <c r="F447" s="5" t="inlineStr">
        <is>
          <t>ACP Jaideep Ambalal Majmudar</t>
        </is>
      </c>
      <c r="G447" s="5" t="inlineStr">
        <is>
          <t>Antagonist</t>
        </is>
      </c>
      <c r="H447" s="5" t="inlineStr">
        <is>
          <t>Major</t>
        </is>
      </c>
      <c r="I447" s="5" t="inlineStr">
        <is>
          <t>Honest officer who pursues and finally shoots Raees</t>
        </is>
      </c>
      <c r="J447" s="5" t="inlineStr">
        <is>
          <t>Not applicable</t>
        </is>
      </c>
      <c r="K447" s="19" t="inlineStr">
        <is>
          <t>Transferred to Fatehpur to crack down on the liquor trade; the cat-and-mouse rivalry drives the film.</t>
        </is>
      </c>
      <c r="L447" s="5" t="n"/>
      <c r="M447" s="5" t="inlineStr">
        <is>
          <t>SOURCE-089</t>
        </is>
      </c>
    </row>
    <row r="448" ht="49" customHeight="1">
      <c r="A448" s="15" t="inlineStr">
        <is>
          <t>CAST-447</t>
        </is>
      </c>
      <c r="B448" s="20" t="inlineStr">
        <is>
          <t>FILM-086</t>
        </is>
      </c>
      <c r="C448" s="5" t="inlineStr">
        <is>
          <t>Raees</t>
        </is>
      </c>
      <c r="D448" s="17" t="n">
        <v>2017</v>
      </c>
      <c r="E448" s="5" t="inlineStr">
        <is>
          <t>Mahira Khan</t>
        </is>
      </c>
      <c r="F448" s="5" t="inlineStr">
        <is>
          <t>Aasiya Qazi Alam</t>
        </is>
      </c>
      <c r="G448" s="5" t="inlineStr">
        <is>
          <t>Family</t>
        </is>
      </c>
      <c r="H448" s="5" t="inlineStr">
        <is>
          <t>Medium</t>
        </is>
      </c>
      <c r="I448" s="5" t="inlineStr">
        <is>
          <t>Raees's wife</t>
        </is>
      </c>
      <c r="J448" s="5" t="inlineStr">
        <is>
          <t>Marries Raees and bears his son; the marriage is not developed in the summary</t>
        </is>
      </c>
      <c r="K448" s="19" t="inlineStr">
        <is>
          <t>Raees's neighbour and later wife. Mahira Khan's only Hindi film.</t>
        </is>
      </c>
      <c r="L448" s="5" t="n"/>
      <c r="M448" s="5" t="inlineStr">
        <is>
          <t>SOURCE-089</t>
        </is>
      </c>
    </row>
    <row r="449" ht="34" customHeight="1">
      <c r="A449" s="15" t="inlineStr">
        <is>
          <t>CAST-448</t>
        </is>
      </c>
      <c r="B449" s="20" t="inlineStr">
        <is>
          <t>FILM-086</t>
        </is>
      </c>
      <c r="C449" s="5" t="inlineStr">
        <is>
          <t>Raees</t>
        </is>
      </c>
      <c r="D449" s="17" t="n">
        <v>2017</v>
      </c>
      <c r="E449" s="5" t="inlineStr">
        <is>
          <t>Mohammed Zeeshan Ayyub</t>
        </is>
      </c>
      <c r="F449" s="5" t="inlineStr">
        <is>
          <t>Sadiq Khan</t>
        </is>
      </c>
      <c r="G449" s="5" t="inlineStr">
        <is>
          <t>Friend</t>
        </is>
      </c>
      <c r="H449" s="5" t="inlineStr">
        <is>
          <t>Medium</t>
        </is>
      </c>
      <c r="I449" s="5" t="inlineStr">
        <is>
          <t>Raees's childhood friend and associate</t>
        </is>
      </c>
      <c r="J449" s="5" t="inlineStr">
        <is>
          <t>Not applicable</t>
        </is>
      </c>
      <c r="K449" s="19" t="inlineStr">
        <is>
          <t>Works alongside Raees from their boyhood in the liquor trade.</t>
        </is>
      </c>
      <c r="L449" s="5" t="n"/>
      <c r="M449" s="5" t="inlineStr">
        <is>
          <t>SOURCE-089</t>
        </is>
      </c>
    </row>
    <row r="450" ht="34" customHeight="1">
      <c r="A450" s="15" t="inlineStr">
        <is>
          <t>CAST-449</t>
        </is>
      </c>
      <c r="B450" s="20" t="inlineStr">
        <is>
          <t>FILM-086</t>
        </is>
      </c>
      <c r="C450" s="5" t="inlineStr">
        <is>
          <t>Raees</t>
        </is>
      </c>
      <c r="D450" s="17" t="n">
        <v>2017</v>
      </c>
      <c r="E450" s="5" t="inlineStr">
        <is>
          <t>Sheeba Chaddha</t>
        </is>
      </c>
      <c r="F450" s="5" t="inlineStr">
        <is>
          <t>Amina Hussain Alam</t>
        </is>
      </c>
      <c r="G450" s="5" t="inlineStr">
        <is>
          <t>Family</t>
        </is>
      </c>
      <c r="H450" s="5" t="inlineStr">
        <is>
          <t>Medium</t>
        </is>
      </c>
      <c r="I450" s="5" t="inlineStr">
        <is>
          <t>Raees's mother</t>
        </is>
      </c>
      <c r="J450" s="5" t="inlineStr">
        <is>
          <t>Not applicable</t>
        </is>
      </c>
      <c r="K450" s="19" t="inlineStr">
        <is>
          <t>Teaches Raees that no occupation is inherently low, words he recalls as he dies.</t>
        </is>
      </c>
      <c r="L450" s="5" t="n"/>
      <c r="M450" s="5" t="inlineStr">
        <is>
          <t>SOURCE-089</t>
        </is>
      </c>
    </row>
    <row r="451" ht="34" customHeight="1">
      <c r="A451" s="15" t="inlineStr">
        <is>
          <t>CAST-450</t>
        </is>
      </c>
      <c r="B451" s="20" t="inlineStr">
        <is>
          <t>FILM-086</t>
        </is>
      </c>
      <c r="C451" s="5" t="inlineStr">
        <is>
          <t>Raees</t>
        </is>
      </c>
      <c r="D451" s="17" t="n">
        <v>2017</v>
      </c>
      <c r="E451" s="5" t="inlineStr">
        <is>
          <t>Narendra Jha</t>
        </is>
      </c>
      <c r="F451" s="5" t="inlineStr">
        <is>
          <t>Musa Bhai</t>
        </is>
      </c>
      <c r="G451" s="5" t="inlineStr">
        <is>
          <t>Antagonist</t>
        </is>
      </c>
      <c r="H451" s="5" t="inlineStr">
        <is>
          <t>Medium</t>
        </is>
      </c>
      <c r="I451" s="5" t="inlineStr">
        <is>
          <t>Crime boss who backs Raees, then uses him to smuggle explosives</t>
        </is>
      </c>
      <c r="J451" s="5" t="inlineStr">
        <is>
          <t>Not applicable</t>
        </is>
      </c>
      <c r="K451" s="19" t="inlineStr">
        <is>
          <t>Killed by Raees after the bombings.</t>
        </is>
      </c>
      <c r="L451" s="5" t="n"/>
      <c r="M451" s="5" t="inlineStr">
        <is>
          <t>SOURCE-089</t>
        </is>
      </c>
    </row>
    <row r="452" ht="34" customHeight="1">
      <c r="A452" s="15" t="inlineStr">
        <is>
          <t>CAST-451</t>
        </is>
      </c>
      <c r="B452" s="20" t="inlineStr">
        <is>
          <t>FILM-086</t>
        </is>
      </c>
      <c r="C452" s="5" t="inlineStr">
        <is>
          <t>Raees</t>
        </is>
      </c>
      <c r="D452" s="17" t="n">
        <v>2017</v>
      </c>
      <c r="E452" s="5" t="inlineStr">
        <is>
          <t>Atul Kulkarni</t>
        </is>
      </c>
      <c r="F452" s="5" t="inlineStr">
        <is>
          <t>Jairaj Seth</t>
        </is>
      </c>
      <c r="G452" s="5" t="inlineStr">
        <is>
          <t>Antagonist</t>
        </is>
      </c>
      <c r="H452" s="5" t="inlineStr">
        <is>
          <t>Medium</t>
        </is>
      </c>
      <c r="I452" s="5" t="inlineStr">
        <is>
          <t>Raees's first boss, who later tries to have him killed</t>
        </is>
      </c>
      <c r="J452" s="5" t="inlineStr">
        <is>
          <t>Not applicable</t>
        </is>
      </c>
      <c r="K452" s="19" t="inlineStr">
        <is>
          <t>Local bootlegger killed by Raees in retaliation.</t>
        </is>
      </c>
      <c r="L452" s="5" t="n"/>
      <c r="M452" s="5" t="inlineStr">
        <is>
          <t>SOURCE-089</t>
        </is>
      </c>
    </row>
    <row r="453" ht="49" customHeight="1">
      <c r="A453" s="15" t="inlineStr">
        <is>
          <t>CAST-452</t>
        </is>
      </c>
      <c r="B453" s="20" t="inlineStr">
        <is>
          <t>FILM-086</t>
        </is>
      </c>
      <c r="C453" s="5" t="inlineStr">
        <is>
          <t>Raees</t>
        </is>
      </c>
      <c r="D453" s="17" t="n">
        <v>2017</v>
      </c>
      <c r="E453" s="5" t="inlineStr">
        <is>
          <t>Uday Tikekar</t>
        </is>
      </c>
      <c r="F453" s="5" t="inlineStr">
        <is>
          <t>Pasha Bhai</t>
        </is>
      </c>
      <c r="G453" s="5" t="inlineStr">
        <is>
          <t>Supporting</t>
        </is>
      </c>
      <c r="H453" s="5" t="inlineStr">
        <is>
          <t>Minor</t>
        </is>
      </c>
      <c r="I453" s="5" t="inlineStr">
        <is>
          <t>Opposition politician who backs and later works against Raees.</t>
        </is>
      </c>
      <c r="J453" s="5" t="inlineStr">
        <is>
          <t>Not applicable</t>
        </is>
      </c>
      <c r="K453" s="19" t="inlineStr">
        <is>
          <t>Opposition leader who gives Raees political backing. After a dispute he has Raees briefly imprisoned, and he later allies with the Chief Minister.</t>
        </is>
      </c>
      <c r="L453" s="5" t="n"/>
      <c r="M453" s="5" t="inlineStr">
        <is>
          <t>SOURCE-089</t>
        </is>
      </c>
    </row>
    <row r="454" ht="34" customHeight="1">
      <c r="A454" s="15" t="inlineStr">
        <is>
          <t>CAST-453</t>
        </is>
      </c>
      <c r="B454" s="20" t="inlineStr">
        <is>
          <t>FILM-087</t>
        </is>
      </c>
      <c r="C454" s="5" t="inlineStr">
        <is>
          <t>Tubelight</t>
        </is>
      </c>
      <c r="D454" s="17" t="n">
        <v>2017</v>
      </c>
      <c r="E454" s="5" t="inlineStr">
        <is>
          <t>Salman Khan</t>
        </is>
      </c>
      <c r="F454" s="5" t="inlineStr">
        <is>
          <t>Laxman Singh Bisht (Tubelight)</t>
        </is>
      </c>
      <c r="G454" s="5" t="inlineStr">
        <is>
          <t>Co-lead</t>
        </is>
      </c>
      <c r="H454" s="5" t="inlineStr">
        <is>
          <t>Major</t>
        </is>
      </c>
      <c r="I454" s="5" t="inlineStr">
        <is>
          <t>The man Gogo Pasha teaches about faith</t>
        </is>
      </c>
      <c r="J454" s="5" t="inlineStr">
        <is>
          <t>Not applicable</t>
        </is>
      </c>
      <c r="K454" s="19" t="inlineStr">
        <is>
          <t>Slow-witted man nicknamed Tubelight whose brother goes to fight in the 1962 war.</t>
        </is>
      </c>
      <c r="L454" s="5" t="n"/>
      <c r="M454" s="5" t="inlineStr">
        <is>
          <t>SOURCE-090</t>
        </is>
      </c>
    </row>
    <row r="455" ht="19" customHeight="1">
      <c r="A455" s="15" t="inlineStr">
        <is>
          <t>CAST-454</t>
        </is>
      </c>
      <c r="B455" s="20" t="inlineStr">
        <is>
          <t>FILM-087</t>
        </is>
      </c>
      <c r="C455" s="5" t="inlineStr">
        <is>
          <t>Tubelight</t>
        </is>
      </c>
      <c r="D455" s="17" t="n">
        <v>2017</v>
      </c>
      <c r="E455" s="5" t="inlineStr">
        <is>
          <t>Om Puri</t>
        </is>
      </c>
      <c r="F455" s="5" t="inlineStr">
        <is>
          <t>Banne Chacha</t>
        </is>
      </c>
      <c r="G455" s="5" t="inlineStr">
        <is>
          <t>Mentor</t>
        </is>
      </c>
      <c r="H455" s="5" t="inlineStr">
        <is>
          <t>Medium</t>
        </is>
      </c>
      <c r="I455" s="5" t="inlineStr">
        <is>
          <t>Not directly connected</t>
        </is>
      </c>
      <c r="J455" s="5" t="inlineStr">
        <is>
          <t>Not applicable</t>
        </is>
      </c>
      <c r="K455" s="19" t="inlineStr">
        <is>
          <t>Elder who guides Laxman.</t>
        </is>
      </c>
      <c r="L455" s="5" t="n"/>
      <c r="M455" s="5" t="inlineStr">
        <is>
          <t>SOURCE-090</t>
        </is>
      </c>
    </row>
    <row r="456" ht="49" customHeight="1">
      <c r="A456" s="15" t="inlineStr">
        <is>
          <t>CAST-455</t>
        </is>
      </c>
      <c r="B456" s="20" t="inlineStr">
        <is>
          <t>FILM-087</t>
        </is>
      </c>
      <c r="C456" s="5" t="inlineStr">
        <is>
          <t>Tubelight</t>
        </is>
      </c>
      <c r="D456" s="17" t="n">
        <v>2017</v>
      </c>
      <c r="E456" s="5" t="inlineStr">
        <is>
          <t>Sohail Khan</t>
        </is>
      </c>
      <c r="F456" s="5" t="inlineStr">
        <is>
          <t>Bharat Singh Bisht</t>
        </is>
      </c>
      <c r="G456" s="5" t="inlineStr">
        <is>
          <t>Family</t>
        </is>
      </c>
      <c r="H456" s="5" t="inlineStr">
        <is>
          <t>Major</t>
        </is>
      </c>
      <c r="I456" s="5" t="inlineStr">
        <is>
          <t>Younger brother of the protagonist Laxman (Gogo Pasha's role is a cameo).</t>
        </is>
      </c>
      <c r="J456" s="5" t="inlineStr">
        <is>
          <t>Not applicable</t>
        </is>
      </c>
      <c r="K456" s="19" t="inlineStr">
        <is>
          <t>Laxman's protective younger brother, who is recruited into the army, captured during the 1962 war and wrongly declared dead before being found alive.</t>
        </is>
      </c>
      <c r="L456" s="5" t="n"/>
      <c r="M456" s="5" t="inlineStr">
        <is>
          <t>SOURCE-090</t>
        </is>
      </c>
    </row>
    <row r="457" ht="49" customHeight="1">
      <c r="A457" s="15" t="inlineStr">
        <is>
          <t>CAST-456</t>
        </is>
      </c>
      <c r="B457" s="20" t="inlineStr">
        <is>
          <t>FILM-087</t>
        </is>
      </c>
      <c r="C457" s="5" t="inlineStr">
        <is>
          <t>Tubelight</t>
        </is>
      </c>
      <c r="D457" s="17" t="n">
        <v>2017</v>
      </c>
      <c r="E457" s="5" t="inlineStr">
        <is>
          <t>Zhu Zhu</t>
        </is>
      </c>
      <c r="F457" s="5" t="inlineStr">
        <is>
          <t>Li Leing</t>
        </is>
      </c>
      <c r="G457" s="5" t="inlineStr">
        <is>
          <t>Supporting</t>
        </is>
      </c>
      <c r="H457" s="5" t="inlineStr">
        <is>
          <t>Medium</t>
        </is>
      </c>
      <c r="I457" s="5" t="inlineStr">
        <is>
          <t>Neighbour befriended by the protagonist Laxman (Gogo Pasha's role is a cameo).</t>
        </is>
      </c>
      <c r="J457" s="5" t="inlineStr">
        <is>
          <t>Not applicable</t>
        </is>
      </c>
      <c r="K457" s="19" t="inlineStr">
        <is>
          <t>A woman Laxman first takes for Chinese and later befriends. She consoles him after his brother's capture and encourages his faith.</t>
        </is>
      </c>
      <c r="L457" s="5" t="n"/>
      <c r="M457" s="5" t="inlineStr">
        <is>
          <t>SOURCE-090</t>
        </is>
      </c>
    </row>
    <row r="458" ht="34" customHeight="1">
      <c r="A458" s="15" t="inlineStr">
        <is>
          <t>CAST-457</t>
        </is>
      </c>
      <c r="B458" s="20" t="inlineStr">
        <is>
          <t>FILM-087</t>
        </is>
      </c>
      <c r="C458" s="5" t="inlineStr">
        <is>
          <t>Tubelight</t>
        </is>
      </c>
      <c r="D458" s="17" t="n">
        <v>2017</v>
      </c>
      <c r="E458" s="5" t="inlineStr">
        <is>
          <t>Matin Rey Tangu</t>
        </is>
      </c>
      <c r="F458" s="5" t="inlineStr">
        <is>
          <t>Gu Won</t>
        </is>
      </c>
      <c r="G458" s="5" t="inlineStr">
        <is>
          <t>Supporting</t>
        </is>
      </c>
      <c r="H458" s="5" t="inlineStr">
        <is>
          <t>Medium</t>
        </is>
      </c>
      <c r="I458" s="5" t="inlineStr">
        <is>
          <t>Boy befriended by the protagonist Laxman (Gogo Pasha's role is a cameo).</t>
        </is>
      </c>
      <c r="J458" s="5" t="inlineStr">
        <is>
          <t>Not applicable</t>
        </is>
      </c>
      <c r="K458" s="19" t="inlineStr">
        <is>
          <t>Li Leing's son, whom Laxman defends when his friend Narayan tries to attack him as a Chinese boy.</t>
        </is>
      </c>
      <c r="L458" s="5" t="n"/>
      <c r="M458" s="5" t="inlineStr">
        <is>
          <t>SOURCE-090</t>
        </is>
      </c>
    </row>
    <row r="459" ht="34" customHeight="1">
      <c r="A459" s="15" t="inlineStr">
        <is>
          <t>CAST-458</t>
        </is>
      </c>
      <c r="B459" s="20" t="inlineStr">
        <is>
          <t>FILM-088</t>
        </is>
      </c>
      <c r="C459" s="5" t="inlineStr">
        <is>
          <t>Jab Harry Met Sejal</t>
        </is>
      </c>
      <c r="D459" s="17" t="n">
        <v>2017</v>
      </c>
      <c r="E459" s="5" t="inlineStr">
        <is>
          <t>Aru Krishansh Verma</t>
        </is>
      </c>
      <c r="F459" s="5" t="inlineStr">
        <is>
          <t>Mayank</t>
        </is>
      </c>
      <c r="G459" s="5" t="inlineStr">
        <is>
          <t>Friend</t>
        </is>
      </c>
      <c r="H459" s="5" t="inlineStr">
        <is>
          <t>Medium</t>
        </is>
      </c>
      <c r="I459" s="5" t="inlineStr">
        <is>
          <t>Harry's friend</t>
        </is>
      </c>
      <c r="J459" s="5" t="inlineStr">
        <is>
          <t>Urges Harry to confess his feelings before it is too late</t>
        </is>
      </c>
      <c r="K459" s="19" t="inlineStr">
        <is>
          <t>Marries Irina in Frankfurt, where he notices the chemistry between Harry and Sejal.</t>
        </is>
      </c>
      <c r="L459" s="5" t="n"/>
      <c r="M459" s="5" t="inlineStr">
        <is>
          <t>SOURCE-091</t>
        </is>
      </c>
    </row>
    <row r="460" ht="34" customHeight="1">
      <c r="A460" s="15" t="inlineStr">
        <is>
          <t>CAST-459</t>
        </is>
      </c>
      <c r="B460" s="20" t="inlineStr">
        <is>
          <t>FILM-088</t>
        </is>
      </c>
      <c r="C460" s="5" t="inlineStr">
        <is>
          <t>Jab Harry Met Sejal</t>
        </is>
      </c>
      <c r="D460" s="17" t="n">
        <v>2017</v>
      </c>
      <c r="E460" s="5" t="inlineStr">
        <is>
          <t>Chandan Roy Sanyal</t>
        </is>
      </c>
      <c r="F460" s="5" t="inlineStr">
        <is>
          <t>Ghyassuddin "Gas" Mohammed Qureshi</t>
        </is>
      </c>
      <c r="G460" s="5" t="inlineStr">
        <is>
          <t>Antagonist</t>
        </is>
      </c>
      <c r="H460" s="5" t="inlineStr">
        <is>
          <t>Minor</t>
        </is>
      </c>
      <c r="I460" s="5" t="inlineStr">
        <is>
          <t>Small-time criminal whose men beat Harry</t>
        </is>
      </c>
      <c r="J460" s="5" t="inlineStr">
        <is>
          <t>The confrontation leads Sejal to find the ring in her bag</t>
        </is>
      </c>
      <c r="K460" s="19" t="inlineStr">
        <is>
          <t>Illegal immigrant in Portugal believed to have the ring.</t>
        </is>
      </c>
      <c r="L460" s="5" t="n"/>
      <c r="M460" s="5" t="inlineStr">
        <is>
          <t>SOURCE-091</t>
        </is>
      </c>
    </row>
    <row r="461" ht="34" customHeight="1">
      <c r="A461" s="15" t="inlineStr">
        <is>
          <t>CAST-460</t>
        </is>
      </c>
      <c r="B461" s="20" t="inlineStr">
        <is>
          <t>FILM-088</t>
        </is>
      </c>
      <c r="C461" s="5" t="inlineStr">
        <is>
          <t>Jab Harry Met Sejal</t>
        </is>
      </c>
      <c r="D461" s="17" t="n">
        <v>2017</v>
      </c>
      <c r="E461" s="5" t="inlineStr">
        <is>
          <t>Kavi Shastri</t>
        </is>
      </c>
      <c r="F461" s="5" t="inlineStr">
        <is>
          <t>Rupen</t>
        </is>
      </c>
      <c r="G461" s="5" t="inlineStr">
        <is>
          <t>Romantic rival</t>
        </is>
      </c>
      <c r="H461" s="5" t="inlineStr">
        <is>
          <t>Minor</t>
        </is>
      </c>
      <c r="I461" s="5" t="inlineStr">
        <is>
          <t>Sejal's fiancé</t>
        </is>
      </c>
      <c r="J461" s="5" t="inlineStr">
        <is>
          <t>Their wedding is called off before Harry arrives</t>
        </is>
      </c>
      <c r="K461" s="19" t="inlineStr">
        <is>
          <t>Asks Sejal to forget the ring and return home.</t>
        </is>
      </c>
      <c r="L461" s="5" t="n"/>
      <c r="M461" s="5" t="inlineStr">
        <is>
          <t>SOURCE-091</t>
        </is>
      </c>
    </row>
    <row r="462" ht="34" customHeight="1">
      <c r="A462" s="15" t="inlineStr">
        <is>
          <t>CAST-461</t>
        </is>
      </c>
      <c r="B462" s="20" t="inlineStr">
        <is>
          <t>FILM-088</t>
        </is>
      </c>
      <c r="C462" s="5" t="inlineStr">
        <is>
          <t>Jab Harry Met Sejal</t>
        </is>
      </c>
      <c r="D462" s="17" t="n">
        <v>2017</v>
      </c>
      <c r="E462" s="5" t="inlineStr">
        <is>
          <t>Evelyn Sharma</t>
        </is>
      </c>
      <c r="F462" s="5" t="inlineStr">
        <is>
          <t>Irina</t>
        </is>
      </c>
      <c r="G462" s="5" t="inlineStr">
        <is>
          <t>Friend</t>
        </is>
      </c>
      <c r="H462" s="5" t="inlineStr">
        <is>
          <t>Minor</t>
        </is>
      </c>
      <c r="I462" s="5" t="inlineStr">
        <is>
          <t>Bride of Harry's friend Mayank.</t>
        </is>
      </c>
      <c r="J462" s="5" t="inlineStr">
        <is>
          <t>Notices the chemistry between Harry and Sejal at her wedding.</t>
        </is>
      </c>
      <c r="K462" s="19" t="inlineStr">
        <is>
          <t>Mayank's bride. At their wedding in Frankfurt, she and Mayank ask Harry and Sejal about their relationship.</t>
        </is>
      </c>
      <c r="L462" s="5" t="n"/>
      <c r="M462" s="5" t="inlineStr">
        <is>
          <t>SOURCE-091</t>
        </is>
      </c>
    </row>
    <row r="463" ht="34" customHeight="1">
      <c r="A463" s="15" t="inlineStr">
        <is>
          <t>CAST-462</t>
        </is>
      </c>
      <c r="B463" s="20" t="inlineStr">
        <is>
          <t>FILM-088</t>
        </is>
      </c>
      <c r="C463" s="5" t="inlineStr">
        <is>
          <t>Jab Harry Met Sejal</t>
        </is>
      </c>
      <c r="D463" s="17" t="n">
        <v>2017</v>
      </c>
      <c r="E463" s="5" t="inlineStr">
        <is>
          <t>Baljeet Kaur Nanda</t>
        </is>
      </c>
      <c r="F463" s="5" t="inlineStr">
        <is>
          <t>Mrs. Nehra</t>
        </is>
      </c>
      <c r="G463" s="5" t="inlineStr">
        <is>
          <t>Family</t>
        </is>
      </c>
      <c r="H463" s="5" t="inlineStr">
        <is>
          <t>Minor</t>
        </is>
      </c>
      <c r="I463" s="5" t="inlineStr">
        <is>
          <t>Harry's mother.</t>
        </is>
      </c>
      <c r="J463" s="5" t="inlineStr">
        <is>
          <t>Part of the family Harry returns to with Sejal.</t>
        </is>
      </c>
      <c r="K463" s="19" t="inlineStr">
        <is>
          <t>Harry's mother. Harry reunites with his family in Nurmahal when he visits with Sejal at the end.</t>
        </is>
      </c>
      <c r="L463" s="5" t="n"/>
      <c r="M463" s="5" t="inlineStr">
        <is>
          <t>SOURCE-091</t>
        </is>
      </c>
    </row>
    <row r="464" ht="34" customHeight="1">
      <c r="A464" s="15" t="inlineStr">
        <is>
          <t>CAST-463</t>
        </is>
      </c>
      <c r="B464" s="20" t="inlineStr">
        <is>
          <t>FILM-089</t>
        </is>
      </c>
      <c r="C464" s="5" t="inlineStr">
        <is>
          <t>Zero</t>
        </is>
      </c>
      <c r="D464" s="17" t="n">
        <v>2018</v>
      </c>
      <c r="E464" s="5" t="inlineStr">
        <is>
          <t>Mohammed Zeeshan Ayyub</t>
        </is>
      </c>
      <c r="F464" s="5" t="inlineStr">
        <is>
          <t>Guddu Mukhi</t>
        </is>
      </c>
      <c r="G464" s="5" t="inlineStr">
        <is>
          <t>Friend</t>
        </is>
      </c>
      <c r="H464" s="5" t="inlineStr">
        <is>
          <t>Major</t>
        </is>
      </c>
      <c r="I464" s="5" t="inlineStr">
        <is>
          <t>Bauua's best friend</t>
        </is>
      </c>
      <c r="J464" s="5" t="inlineStr">
        <is>
          <t>Tells Bauua about the dance contest on his wedding day</t>
        </is>
      </c>
      <c r="K464" s="19" t="inlineStr">
        <is>
          <t>Accompanies Bauua to New York and the Mars programme, where he is rejected.</t>
        </is>
      </c>
      <c r="L464" s="5" t="n"/>
      <c r="M464" s="5" t="inlineStr">
        <is>
          <t>SOURCE-092</t>
        </is>
      </c>
    </row>
    <row r="465" ht="34" customHeight="1">
      <c r="A465" s="15" t="inlineStr">
        <is>
          <t>CAST-464</t>
        </is>
      </c>
      <c r="B465" s="20" t="inlineStr">
        <is>
          <t>FILM-089</t>
        </is>
      </c>
      <c r="C465" s="5" t="inlineStr">
        <is>
          <t>Zero</t>
        </is>
      </c>
      <c r="D465" s="17" t="n">
        <v>2018</v>
      </c>
      <c r="E465" s="5" t="inlineStr">
        <is>
          <t>R. Madhavan</t>
        </is>
      </c>
      <c r="F465" s="5" t="inlineStr">
        <is>
          <t>Kartik Srinivasan</t>
        </is>
      </c>
      <c r="G465" s="5" t="inlineStr">
        <is>
          <t>Romantic rival</t>
        </is>
      </c>
      <c r="H465" s="5" t="inlineStr">
        <is>
          <t>Medium</t>
        </is>
      </c>
      <c r="I465" s="5" t="inlineStr">
        <is>
          <t>Aafia's colleague</t>
        </is>
      </c>
      <c r="J465" s="5" t="inlineStr">
        <is>
          <t>Aafia is due to marry him but leaves for Bauua's launch</t>
        </is>
      </c>
      <c r="K465" s="19" t="inlineStr">
        <is>
          <t>Fellow NSAR scientist.</t>
        </is>
      </c>
      <c r="L465" s="5" t="n"/>
      <c r="M465" s="5" t="inlineStr">
        <is>
          <t>SOURCE-092</t>
        </is>
      </c>
    </row>
    <row r="466" ht="34" customHeight="1">
      <c r="A466" s="15" t="inlineStr">
        <is>
          <t>CAST-465</t>
        </is>
      </c>
      <c r="B466" s="20" t="inlineStr">
        <is>
          <t>FILM-089</t>
        </is>
      </c>
      <c r="C466" s="5" t="inlineStr">
        <is>
          <t>Zero</t>
        </is>
      </c>
      <c r="D466" s="17" t="n">
        <v>2018</v>
      </c>
      <c r="E466" s="5" t="inlineStr">
        <is>
          <t>Abhay Deol</t>
        </is>
      </c>
      <c r="F466" s="5" t="inlineStr">
        <is>
          <t>Aditya Kapoor</t>
        </is>
      </c>
      <c r="G466" s="5" t="inlineStr">
        <is>
          <t>Supporting</t>
        </is>
      </c>
      <c r="H466" s="5" t="inlineStr">
        <is>
          <t>Medium</t>
        </is>
      </c>
      <c r="I466" s="5" t="inlineStr">
        <is>
          <t>Man Bauua helps Babita reconcile with</t>
        </is>
      </c>
      <c r="J466" s="5" t="inlineStr">
        <is>
          <t>Babita's unfaithful boyfriend</t>
        </is>
      </c>
      <c r="K466" s="19" t="inlineStr">
        <is>
          <t>Cheats on Babita twice; she finally breaks with him.</t>
        </is>
      </c>
      <c r="L466" s="5" t="n"/>
      <c r="M466" s="5" t="inlineStr">
        <is>
          <t>SOURCE-092</t>
        </is>
      </c>
    </row>
    <row r="467" ht="19" customHeight="1">
      <c r="A467" s="15" t="inlineStr">
        <is>
          <t>CAST-466</t>
        </is>
      </c>
      <c r="B467" s="20" t="inlineStr">
        <is>
          <t>FILM-089</t>
        </is>
      </c>
      <c r="C467" s="5" t="inlineStr">
        <is>
          <t>Zero</t>
        </is>
      </c>
      <c r="D467" s="17" t="n">
        <v>2018</v>
      </c>
      <c r="E467" s="5" t="inlineStr">
        <is>
          <t>Tigmanshu Dhulia</t>
        </is>
      </c>
      <c r="F467" s="5" t="inlineStr">
        <is>
          <t>Ashok Singh</t>
        </is>
      </c>
      <c r="G467" s="5" t="inlineStr">
        <is>
          <t>Family</t>
        </is>
      </c>
      <c r="H467" s="5" t="inlineStr">
        <is>
          <t>Minor</t>
        </is>
      </c>
      <c r="I467" s="5" t="inlineStr">
        <is>
          <t>Bauua's wealthy father</t>
        </is>
      </c>
      <c r="J467" s="5" t="inlineStr">
        <is>
          <t>Fixes Bauua's marriage to Aafia</t>
        </is>
      </c>
      <c r="K467" s="19" t="inlineStr">
        <is>
          <t>Successful businessman in Meerut.</t>
        </is>
      </c>
      <c r="L467" s="5" t="n"/>
      <c r="M467" s="5" t="inlineStr">
        <is>
          <t>SOURCE-092</t>
        </is>
      </c>
    </row>
    <row r="468" ht="34" customHeight="1">
      <c r="A468" s="15" t="inlineStr">
        <is>
          <t>CAST-467</t>
        </is>
      </c>
      <c r="B468" s="20" t="inlineStr">
        <is>
          <t>FILM-089</t>
        </is>
      </c>
      <c r="C468" s="5" t="inlineStr">
        <is>
          <t>Zero</t>
        </is>
      </c>
      <c r="D468" s="17" t="n">
        <v>2018</v>
      </c>
      <c r="E468" s="5" t="inlineStr">
        <is>
          <t>Sheeba Chaddha</t>
        </is>
      </c>
      <c r="F468" s="5" t="inlineStr">
        <is>
          <t>Beena Singh</t>
        </is>
      </c>
      <c r="G468" s="5" t="inlineStr">
        <is>
          <t>Family</t>
        </is>
      </c>
      <c r="H468" s="5" t="inlineStr">
        <is>
          <t>Minor</t>
        </is>
      </c>
      <c r="I468" s="5" t="inlineStr">
        <is>
          <t>Bauua's mother.</t>
        </is>
      </c>
      <c r="J468" s="5" t="inlineStr">
        <is>
          <t>Bauua's parents fix his marriage to Aafia.</t>
        </is>
      </c>
      <c r="K468" s="19" t="inlineStr">
        <is>
          <t>Bauua's mother. She and her husband arrange Bauua's marriage to Aafia, which he runs away from.</t>
        </is>
      </c>
      <c r="L468" s="5" t="n"/>
      <c r="M468" s="5" t="inlineStr">
        <is>
          <t>SOURCE-092</t>
        </is>
      </c>
    </row>
    <row r="469" ht="34" customHeight="1">
      <c r="A469" s="15" t="inlineStr">
        <is>
          <t>CAST-468</t>
        </is>
      </c>
      <c r="B469" s="20" t="inlineStr">
        <is>
          <t>FILM-090</t>
        </is>
      </c>
      <c r="C469" s="5" t="inlineStr">
        <is>
          <t>The Zoya Factor</t>
        </is>
      </c>
      <c r="D469" s="17" t="n">
        <v>2019</v>
      </c>
      <c r="E469" s="5" t="inlineStr">
        <is>
          <t>Dulquer Salmaan</t>
        </is>
      </c>
      <c r="F469" s="5" t="inlineStr">
        <is>
          <t>Nikhil Khoda</t>
        </is>
      </c>
      <c r="G469" s="5" t="inlineStr">
        <is>
          <t>Co-lead</t>
        </is>
      </c>
      <c r="H469" s="5" t="inlineStr">
        <is>
          <t>Major</t>
        </is>
      </c>
      <c r="I469" s="5" t="inlineStr">
        <is>
          <t>Lead of the film Khan narrates</t>
        </is>
      </c>
      <c r="J469" s="5" t="inlineStr">
        <is>
          <t>Not applicable</t>
        </is>
      </c>
      <c r="K469" s="19" t="inlineStr">
        <is>
          <t>Indian cricket captain who believes in hard work over superstition.</t>
        </is>
      </c>
      <c r="L469" s="5" t="n"/>
      <c r="M469" s="5" t="inlineStr">
        <is>
          <t>SOURCE-093</t>
        </is>
      </c>
    </row>
    <row r="470" ht="34" customHeight="1">
      <c r="A470" s="15" t="inlineStr">
        <is>
          <t>CAST-469</t>
        </is>
      </c>
      <c r="B470" s="20" t="inlineStr">
        <is>
          <t>FILM-090</t>
        </is>
      </c>
      <c r="C470" s="5" t="inlineStr">
        <is>
          <t>The Zoya Factor</t>
        </is>
      </c>
      <c r="D470" s="17" t="n">
        <v>2019</v>
      </c>
      <c r="E470" s="5" t="inlineStr">
        <is>
          <t>Sonam Kapoor</t>
        </is>
      </c>
      <c r="F470" s="5" t="inlineStr">
        <is>
          <t>Zoya Singh Solanki</t>
        </is>
      </c>
      <c r="G470" s="5" t="inlineStr">
        <is>
          <t>Co-lead</t>
        </is>
      </c>
      <c r="H470" s="5" t="inlineStr">
        <is>
          <t>Major</t>
        </is>
      </c>
      <c r="I470" s="5" t="inlineStr">
        <is>
          <t>Heroine of the film Khan narrates</t>
        </is>
      </c>
      <c r="J470" s="5" t="inlineStr">
        <is>
          <t>Not applicable</t>
        </is>
      </c>
      <c r="K470" s="19" t="inlineStr">
        <is>
          <t>Unlucky advertising executive treated as the team's lucky charm.</t>
        </is>
      </c>
      <c r="L470" s="5" t="n"/>
      <c r="M470" s="5" t="inlineStr">
        <is>
          <t>SOURCE-093</t>
        </is>
      </c>
    </row>
    <row r="471" ht="49" customHeight="1">
      <c r="A471" s="15" t="inlineStr">
        <is>
          <t>CAST-470</t>
        </is>
      </c>
      <c r="B471" s="20" t="inlineStr">
        <is>
          <t>FILM-090</t>
        </is>
      </c>
      <c r="C471" s="5" t="inlineStr">
        <is>
          <t>The Zoya Factor</t>
        </is>
      </c>
      <c r="D471" s="17" t="n">
        <v>2019</v>
      </c>
      <c r="E471" s="5" t="inlineStr">
        <is>
          <t>Angad Bedi</t>
        </is>
      </c>
      <c r="F471" s="5" t="inlineStr">
        <is>
          <t>Robin Rawal</t>
        </is>
      </c>
      <c r="G471" s="5" t="inlineStr">
        <is>
          <t>Antagonist</t>
        </is>
      </c>
      <c r="H471" s="5" t="inlineStr">
        <is>
          <t>Major</t>
        </is>
      </c>
      <c r="I471" s="5" t="inlineStr">
        <is>
          <t>Not connected to the narrator; rival of the protagonist Nikhil, who manipulates Zoya.</t>
        </is>
      </c>
      <c r="J471" s="5" t="inlineStr">
        <is>
          <t>Not applicable</t>
        </is>
      </c>
      <c r="K471" s="19" t="inlineStr">
        <is>
          <t>Former Indian captain whose uncle heads the Board. He sends Zoya a video to turn her against Nikhil and deliberately loses a match to make her seem indispensable.</t>
        </is>
      </c>
      <c r="L471" s="5" t="n"/>
      <c r="M471" s="5" t="inlineStr">
        <is>
          <t>SOURCE-093</t>
        </is>
      </c>
    </row>
    <row r="472" ht="34" customHeight="1">
      <c r="A472" s="15" t="inlineStr">
        <is>
          <t>CAST-471</t>
        </is>
      </c>
      <c r="B472" s="20" t="inlineStr">
        <is>
          <t>FILM-091</t>
        </is>
      </c>
      <c r="C472" s="5" t="inlineStr">
        <is>
          <t>Rocketry: The Nambi Effect</t>
        </is>
      </c>
      <c r="D472" s="17" t="n">
        <v>2022</v>
      </c>
      <c r="E472" s="5" t="inlineStr">
        <is>
          <t>R. Madhavan</t>
        </is>
      </c>
      <c r="F472" s="5" t="inlineStr">
        <is>
          <t>Nambi Narayanan</t>
        </is>
      </c>
      <c r="G472" s="5" t="inlineStr">
        <is>
          <t>Co-lead</t>
        </is>
      </c>
      <c r="H472" s="5" t="inlineStr">
        <is>
          <t>Major</t>
        </is>
      </c>
      <c r="I472" s="5" t="inlineStr">
        <is>
          <t>Subject of the film in which Khan appears</t>
        </is>
      </c>
      <c r="J472" s="5" t="inlineStr">
        <is>
          <t>Not applicable</t>
        </is>
      </c>
      <c r="K472" s="19" t="inlineStr">
        <is>
          <t>ISRO scientist falsely accused of espionage and later exonerated.</t>
        </is>
      </c>
      <c r="L472" s="5" t="n"/>
      <c r="M472" s="5" t="inlineStr">
        <is>
          <t>SOURCE-094</t>
        </is>
      </c>
    </row>
    <row r="473" ht="109" customHeight="1">
      <c r="A473" s="15" t="inlineStr">
        <is>
          <t>CAST-472</t>
        </is>
      </c>
      <c r="B473" s="20" t="inlineStr">
        <is>
          <t>FILM-091</t>
        </is>
      </c>
      <c r="C473" s="5" t="inlineStr">
        <is>
          <t>Rocketry: The Nambi Effect</t>
        </is>
      </c>
      <c r="D473" s="17" t="n">
        <v>2022</v>
      </c>
      <c r="E473" s="5" t="inlineStr">
        <is>
          <t>Simran</t>
        </is>
      </c>
      <c r="F473" s="5" t="inlineStr">
        <is>
          <t>Meena Narayanan</t>
        </is>
      </c>
      <c r="G473" s="5" t="inlineStr">
        <is>
          <t>Family</t>
        </is>
      </c>
      <c r="H473" s="5" t="inlineStr">
        <is>
          <t>Major</t>
        </is>
      </c>
      <c r="I473" s="5" t="inlineStr">
        <is>
          <t>Wife of the protagonist Nambi Narayanan; Shah Rukh Khan appears as himself.</t>
        </is>
      </c>
      <c r="J473" s="5" t="inlineStr">
        <is>
          <t>Not applicable</t>
        </is>
      </c>
      <c r="K473" s="19" t="inlineStr">
        <is>
          <t>Nambi's wife, who is traumatised by the espionage case and requires psychiatric care.</t>
        </is>
      </c>
      <c r="L473" s="5" t="inlineStr">
        <is>
          <t>SIIMA Award for Best Actress in a Supporting Role nomination and Filmfare Awards South Best Actress in a Supporting Role (Tamil) nomination; a Cinema Express review credited Madhavan and Simran with propelling the film</t>
        </is>
      </c>
      <c r="M473" s="5" t="inlineStr">
        <is>
          <t>SOURCE-094</t>
        </is>
      </c>
    </row>
    <row r="474" ht="49" customHeight="1">
      <c r="A474" s="15" t="inlineStr">
        <is>
          <t>CAST-473</t>
        </is>
      </c>
      <c r="B474" s="20" t="inlineStr">
        <is>
          <t>FILM-091</t>
        </is>
      </c>
      <c r="C474" s="5" t="inlineStr">
        <is>
          <t>Rocketry: The Nambi Effect</t>
        </is>
      </c>
      <c r="D474" s="17" t="n">
        <v>2022</v>
      </c>
      <c r="E474" s="5" t="inlineStr">
        <is>
          <t>Rajit Kapur</t>
        </is>
      </c>
      <c r="F474" s="5" t="inlineStr">
        <is>
          <t>Vikram Sarabhai</t>
        </is>
      </c>
      <c r="G474" s="5" t="inlineStr">
        <is>
          <t>Mentor</t>
        </is>
      </c>
      <c r="H474" s="5" t="inlineStr">
        <is>
          <t>Medium</t>
        </is>
      </c>
      <c r="I474" s="5" t="inlineStr">
        <is>
          <t>Mentor of the protagonist Nambi Narayanan (Hindi version); Shah Rukh Khan appears as himself.</t>
        </is>
      </c>
      <c r="J474" s="5" t="inlineStr">
        <is>
          <t>Not applicable</t>
        </is>
      </c>
      <c r="K474" s="19" t="inlineStr">
        <is>
          <t>Nambi's mentor at ISRO, whose sudden death stalls Nambi's research; Nambi names the VIKAS engine in his honour. Rajit Kapur plays him in the Hindi version.</t>
        </is>
      </c>
      <c r="L474" s="5" t="n"/>
      <c r="M474" s="5" t="inlineStr">
        <is>
          <t>SOURCE-094</t>
        </is>
      </c>
    </row>
    <row r="475" ht="34" customHeight="1">
      <c r="A475" s="15" t="inlineStr">
        <is>
          <t>CAST-474</t>
        </is>
      </c>
      <c r="B475" s="20" t="inlineStr">
        <is>
          <t>FILM-092</t>
        </is>
      </c>
      <c r="C475" s="5" t="inlineStr">
        <is>
          <t>Laal Singh Chaddha</t>
        </is>
      </c>
      <c r="D475" s="17" t="n">
        <v>2022</v>
      </c>
      <c r="E475" s="5" t="inlineStr">
        <is>
          <t>Aamir Khan</t>
        </is>
      </c>
      <c r="F475" s="5" t="inlineStr">
        <is>
          <t>Laal Singh Chaddha</t>
        </is>
      </c>
      <c r="G475" s="5" t="inlineStr">
        <is>
          <t>Co-lead</t>
        </is>
      </c>
      <c r="H475" s="5" t="inlineStr">
        <is>
          <t>Major</t>
        </is>
      </c>
      <c r="I475" s="5" t="inlineStr">
        <is>
          <t>Unknowingly teaches the young Shah Rukh Khan his dance moves</t>
        </is>
      </c>
      <c r="J475" s="5" t="inlineStr">
        <is>
          <t>Not applicable</t>
        </is>
      </c>
      <c r="K475" s="19" t="inlineStr">
        <is>
          <t>Guileless man whose life intersects with decades of Indian history.</t>
        </is>
      </c>
      <c r="L475" s="5" t="n"/>
      <c r="M475" s="5" t="inlineStr">
        <is>
          <t>SOURCE-095</t>
        </is>
      </c>
    </row>
    <row r="476" ht="19" customHeight="1">
      <c r="A476" s="15" t="inlineStr">
        <is>
          <t>CAST-475</t>
        </is>
      </c>
      <c r="B476" s="20" t="inlineStr">
        <is>
          <t>FILM-092</t>
        </is>
      </c>
      <c r="C476" s="5" t="inlineStr">
        <is>
          <t>Laal Singh Chaddha</t>
        </is>
      </c>
      <c r="D476" s="17" t="n">
        <v>2022</v>
      </c>
      <c r="E476" s="5" t="inlineStr">
        <is>
          <t>Kareena Kapoor</t>
        </is>
      </c>
      <c r="F476" s="5" t="inlineStr">
        <is>
          <t>Rupa D'Souza</t>
        </is>
      </c>
      <c r="G476" s="5" t="inlineStr">
        <is>
          <t>Supporting</t>
        </is>
      </c>
      <c r="H476" s="5" t="inlineStr">
        <is>
          <t>Major</t>
        </is>
      </c>
      <c r="I476" s="5" t="inlineStr">
        <is>
          <t>Not directly connected</t>
        </is>
      </c>
      <c r="J476" s="5" t="inlineStr">
        <is>
          <t>Not applicable</t>
        </is>
      </c>
      <c r="K476" s="19" t="inlineStr">
        <is>
          <t>Laal's childhood love and later wife.</t>
        </is>
      </c>
      <c r="L476" s="5" t="n"/>
      <c r="M476" s="5" t="inlineStr">
        <is>
          <t>SOURCE-095</t>
        </is>
      </c>
    </row>
    <row r="477" ht="49" customHeight="1">
      <c r="A477" s="15" t="inlineStr">
        <is>
          <t>CAST-476</t>
        </is>
      </c>
      <c r="B477" s="20" t="inlineStr">
        <is>
          <t>FILM-092</t>
        </is>
      </c>
      <c r="C477" s="5" t="inlineStr">
        <is>
          <t>Laal Singh Chaddha</t>
        </is>
      </c>
      <c r="D477" s="17" t="n">
        <v>2022</v>
      </c>
      <c r="E477" s="5" t="inlineStr">
        <is>
          <t>Naga Chaitanya</t>
        </is>
      </c>
      <c r="F477" s="5" t="inlineStr">
        <is>
          <t>Naik Balaraju "Bala" Bodi</t>
        </is>
      </c>
      <c r="G477" s="5" t="inlineStr">
        <is>
          <t>Friend</t>
        </is>
      </c>
      <c r="H477" s="5" t="inlineStr">
        <is>
          <t>Major</t>
        </is>
      </c>
      <c r="I477" s="5" t="inlineStr">
        <is>
          <t>Army friend of the protagonist Laal; Shah Rukh Khan appears as himself.</t>
        </is>
      </c>
      <c r="J477" s="5" t="inlineStr">
        <is>
          <t>Not applicable</t>
        </is>
      </c>
      <c r="K477" s="19" t="inlineStr">
        <is>
          <t>Laal's army friend who dreams of starting an undergarment business. After Bala dies in the Kargil War, Laal names his business after him.</t>
        </is>
      </c>
      <c r="L477" s="5" t="n"/>
      <c r="M477" s="5" t="inlineStr">
        <is>
          <t>SOURCE-095</t>
        </is>
      </c>
    </row>
    <row r="478" ht="34" customHeight="1">
      <c r="A478" s="15" t="inlineStr">
        <is>
          <t>CAST-477</t>
        </is>
      </c>
      <c r="B478" s="20" t="inlineStr">
        <is>
          <t>FILM-092</t>
        </is>
      </c>
      <c r="C478" s="5" t="inlineStr">
        <is>
          <t>Laal Singh Chaddha</t>
        </is>
      </c>
      <c r="D478" s="17" t="n">
        <v>2022</v>
      </c>
      <c r="E478" s="5" t="inlineStr">
        <is>
          <t>Mona Singh</t>
        </is>
      </c>
      <c r="F478" s="5" t="inlineStr">
        <is>
          <t>Gurpreet Kaur Chaddha</t>
        </is>
      </c>
      <c r="G478" s="5" t="inlineStr">
        <is>
          <t>Family</t>
        </is>
      </c>
      <c r="H478" s="5" t="inlineStr">
        <is>
          <t>Major</t>
        </is>
      </c>
      <c r="I478" s="5" t="inlineStr">
        <is>
          <t>Mother of the protagonist Laal; Shah Rukh Khan appears as himself.</t>
        </is>
      </c>
      <c r="J478" s="5" t="inlineStr">
        <is>
          <t>Not applicable</t>
        </is>
      </c>
      <c r="K478" s="19" t="inlineStr">
        <is>
          <t>Laal's supportive mother, who tells him he can achieve anything and works as a maid to get him into school.</t>
        </is>
      </c>
      <c r="L478" s="5" t="n"/>
      <c r="M478" s="5" t="inlineStr">
        <is>
          <t>SOURCE-095</t>
        </is>
      </c>
    </row>
    <row r="479" ht="49" customHeight="1">
      <c r="A479" s="15" t="inlineStr">
        <is>
          <t>CAST-478</t>
        </is>
      </c>
      <c r="B479" s="20" t="inlineStr">
        <is>
          <t>FILM-092</t>
        </is>
      </c>
      <c r="C479" s="5" t="inlineStr">
        <is>
          <t>Laal Singh Chaddha</t>
        </is>
      </c>
      <c r="D479" s="17" t="n">
        <v>2022</v>
      </c>
      <c r="E479" s="5" t="inlineStr">
        <is>
          <t>Manav Vij</t>
        </is>
      </c>
      <c r="F479" s="5" t="inlineStr">
        <is>
          <t>Muhammad Yakoob</t>
        </is>
      </c>
      <c r="G479" s="5" t="inlineStr">
        <is>
          <t>Friend</t>
        </is>
      </c>
      <c r="H479" s="5" t="inlineStr">
        <is>
          <t>Medium</t>
        </is>
      </c>
      <c r="I479" s="5" t="inlineStr">
        <is>
          <t>Pakistani soldier saved by the protagonist Laal; Shah Rukh Khan appears as himself.</t>
        </is>
      </c>
      <c r="J479" s="5" t="inlineStr">
        <is>
          <t>Not applicable</t>
        </is>
      </c>
      <c r="K479" s="19" t="inlineStr">
        <is>
          <t>A Pakistani commander Laal unknowingly saves during the Kargil War, who later helps him rename and market his underwear brand as Rupa.</t>
        </is>
      </c>
      <c r="L479" s="5" t="n"/>
      <c r="M479" s="5" t="inlineStr">
        <is>
          <t>SOURCE-095</t>
        </is>
      </c>
    </row>
    <row r="480" ht="34" customHeight="1">
      <c r="A480" s="15" t="inlineStr">
        <is>
          <t>CAST-479</t>
        </is>
      </c>
      <c r="B480" s="20" t="inlineStr">
        <is>
          <t>FILM-093</t>
        </is>
      </c>
      <c r="C480" s="5" t="inlineStr">
        <is>
          <t>Brahmāstra: Part One – Shiva</t>
        </is>
      </c>
      <c r="D480" s="17" t="n">
        <v>2022</v>
      </c>
      <c r="E480" s="5" t="inlineStr">
        <is>
          <t>Ranbir Kapoor</t>
        </is>
      </c>
      <c r="F480" s="5" t="inlineStr">
        <is>
          <t>Shiva</t>
        </is>
      </c>
      <c r="G480" s="5" t="inlineStr">
        <is>
          <t>Co-lead</t>
        </is>
      </c>
      <c r="H480" s="5" t="inlineStr">
        <is>
          <t>Major</t>
        </is>
      </c>
      <c r="I480" s="5" t="inlineStr">
        <is>
          <t>Has a vision of Mohan's fight with Junoon</t>
        </is>
      </c>
      <c r="J480" s="5" t="inlineStr">
        <is>
          <t>Not applicable</t>
        </is>
      </c>
      <c r="K480" s="19" t="inlineStr">
        <is>
          <t>Orphaned DJ with power over fire who learns he is connected to the Brahmāstra.</t>
        </is>
      </c>
      <c r="L480" s="5" t="n"/>
      <c r="M480" s="5" t="inlineStr">
        <is>
          <t>SOURCE-096</t>
        </is>
      </c>
    </row>
    <row r="481" ht="34" customHeight="1">
      <c r="A481" s="15" t="inlineStr">
        <is>
          <t>CAST-480</t>
        </is>
      </c>
      <c r="B481" s="20" t="inlineStr">
        <is>
          <t>FILM-093</t>
        </is>
      </c>
      <c r="C481" s="5" t="inlineStr">
        <is>
          <t>Brahmāstra: Part One – Shiva</t>
        </is>
      </c>
      <c r="D481" s="17" t="n">
        <v>2022</v>
      </c>
      <c r="E481" s="5" t="inlineStr">
        <is>
          <t>Mouni Roy</t>
        </is>
      </c>
      <c r="F481" s="5" t="inlineStr">
        <is>
          <t>Junoon</t>
        </is>
      </c>
      <c r="G481" s="5" t="inlineStr">
        <is>
          <t>Antagonist</t>
        </is>
      </c>
      <c r="H481" s="5" t="inlineStr">
        <is>
          <t>Major</t>
        </is>
      </c>
      <c r="I481" s="5" t="inlineStr">
        <is>
          <t>Subdues Mohan and forces him to reveal the second piece's location</t>
        </is>
      </c>
      <c r="J481" s="5" t="inlineStr">
        <is>
          <t>Not applicable</t>
        </is>
      </c>
      <c r="K481" s="19" t="inlineStr">
        <is>
          <t>Servant of the evil Dev who hunts the pieces of the Brahmāstra.</t>
        </is>
      </c>
      <c r="L481" s="5" t="n"/>
      <c r="M481" s="5" t="inlineStr">
        <is>
          <t>SOURCE-096</t>
        </is>
      </c>
    </row>
    <row r="482" ht="34" customHeight="1">
      <c r="A482" s="15" t="inlineStr">
        <is>
          <t>CAST-481</t>
        </is>
      </c>
      <c r="B482" s="20" t="inlineStr">
        <is>
          <t>FILM-093</t>
        </is>
      </c>
      <c r="C482" s="5" t="inlineStr">
        <is>
          <t>Brahmāstra: Part One – Shiva</t>
        </is>
      </c>
      <c r="D482" s="17" t="n">
        <v>2022</v>
      </c>
      <c r="E482" s="5" t="inlineStr">
        <is>
          <t>Amitabh Bachchan</t>
        </is>
      </c>
      <c r="F482" s="5" t="inlineStr">
        <is>
          <t>Raghu (Guru)</t>
        </is>
      </c>
      <c r="G482" s="5" t="inlineStr">
        <is>
          <t>Mentor</t>
        </is>
      </c>
      <c r="H482" s="5" t="inlineStr">
        <is>
          <t>Major</t>
        </is>
      </c>
      <c r="I482" s="5" t="inlineStr">
        <is>
          <t>Head of the Brahmānsh society Mohan belonged to</t>
        </is>
      </c>
      <c r="J482" s="5" t="inlineStr">
        <is>
          <t>Not applicable</t>
        </is>
      </c>
      <c r="K482" s="19" t="inlineStr">
        <is>
          <t>Trains Shiva and reveals his parentage.</t>
        </is>
      </c>
      <c r="L482" s="5" t="n"/>
      <c r="M482" s="5" t="inlineStr">
        <is>
          <t>SOURCE-096</t>
        </is>
      </c>
    </row>
    <row r="483" ht="34" customHeight="1">
      <c r="A483" s="15" t="inlineStr">
        <is>
          <t>CAST-482</t>
        </is>
      </c>
      <c r="B483" s="20" t="inlineStr">
        <is>
          <t>FILM-093</t>
        </is>
      </c>
      <c r="C483" s="5" t="inlineStr">
        <is>
          <t>Brahmāstra: Part One – Shiva</t>
        </is>
      </c>
      <c r="D483" s="17" t="n">
        <v>2022</v>
      </c>
      <c r="E483" s="5" t="inlineStr">
        <is>
          <t>Nagarjuna</t>
        </is>
      </c>
      <c r="F483" s="5" t="inlineStr">
        <is>
          <t>Anish Shetty</t>
        </is>
      </c>
      <c r="G483" s="5" t="inlineStr">
        <is>
          <t>Supporting</t>
        </is>
      </c>
      <c r="H483" s="5" t="inlineStr">
        <is>
          <t>Medium</t>
        </is>
      </c>
      <c r="I483" s="5" t="inlineStr">
        <is>
          <t>Fellow guardian of a Brahmāstra piece, named by Mohan under duress</t>
        </is>
      </c>
      <c r="J483" s="5" t="inlineStr">
        <is>
          <t>Not applicable</t>
        </is>
      </c>
      <c r="K483" s="19" t="inlineStr">
        <is>
          <t>Varanasi artist and archaeologist who dies fighting Junoon.</t>
        </is>
      </c>
      <c r="L483" s="5" t="n"/>
      <c r="M483" s="5" t="inlineStr">
        <is>
          <t>SOURCE-096</t>
        </is>
      </c>
    </row>
    <row r="484" ht="64" customHeight="1">
      <c r="A484" s="15" t="inlineStr">
        <is>
          <t>CAST-483</t>
        </is>
      </c>
      <c r="B484" s="20" t="inlineStr">
        <is>
          <t>FILM-093</t>
        </is>
      </c>
      <c r="C484" s="5" t="inlineStr">
        <is>
          <t>Brahmāstra: Part One – Shiva</t>
        </is>
      </c>
      <c r="D484" s="17" t="n">
        <v>2022</v>
      </c>
      <c r="E484" s="5" t="inlineStr">
        <is>
          <t>Alia Bhatt</t>
        </is>
      </c>
      <c r="F484" s="5" t="inlineStr">
        <is>
          <t>Isha Chatterjee</t>
        </is>
      </c>
      <c r="G484" s="5" t="inlineStr">
        <is>
          <t>Co-lead</t>
        </is>
      </c>
      <c r="H484" s="5" t="inlineStr">
        <is>
          <t>Major</t>
        </is>
      </c>
      <c r="I484" s="5" t="inlineStr">
        <is>
          <t>Girlfriend of the protagonist Shiva; not connected to Mohan Bhargav.</t>
        </is>
      </c>
      <c r="J484" s="5" t="inlineStr">
        <is>
          <t>Not applicable</t>
        </is>
      </c>
      <c r="K484" s="19" t="inlineStr">
        <is>
          <t>A London resident visiting Mumbai for Durga Puja who falls in love with Shiva and travels with him to the Ashram. Shiva's love for her lets him control the Brahmastra.</t>
        </is>
      </c>
      <c r="L484" s="5" t="inlineStr">
        <is>
          <t>The article notes critics praised the cast's performances, particularly Ranbir Kapoor, Alia Bhatt, Amitabh Bachchan, Mouni Roy and Nagarjuna</t>
        </is>
      </c>
      <c r="M484" s="5" t="inlineStr">
        <is>
          <t>SOURCE-096</t>
        </is>
      </c>
    </row>
    <row r="485" ht="34" customHeight="1">
      <c r="A485" s="15" t="inlineStr">
        <is>
          <t>CAST-484</t>
        </is>
      </c>
      <c r="B485" s="20" t="inlineStr">
        <is>
          <t>FILM-094</t>
        </is>
      </c>
      <c r="C485" s="5" t="inlineStr">
        <is>
          <t>Pathaan</t>
        </is>
      </c>
      <c r="D485" s="17" t="n">
        <v>2023</v>
      </c>
      <c r="E485" s="5" t="inlineStr">
        <is>
          <t>Deepika Padukone</t>
        </is>
      </c>
      <c r="F485" s="5" t="inlineStr">
        <is>
          <t>Dr. Rubina "Rubai" Mohsin</t>
        </is>
      </c>
      <c r="G485" s="5" t="inlineStr">
        <is>
          <t>Co-lead</t>
        </is>
      </c>
      <c r="H485" s="5" t="inlineStr">
        <is>
          <t>Major</t>
        </is>
      </c>
      <c r="I485" s="5" t="inlineStr">
        <is>
          <t>ISI agent who betrays and then helps Pathaan</t>
        </is>
      </c>
      <c r="J485" s="5" t="inlineStr">
        <is>
          <t>Not applicable</t>
        </is>
      </c>
      <c r="K485" s="19" t="inlineStr">
        <is>
          <t>Former ISI agent traumatised by her father's torture; she deactivates the missile.</t>
        </is>
      </c>
      <c r="L485" s="5" t="n"/>
      <c r="M485" s="5" t="inlineStr">
        <is>
          <t>SOURCE-097</t>
        </is>
      </c>
    </row>
    <row r="486" ht="34" customHeight="1">
      <c r="A486" s="15" t="inlineStr">
        <is>
          <t>CAST-485</t>
        </is>
      </c>
      <c r="B486" s="20" t="inlineStr">
        <is>
          <t>FILM-094</t>
        </is>
      </c>
      <c r="C486" s="5" t="inlineStr">
        <is>
          <t>Pathaan</t>
        </is>
      </c>
      <c r="D486" s="17" t="n">
        <v>2023</v>
      </c>
      <c r="E486" s="5" t="inlineStr">
        <is>
          <t>John Abraham</t>
        </is>
      </c>
      <c r="F486" s="5" t="inlineStr">
        <is>
          <t>Jim</t>
        </is>
      </c>
      <c r="G486" s="5" t="inlineStr">
        <is>
          <t>Antagonist</t>
        </is>
      </c>
      <c r="H486" s="5" t="inlineStr">
        <is>
          <t>Major</t>
        </is>
      </c>
      <c r="I486" s="5" t="inlineStr">
        <is>
          <t>Rogue former RAW agent whom Pathaan kills</t>
        </is>
      </c>
      <c r="J486" s="5" t="inlineStr">
        <is>
          <t>Not applicable</t>
        </is>
      </c>
      <c r="K486" s="19" t="inlineStr">
        <is>
          <t>Leader of Outfit X who plans to release the Raktbeej virus on India.</t>
        </is>
      </c>
      <c r="L486" s="5" t="n"/>
      <c r="M486" s="5" t="inlineStr">
        <is>
          <t>SOURCE-097</t>
        </is>
      </c>
    </row>
    <row r="487" ht="34" customHeight="1">
      <c r="A487" s="15" t="inlineStr">
        <is>
          <t>CAST-486</t>
        </is>
      </c>
      <c r="B487" s="20" t="inlineStr">
        <is>
          <t>FILM-094</t>
        </is>
      </c>
      <c r="C487" s="5" t="inlineStr">
        <is>
          <t>Pathaan</t>
        </is>
      </c>
      <c r="D487" s="17" t="n">
        <v>2023</v>
      </c>
      <c r="E487" s="5" t="inlineStr">
        <is>
          <t>Dimple Kapadia</t>
        </is>
      </c>
      <c r="F487" s="5" t="inlineStr">
        <is>
          <t>Dr. Nandini Grewal</t>
        </is>
      </c>
      <c r="G487" s="5" t="inlineStr">
        <is>
          <t>Mentor</t>
        </is>
      </c>
      <c r="H487" s="5" t="inlineStr">
        <is>
          <t>Medium</t>
        </is>
      </c>
      <c r="I487" s="5" t="inlineStr">
        <is>
          <t>Co-founds JOCR with Pathaan</t>
        </is>
      </c>
      <c r="J487" s="5" t="inlineStr">
        <is>
          <t>Not applicable</t>
        </is>
      </c>
      <c r="K487" s="19" t="inlineStr">
        <is>
          <t>Head of JOCR, killed in the controlled blast at the virus facility and posthumously honoured.</t>
        </is>
      </c>
      <c r="L487" s="5" t="n"/>
      <c r="M487" s="5" t="inlineStr">
        <is>
          <t>SOURCE-097</t>
        </is>
      </c>
    </row>
    <row r="488" ht="34" customHeight="1">
      <c r="A488" s="15" t="inlineStr">
        <is>
          <t>CAST-487</t>
        </is>
      </c>
      <c r="B488" s="20" t="inlineStr">
        <is>
          <t>FILM-094</t>
        </is>
      </c>
      <c r="C488" s="5" t="inlineStr">
        <is>
          <t>Pathaan</t>
        </is>
      </c>
      <c r="D488" s="17" t="n">
        <v>2023</v>
      </c>
      <c r="E488" s="5" t="inlineStr">
        <is>
          <t>Salman Khan</t>
        </is>
      </c>
      <c r="F488" s="5" t="inlineStr">
        <is>
          <t>Tiger</t>
        </is>
      </c>
      <c r="G488" s="5" t="inlineStr">
        <is>
          <t>Cameo</t>
        </is>
      </c>
      <c r="H488" s="5" t="inlineStr">
        <is>
          <t>Minor</t>
        </is>
      </c>
      <c r="I488" s="5" t="inlineStr">
        <is>
          <t>Fellow spy who rescues Pathaan from a prison train</t>
        </is>
      </c>
      <c r="J488" s="5" t="inlineStr">
        <is>
          <t>Not applicable</t>
        </is>
      </c>
      <c r="K488" s="19" t="inlineStr">
        <is>
          <t>YRF Spy Universe crossover appearance; the actor is identified on the Tiger 3 page.</t>
        </is>
      </c>
      <c r="L488" s="5" t="n"/>
      <c r="M488" s="5" t="inlineStr">
        <is>
          <t>SOURCE-097; SOURCE-099</t>
        </is>
      </c>
    </row>
    <row r="489" ht="49" customHeight="1">
      <c r="A489" s="15" t="inlineStr">
        <is>
          <t>CAST-488</t>
        </is>
      </c>
      <c r="B489" s="20" t="inlineStr">
        <is>
          <t>FILM-094</t>
        </is>
      </c>
      <c r="C489" s="5" t="inlineStr">
        <is>
          <t>Pathaan</t>
        </is>
      </c>
      <c r="D489" s="17" t="n">
        <v>2023</v>
      </c>
      <c r="E489" s="5" t="inlineStr">
        <is>
          <t>Ashutosh Rana</t>
        </is>
      </c>
      <c r="F489" s="5" t="inlineStr">
        <is>
          <t>Colonel Sunil Luthra</t>
        </is>
      </c>
      <c r="G489" s="5" t="inlineStr">
        <is>
          <t>Authority figure</t>
        </is>
      </c>
      <c r="H489" s="5" t="inlineStr">
        <is>
          <t>Medium</t>
        </is>
      </c>
      <c r="I489" s="5" t="inlineStr">
        <is>
          <t>Senior officer overseeing Pathaan's missions.</t>
        </is>
      </c>
      <c r="J489" s="5" t="inlineStr">
        <is>
          <t>Not applicable</t>
        </is>
      </c>
      <c r="K489" s="19" t="inlineStr">
        <is>
          <t>Briefs Pathaan and Nandini that Jim was a former agent, and goes with Nandini to Jim's lab to bring the virus orb back to India.</t>
        </is>
      </c>
      <c r="L489" s="5" t="n"/>
      <c r="M489" s="5" t="inlineStr">
        <is>
          <t>SOURCE-097</t>
        </is>
      </c>
    </row>
    <row r="490" ht="49" customHeight="1">
      <c r="A490" s="15" t="inlineStr">
        <is>
          <t>CAST-489</t>
        </is>
      </c>
      <c r="B490" s="20" t="inlineStr">
        <is>
          <t>FILM-094</t>
        </is>
      </c>
      <c r="C490" s="5" t="inlineStr">
        <is>
          <t>Pathaan</t>
        </is>
      </c>
      <c r="D490" s="17" t="n">
        <v>2023</v>
      </c>
      <c r="E490" s="5" t="inlineStr">
        <is>
          <t>Manish Wadhwa</t>
        </is>
      </c>
      <c r="F490" s="5" t="inlineStr">
        <is>
          <t>General Qadir</t>
        </is>
      </c>
      <c r="G490" s="5" t="inlineStr">
        <is>
          <t>Antagonist</t>
        </is>
      </c>
      <c r="H490" s="5" t="inlineStr">
        <is>
          <t>Medium</t>
        </is>
      </c>
      <c r="I490" s="5" t="inlineStr">
        <is>
          <t>Pakistani general whose plot Pathaan fights.</t>
        </is>
      </c>
      <c r="J490" s="5" t="inlineStr">
        <is>
          <t>Not applicable</t>
        </is>
      </c>
      <c r="K490" s="19" t="inlineStr">
        <is>
          <t>A cancer-ridden Pakistani Army officer who hires Outfit X to take revenge on India after Article 370 is revoked. Rubai kills him after he activates the missile.</t>
        </is>
      </c>
      <c r="L490" s="5" t="n"/>
      <c r="M490" s="5" t="inlineStr">
        <is>
          <t>SOURCE-097</t>
        </is>
      </c>
    </row>
    <row r="491" ht="34" customHeight="1">
      <c r="A491" s="15" t="inlineStr">
        <is>
          <t>CAST-490</t>
        </is>
      </c>
      <c r="B491" s="20" t="inlineStr">
        <is>
          <t>FILM-095</t>
        </is>
      </c>
      <c r="C491" s="5" t="inlineStr">
        <is>
          <t>Jawan</t>
        </is>
      </c>
      <c r="D491" s="17" t="n">
        <v>2023</v>
      </c>
      <c r="E491" s="5" t="inlineStr">
        <is>
          <t>Vijay Sethupathi</t>
        </is>
      </c>
      <c r="F491" s="5" t="inlineStr">
        <is>
          <t>Kalee Gaikwad</t>
        </is>
      </c>
      <c r="G491" s="5" t="inlineStr">
        <is>
          <t>Antagonist</t>
        </is>
      </c>
      <c r="H491" s="5" t="inlineStr">
        <is>
          <t>Major</t>
        </is>
      </c>
      <c r="I491" s="5" t="inlineStr">
        <is>
          <t>Arms dealer who framed Vikram and caused Aishwarya's execution</t>
        </is>
      </c>
      <c r="J491" s="5" t="inlineStr">
        <is>
          <t>Destroys Vikram and Aishwarya's family</t>
        </is>
      </c>
      <c r="K491" s="19" t="inlineStr">
        <is>
          <t>Global arms dealer with political ambitions, hanged by Azad and Vikram.</t>
        </is>
      </c>
      <c r="L491" s="5" t="n"/>
      <c r="M491" s="5" t="inlineStr">
        <is>
          <t>SOURCE-098</t>
        </is>
      </c>
    </row>
    <row r="492" ht="19" customHeight="1">
      <c r="A492" s="15" t="inlineStr">
        <is>
          <t>CAST-491</t>
        </is>
      </c>
      <c r="B492" s="20" t="inlineStr">
        <is>
          <t>FILM-095</t>
        </is>
      </c>
      <c r="C492" s="5" t="inlineStr">
        <is>
          <t>Jawan</t>
        </is>
      </c>
      <c r="D492" s="17" t="n">
        <v>2023</v>
      </c>
      <c r="E492" s="5" t="inlineStr">
        <is>
          <t>Priyamani</t>
        </is>
      </c>
      <c r="F492" s="5" t="inlineStr">
        <is>
          <t>Lakshmi</t>
        </is>
      </c>
      <c r="G492" s="5" t="inlineStr">
        <is>
          <t>Supporting</t>
        </is>
      </c>
      <c r="H492" s="5" t="inlineStr">
        <is>
          <t>Medium</t>
        </is>
      </c>
      <c r="I492" s="5" t="inlineStr">
        <is>
          <t>Member of Azad's gang</t>
        </is>
      </c>
      <c r="J492" s="5" t="inlineStr">
        <is>
          <t>Not applicable</t>
        </is>
      </c>
      <c r="K492" s="19" t="inlineStr">
        <is>
          <t>Inmate who joins the heists and is killed in the crossfire.</t>
        </is>
      </c>
      <c r="L492" s="5" t="n"/>
      <c r="M492" s="5" t="inlineStr">
        <is>
          <t>SOURCE-098</t>
        </is>
      </c>
    </row>
    <row r="493" ht="34" customHeight="1">
      <c r="A493" s="15" t="inlineStr">
        <is>
          <t>CAST-492</t>
        </is>
      </c>
      <c r="B493" s="20" t="inlineStr">
        <is>
          <t>FILM-095</t>
        </is>
      </c>
      <c r="C493" s="5" t="inlineStr">
        <is>
          <t>Jawan</t>
        </is>
      </c>
      <c r="D493" s="17" t="n">
        <v>2023</v>
      </c>
      <c r="E493" s="5" t="inlineStr">
        <is>
          <t>Sanya Malhotra</t>
        </is>
      </c>
      <c r="F493" s="5" t="inlineStr">
        <is>
          <t>Dr. Eeram</t>
        </is>
      </c>
      <c r="G493" s="5" t="inlineStr">
        <is>
          <t>Supporting</t>
        </is>
      </c>
      <c r="H493" s="5" t="inlineStr">
        <is>
          <t>Medium</t>
        </is>
      </c>
      <c r="I493" s="5" t="inlineStr">
        <is>
          <t>Member of Azad's gang</t>
        </is>
      </c>
      <c r="J493" s="5" t="inlineStr">
        <is>
          <t>Not applicable</t>
        </is>
      </c>
      <c r="K493" s="19" t="inlineStr">
        <is>
          <t>Doctor jailed after children died from a corrupt oxygen shortage; Azad clears her name.</t>
        </is>
      </c>
      <c r="L493" s="5" t="n"/>
      <c r="M493" s="5" t="inlineStr">
        <is>
          <t>SOURCE-098</t>
        </is>
      </c>
    </row>
    <row r="494" ht="34" customHeight="1">
      <c r="A494" s="15" t="inlineStr">
        <is>
          <t>CAST-493</t>
        </is>
      </c>
      <c r="B494" s="20" t="inlineStr">
        <is>
          <t>FILM-095</t>
        </is>
      </c>
      <c r="C494" s="5" t="inlineStr">
        <is>
          <t>Jawan</t>
        </is>
      </c>
      <c r="D494" s="17" t="n">
        <v>2023</v>
      </c>
      <c r="E494" s="5" t="inlineStr">
        <is>
          <t>Sunil Grover</t>
        </is>
      </c>
      <c r="F494" s="5" t="inlineStr">
        <is>
          <t>Irani</t>
        </is>
      </c>
      <c r="G494" s="5" t="inlineStr">
        <is>
          <t>Antagonist</t>
        </is>
      </c>
      <c r="H494" s="5" t="inlineStr">
        <is>
          <t>Medium</t>
        </is>
      </c>
      <c r="I494" s="5" t="inlineStr">
        <is>
          <t>Narmada's subordinate on Kalee's payroll</t>
        </is>
      </c>
      <c r="J494" s="5" t="inlineStr">
        <is>
          <t>Not applicable</t>
        </is>
      </c>
      <c r="K494" s="19" t="inlineStr">
        <is>
          <t>Tries to kill Azad's accomplices and is killed by Azad.</t>
        </is>
      </c>
      <c r="L494" s="5" t="n"/>
      <c r="M494" s="5" t="inlineStr">
        <is>
          <t>SOURCE-098</t>
        </is>
      </c>
    </row>
    <row r="495" ht="19" customHeight="1">
      <c r="A495" s="15" t="inlineStr">
        <is>
          <t>CAST-494</t>
        </is>
      </c>
      <c r="B495" s="20" t="inlineStr">
        <is>
          <t>FILM-095</t>
        </is>
      </c>
      <c r="C495" s="5" t="inlineStr">
        <is>
          <t>Jawan</t>
        </is>
      </c>
      <c r="D495" s="17" t="n">
        <v>2023</v>
      </c>
      <c r="E495" s="5" t="inlineStr">
        <is>
          <t>Riddhi Dogra</t>
        </is>
      </c>
      <c r="F495" s="5" t="inlineStr">
        <is>
          <t>Kaveri</t>
        </is>
      </c>
      <c r="G495" s="5" t="inlineStr">
        <is>
          <t>Family</t>
        </is>
      </c>
      <c r="H495" s="5" t="inlineStr">
        <is>
          <t>Minor</t>
        </is>
      </c>
      <c r="I495" s="5" t="inlineStr">
        <is>
          <t>Azad's adoptive mother.</t>
        </is>
      </c>
      <c r="J495" s="5" t="inlineStr">
        <is>
          <t>Not applicable</t>
        </is>
      </c>
      <c r="K495" s="19" t="inlineStr">
        <is>
          <t>Retired jailer with whom Azad lives.</t>
        </is>
      </c>
      <c r="L495" s="5" t="n"/>
      <c r="M495" s="5" t="inlineStr">
        <is>
          <t>SOURCE-098</t>
        </is>
      </c>
    </row>
    <row r="496" ht="34" customHeight="1">
      <c r="A496" s="15" t="inlineStr">
        <is>
          <t>CAST-495</t>
        </is>
      </c>
      <c r="B496" s="20" t="inlineStr">
        <is>
          <t>FILM-095</t>
        </is>
      </c>
      <c r="C496" s="5" t="inlineStr">
        <is>
          <t>Jawan</t>
        </is>
      </c>
      <c r="D496" s="17" t="n">
        <v>2023</v>
      </c>
      <c r="E496" s="5" t="inlineStr">
        <is>
          <t>Eijaz Khan</t>
        </is>
      </c>
      <c r="F496" s="5" t="inlineStr">
        <is>
          <t>Manish Gaikwad</t>
        </is>
      </c>
      <c r="G496" s="5" t="inlineStr">
        <is>
          <t>Antagonist</t>
        </is>
      </c>
      <c r="H496" s="5" t="inlineStr">
        <is>
          <t>Minor</t>
        </is>
      </c>
      <c r="I496" s="5" t="inlineStr">
        <is>
          <t>Kalee's brother, who exposes Azad.</t>
        </is>
      </c>
      <c r="J496" s="5" t="inlineStr">
        <is>
          <t>Captures Azad and Narmada after uncovering Azad's secret.</t>
        </is>
      </c>
      <c r="K496" s="19" t="inlineStr">
        <is>
          <t>Kalee's brother, who uncovers Azad's alter ego, leading to Azad and Narmada being captured and tortured.</t>
        </is>
      </c>
      <c r="L496" s="5" t="n"/>
      <c r="M496" s="5" t="inlineStr">
        <is>
          <t>SOURCE-098</t>
        </is>
      </c>
    </row>
    <row r="497" ht="34" customHeight="1">
      <c r="A497" s="15" t="inlineStr">
        <is>
          <t>CAST-496</t>
        </is>
      </c>
      <c r="B497" s="20" t="inlineStr">
        <is>
          <t>FILM-096</t>
        </is>
      </c>
      <c r="C497" s="5" t="inlineStr">
        <is>
          <t>Tiger 3</t>
        </is>
      </c>
      <c r="D497" s="17" t="n">
        <v>2023</v>
      </c>
      <c r="E497" s="5" t="inlineStr">
        <is>
          <t>Salman Khan</t>
        </is>
      </c>
      <c r="F497" s="5" t="inlineStr">
        <is>
          <t>Avinash "Tiger" Singh Rathore</t>
        </is>
      </c>
      <c r="G497" s="5" t="inlineStr">
        <is>
          <t>Co-lead</t>
        </is>
      </c>
      <c r="H497" s="5" t="inlineStr">
        <is>
          <t>Major</t>
        </is>
      </c>
      <c r="I497" s="5" t="inlineStr">
        <is>
          <t>The spy Pathaan helps escape</t>
        </is>
      </c>
      <c r="J497" s="5" t="inlineStr">
        <is>
          <t>Not applicable</t>
        </is>
      </c>
      <c r="K497" s="19" t="inlineStr">
        <is>
          <t>Former RAW agent sentenced to death before his escape.</t>
        </is>
      </c>
      <c r="L497" s="5" t="n"/>
      <c r="M497" s="5" t="inlineStr">
        <is>
          <t>SOURCE-099</t>
        </is>
      </c>
    </row>
    <row r="498" ht="19" customHeight="1">
      <c r="A498" s="15" t="inlineStr">
        <is>
          <t>CAST-497</t>
        </is>
      </c>
      <c r="B498" s="20" t="inlineStr">
        <is>
          <t>FILM-096</t>
        </is>
      </c>
      <c r="C498" s="5" t="inlineStr">
        <is>
          <t>Tiger 3</t>
        </is>
      </c>
      <c r="D498" s="17" t="n">
        <v>2023</v>
      </c>
      <c r="E498" s="5" t="inlineStr">
        <is>
          <t>Katrina Kaif</t>
        </is>
      </c>
      <c r="F498" s="5" t="inlineStr">
        <is>
          <t>Zoya Nazar Jung</t>
        </is>
      </c>
      <c r="G498" s="5" t="inlineStr">
        <is>
          <t>Co-lead</t>
        </is>
      </c>
      <c r="H498" s="5" t="inlineStr">
        <is>
          <t>Major</t>
        </is>
      </c>
      <c r="I498" s="5" t="inlineStr">
        <is>
          <t>Not directly connected</t>
        </is>
      </c>
      <c r="J498" s="5" t="inlineStr">
        <is>
          <t>Not applicable</t>
        </is>
      </c>
      <c r="K498" s="19" t="inlineStr">
        <is>
          <t>Former ISI agent and Tiger's wife.</t>
        </is>
      </c>
      <c r="L498" s="5" t="n"/>
      <c r="M498" s="5" t="inlineStr">
        <is>
          <t>SOURCE-099</t>
        </is>
      </c>
    </row>
    <row r="499" ht="34" customHeight="1">
      <c r="A499" s="15" t="inlineStr">
        <is>
          <t>CAST-498</t>
        </is>
      </c>
      <c r="B499" s="20" t="inlineStr">
        <is>
          <t>FILM-096</t>
        </is>
      </c>
      <c r="C499" s="5" t="inlineStr">
        <is>
          <t>Tiger 3</t>
        </is>
      </c>
      <c r="D499" s="17" t="n">
        <v>2023</v>
      </c>
      <c r="E499" s="5" t="inlineStr">
        <is>
          <t>Emraan Hashmi</t>
        </is>
      </c>
      <c r="F499" s="5" t="inlineStr">
        <is>
          <t>Aatish Rehman</t>
        </is>
      </c>
      <c r="G499" s="5" t="inlineStr">
        <is>
          <t>Antagonist</t>
        </is>
      </c>
      <c r="H499" s="5" t="inlineStr">
        <is>
          <t>Major</t>
        </is>
      </c>
      <c r="I499" s="5" t="inlineStr">
        <is>
          <t>Not directly connected</t>
        </is>
      </c>
      <c r="J499" s="5" t="inlineStr">
        <is>
          <t>Not applicable</t>
        </is>
      </c>
      <c r="K499" s="19" t="inlineStr">
        <is>
          <t>Former deputy director-general of ISI and the film's villain.</t>
        </is>
      </c>
      <c r="L499" s="5" t="n"/>
      <c r="M499" s="5" t="inlineStr">
        <is>
          <t>SOURCE-099</t>
        </is>
      </c>
    </row>
    <row r="500" ht="34" customHeight="1">
      <c r="A500" s="15" t="inlineStr">
        <is>
          <t>CAST-499</t>
        </is>
      </c>
      <c r="B500" s="20" t="inlineStr">
        <is>
          <t>FILM-097</t>
        </is>
      </c>
      <c r="C500" s="5" t="inlineStr">
        <is>
          <t>Dunki</t>
        </is>
      </c>
      <c r="D500" s="17" t="n">
        <v>2023</v>
      </c>
      <c r="E500" s="5" t="inlineStr">
        <is>
          <t>Vicky Kaushal</t>
        </is>
      </c>
      <c r="F500" s="5" t="inlineStr">
        <is>
          <t>Sukhwinder "Sukhi" Singh</t>
        </is>
      </c>
      <c r="G500" s="5" t="inlineStr">
        <is>
          <t>Supporting</t>
        </is>
      </c>
      <c r="H500" s="5" t="inlineStr">
        <is>
          <t>Medium</t>
        </is>
      </c>
      <c r="I500" s="5" t="inlineStr">
        <is>
          <t>Friend from the English coaching centre</t>
        </is>
      </c>
      <c r="J500" s="5" t="inlineStr">
        <is>
          <t>Not applicable</t>
        </is>
      </c>
      <c r="K500" s="19" t="inlineStr">
        <is>
          <t>Kills himself after his ex-girlfriend's suicide, driving Hardy to choose the donkey flight. Special appearance.</t>
        </is>
      </c>
      <c r="L500" s="5" t="inlineStr">
        <is>
          <t>Filmfare Best Supporting Actor</t>
        </is>
      </c>
      <c r="M500" s="5" t="inlineStr">
        <is>
          <t>SOURCE-100</t>
        </is>
      </c>
    </row>
    <row r="501" ht="34" customHeight="1">
      <c r="A501" s="15" t="inlineStr">
        <is>
          <t>CAST-500</t>
        </is>
      </c>
      <c r="B501" s="20" t="inlineStr">
        <is>
          <t>FILM-097</t>
        </is>
      </c>
      <c r="C501" s="5" t="inlineStr">
        <is>
          <t>Dunki</t>
        </is>
      </c>
      <c r="D501" s="17" t="n">
        <v>2023</v>
      </c>
      <c r="E501" s="5" t="inlineStr">
        <is>
          <t>Vikram Kochhar</t>
        </is>
      </c>
      <c r="F501" s="5" t="inlineStr">
        <is>
          <t>Buggu Lakhanpal</t>
        </is>
      </c>
      <c r="G501" s="5" t="inlineStr">
        <is>
          <t>Friend</t>
        </is>
      </c>
      <c r="H501" s="5" t="inlineStr">
        <is>
          <t>Major</t>
        </is>
      </c>
      <c r="I501" s="5" t="inlineStr">
        <is>
          <t>One of the friends Hardy leads to England</t>
        </is>
      </c>
      <c r="J501" s="5" t="inlineStr">
        <is>
          <t>Not applicable</t>
        </is>
      </c>
      <c r="K501" s="19" t="inlineStr">
        <is>
          <t>Poor villager who migrates illegally and later gains British citizenship.</t>
        </is>
      </c>
      <c r="L501" s="5" t="n"/>
      <c r="M501" s="5" t="inlineStr">
        <is>
          <t>SOURCE-100</t>
        </is>
      </c>
    </row>
    <row r="502" ht="34" customHeight="1">
      <c r="A502" s="15" t="inlineStr">
        <is>
          <t>CAST-501</t>
        </is>
      </c>
      <c r="B502" s="20" t="inlineStr">
        <is>
          <t>FILM-097</t>
        </is>
      </c>
      <c r="C502" s="5" t="inlineStr">
        <is>
          <t>Dunki</t>
        </is>
      </c>
      <c r="D502" s="17" t="n">
        <v>2023</v>
      </c>
      <c r="E502" s="5" t="inlineStr">
        <is>
          <t>Anil Grover</t>
        </is>
      </c>
      <c r="F502" s="5" t="inlineStr">
        <is>
          <t>Balli Kakkad</t>
        </is>
      </c>
      <c r="G502" s="5" t="inlineStr">
        <is>
          <t>Friend</t>
        </is>
      </c>
      <c r="H502" s="5" t="inlineStr">
        <is>
          <t>Major</t>
        </is>
      </c>
      <c r="I502" s="5" t="inlineStr">
        <is>
          <t>Friend who reaches England legally but is duped</t>
        </is>
      </c>
      <c r="J502" s="5" t="inlineStr">
        <is>
          <t>Not applicable</t>
        </is>
      </c>
      <c r="K502" s="19" t="inlineStr">
        <is>
          <t>Passes the English test, sends home misleading photographs and ends up in menial jobs.</t>
        </is>
      </c>
      <c r="L502" s="5" t="n"/>
      <c r="M502" s="5" t="inlineStr">
        <is>
          <t>SOURCE-100</t>
        </is>
      </c>
    </row>
    <row r="503" ht="19" customHeight="1">
      <c r="A503" s="15" t="inlineStr">
        <is>
          <t>CAST-502</t>
        </is>
      </c>
      <c r="B503" s="20" t="inlineStr">
        <is>
          <t>FILM-097</t>
        </is>
      </c>
      <c r="C503" s="5" t="inlineStr">
        <is>
          <t>Dunki</t>
        </is>
      </c>
      <c r="D503" s="17" t="n">
        <v>2023</v>
      </c>
      <c r="E503" s="5" t="inlineStr">
        <is>
          <t>Boman Irani</t>
        </is>
      </c>
      <c r="F503" s="5" t="inlineStr">
        <is>
          <t>Geetu Gulati</t>
        </is>
      </c>
      <c r="G503" s="5" t="inlineStr">
        <is>
          <t>Comic support</t>
        </is>
      </c>
      <c r="H503" s="5" t="inlineStr">
        <is>
          <t>Medium</t>
        </is>
      </c>
      <c r="I503" s="5" t="inlineStr">
        <is>
          <t>Runs the English coaching centre</t>
        </is>
      </c>
      <c r="J503" s="5" t="inlineStr">
        <is>
          <t>Not applicable</t>
        </is>
      </c>
      <c r="K503" s="19" t="inlineStr">
        <is>
          <t>Teacher of an ineffective IELTS coaching class in Laltu.</t>
        </is>
      </c>
      <c r="L503" s="5" t="n"/>
      <c r="M503" s="5" t="inlineStr">
        <is>
          <t>SOURCE-100</t>
        </is>
      </c>
    </row>
    <row r="504" ht="49" customHeight="1">
      <c r="A504" s="15" t="inlineStr">
        <is>
          <t>CAST-503</t>
        </is>
      </c>
      <c r="B504" s="20" t="inlineStr">
        <is>
          <t>FILM-097</t>
        </is>
      </c>
      <c r="C504" s="5" t="inlineStr">
        <is>
          <t>Dunki</t>
        </is>
      </c>
      <c r="D504" s="17" t="n">
        <v>2023</v>
      </c>
      <c r="E504" s="5" t="inlineStr">
        <is>
          <t>Deven Bhojani</t>
        </is>
      </c>
      <c r="F504" s="5" t="inlineStr">
        <is>
          <t>Advocate Puru Patel</t>
        </is>
      </c>
      <c r="G504" s="5" t="inlineStr">
        <is>
          <t>Supporting</t>
        </is>
      </c>
      <c r="H504" s="5" t="inlineStr">
        <is>
          <t>Minor</t>
        </is>
      </c>
      <c r="I504" s="5" t="inlineStr">
        <is>
          <t>Immigration lawyer whose advice Hardy rejects.</t>
        </is>
      </c>
      <c r="J504" s="5" t="inlineStr">
        <is>
          <t>Advises Manu to enter a sham marriage and later to claim asylum, choices that separate her from Hardy.</t>
        </is>
      </c>
      <c r="K504" s="19" t="inlineStr">
        <is>
          <t>London immigration lawyer who suggests the sham marriage and the false asylum claims. In 2020 he tells Manu her asylum testimony makes returning to India nearly impossible.</t>
        </is>
      </c>
      <c r="L504" s="5" t="n"/>
      <c r="M504" s="5" t="inlineStr">
        <is>
          <t>SOURCE-100</t>
        </is>
      </c>
    </row>
  </sheetData>
  <autoFilter ref="A1:M504"/>
  <dataValidations count="2">
    <dataValidation sqref="G2:G704" showDropDown="0" showInputMessage="0" showErrorMessage="1" allowBlank="1" errorTitle="Cast Function" error="Choose a value from the list." type="list">
      <formula1>"Co-lead,Supporting,Antagonist,Mentor,Family,Friend,Comic support,Romantic rival,Authority figure,Cameo,Self appearance"</formula1>
    </dataValidation>
    <dataValidation sqref="H2:H704" showDropDown="0" showInputMessage="0" showErrorMessage="1" allowBlank="1" errorTitle="Importance Level" error="Choose a value from the list." type="list">
      <formula1>"Major,Medium,Minor"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6" customWidth="1" min="5" max="5"/>
    <col width="30" customWidth="1" min="6" max="6"/>
    <col width="24" customWidth="1" min="7" max="7"/>
    <col width="16" customWidth="1" min="8" max="8"/>
    <col width="14" customWidth="1" min="9" max="9"/>
    <col width="14" customWidth="1" min="10" max="10"/>
    <col width="36" customWidth="1" min="11" max="11"/>
    <col width="22" customWidth="1" min="12" max="12"/>
    <col width="12" customWidth="1" min="13" max="13"/>
  </cols>
  <sheetData>
    <row r="1" ht="36" customHeight="1">
      <c r="A1" s="12" t="inlineStr">
        <is>
          <t>Award ID</t>
        </is>
      </c>
      <c r="B1" s="12" t="inlineStr">
        <is>
          <t>Film ID</t>
        </is>
      </c>
      <c r="C1" s="12" t="inlineStr">
        <is>
          <t>Film</t>
        </is>
      </c>
      <c r="D1" s="12" t="inlineStr">
        <is>
          <t>Ceremony Year</t>
        </is>
      </c>
      <c r="E1" s="12" t="inlineStr">
        <is>
          <t>Award Organization</t>
        </is>
      </c>
      <c r="F1" s="12" t="inlineStr">
        <is>
          <t>Category</t>
        </is>
      </c>
      <c r="G1" s="12" t="inlineStr">
        <is>
          <t>Recipient</t>
        </is>
      </c>
      <c r="H1" s="12" t="inlineStr">
        <is>
          <t>Recipient Type</t>
        </is>
      </c>
      <c r="I1" s="12" t="inlineStr">
        <is>
          <t>Win or Nomination</t>
        </is>
      </c>
      <c r="J1" s="12" t="inlineStr">
        <is>
          <t>Competitive or Honorary</t>
        </is>
      </c>
      <c r="K1" s="12" t="inlineStr">
        <is>
          <t>Notes</t>
        </is>
      </c>
      <c r="L1" s="12" t="inlineStr">
        <is>
          <t>Source IDs</t>
        </is>
      </c>
      <c r="M1" s="12" t="inlineStr">
        <is>
          <t>Confidence Grade</t>
        </is>
      </c>
    </row>
    <row r="2" ht="19" customHeight="1">
      <c r="A2" s="15" t="inlineStr">
        <is>
          <t>AWARD-001</t>
        </is>
      </c>
      <c r="B2" s="20" t="inlineStr">
        <is>
          <t>FILM-001</t>
        </is>
      </c>
      <c r="C2" s="5" t="inlineStr">
        <is>
          <t>Deewana</t>
        </is>
      </c>
      <c r="D2" s="17" t="n">
        <v>1993</v>
      </c>
      <c r="E2" s="5" t="inlineStr">
        <is>
          <t>Filmfare Awards</t>
        </is>
      </c>
      <c r="F2" s="5" t="inlineStr">
        <is>
          <t>Best Male Debut</t>
        </is>
      </c>
      <c r="G2" s="5" t="inlineStr">
        <is>
          <t>Shah Rukh Khan</t>
        </is>
      </c>
      <c r="H2" s="5" t="inlineStr">
        <is>
          <t>Actor</t>
        </is>
      </c>
      <c r="I2" s="5" t="inlineStr">
        <is>
          <t>Win</t>
        </is>
      </c>
      <c r="J2" s="5" t="inlineStr">
        <is>
          <t>Competitive</t>
        </is>
      </c>
      <c r="K2" s="5" t="n"/>
      <c r="L2" s="5" t="inlineStr">
        <is>
          <t>SOURCE-002; SOURCE-004</t>
        </is>
      </c>
      <c r="M2" s="5" t="inlineStr">
        <is>
          <t>Medium</t>
        </is>
      </c>
    </row>
    <row r="3" ht="34" customHeight="1">
      <c r="A3" s="15" t="inlineStr">
        <is>
          <t>AWARD-002</t>
        </is>
      </c>
      <c r="B3" s="20" t="inlineStr">
        <is>
          <t>FILM-001</t>
        </is>
      </c>
      <c r="C3" s="5" t="inlineStr">
        <is>
          <t>Deewana</t>
        </is>
      </c>
      <c r="D3" s="17" t="n">
        <v>1993</v>
      </c>
      <c r="E3" s="5" t="inlineStr">
        <is>
          <t>Filmfare Awards (38th)</t>
        </is>
      </c>
      <c r="F3" s="5" t="inlineStr">
        <is>
          <t>Best Lyricist</t>
        </is>
      </c>
      <c r="G3" s="5" t="inlineStr">
        <is>
          <t>Sameer (for "Teri Umeed Tera Intezaar")</t>
        </is>
      </c>
      <c r="H3" s="5" t="inlineStr">
        <is>
          <t>Music</t>
        </is>
      </c>
      <c r="I3" s="5" t="inlineStr">
        <is>
          <t>Win</t>
        </is>
      </c>
      <c r="J3" s="5" t="inlineStr">
        <is>
          <t>Competitive</t>
        </is>
      </c>
      <c r="K3" s="5" t="n"/>
      <c r="L3" s="5" t="inlineStr">
        <is>
          <t>SOURCE-004</t>
        </is>
      </c>
      <c r="M3" s="5" t="inlineStr">
        <is>
          <t>Medium</t>
        </is>
      </c>
    </row>
    <row r="4" ht="34" customHeight="1">
      <c r="A4" s="15" t="inlineStr">
        <is>
          <t>AWARD-003</t>
        </is>
      </c>
      <c r="B4" s="20" t="inlineStr">
        <is>
          <t>FILM-001</t>
        </is>
      </c>
      <c r="C4" s="5" t="inlineStr">
        <is>
          <t>Deewana</t>
        </is>
      </c>
      <c r="D4" s="17" t="n">
        <v>1993</v>
      </c>
      <c r="E4" s="5" t="inlineStr">
        <is>
          <t>Filmfare Awards (38th)</t>
        </is>
      </c>
      <c r="F4" s="5" t="inlineStr">
        <is>
          <t>Best Male Playback Singer</t>
        </is>
      </c>
      <c r="G4" s="5" t="inlineStr">
        <is>
          <t>Kumar Sanu (for "Sochenge Tumhe Pyar")</t>
        </is>
      </c>
      <c r="H4" s="5" t="inlineStr">
        <is>
          <t>Music</t>
        </is>
      </c>
      <c r="I4" s="5" t="inlineStr">
        <is>
          <t>Win</t>
        </is>
      </c>
      <c r="J4" s="5" t="inlineStr">
        <is>
          <t>Competitive</t>
        </is>
      </c>
      <c r="K4" s="5" t="n"/>
      <c r="L4" s="5" t="inlineStr">
        <is>
          <t>SOURCE-004</t>
        </is>
      </c>
      <c r="M4" s="5" t="inlineStr">
        <is>
          <t>Medium</t>
        </is>
      </c>
    </row>
    <row r="5" ht="19" customHeight="1">
      <c r="A5" s="15" t="inlineStr">
        <is>
          <t>AWARD-004</t>
        </is>
      </c>
      <c r="B5" s="20" t="inlineStr">
        <is>
          <t>FILM-001</t>
        </is>
      </c>
      <c r="C5" s="5" t="inlineStr">
        <is>
          <t>Deewana</t>
        </is>
      </c>
      <c r="D5" s="17" t="n">
        <v>1993</v>
      </c>
      <c r="E5" s="5" t="inlineStr">
        <is>
          <t>Filmfare Awards (38th)</t>
        </is>
      </c>
      <c r="F5" s="5" t="inlineStr">
        <is>
          <t>Best Music Director</t>
        </is>
      </c>
      <c r="G5" s="5" t="inlineStr">
        <is>
          <t>Nadeem-Shravan</t>
        </is>
      </c>
      <c r="H5" s="5" t="inlineStr">
        <is>
          <t>Music</t>
        </is>
      </c>
      <c r="I5" s="5" t="inlineStr">
        <is>
          <t>Win</t>
        </is>
      </c>
      <c r="J5" s="5" t="inlineStr">
        <is>
          <t>Competitive</t>
        </is>
      </c>
      <c r="K5" s="5" t="n"/>
      <c r="L5" s="5" t="inlineStr">
        <is>
          <t>SOURCE-004</t>
        </is>
      </c>
      <c r="M5" s="5" t="inlineStr">
        <is>
          <t>Medium</t>
        </is>
      </c>
    </row>
    <row r="6" ht="19" customHeight="1">
      <c r="A6" s="15" t="inlineStr">
        <is>
          <t>AWARD-005</t>
        </is>
      </c>
      <c r="B6" s="20" t="inlineStr">
        <is>
          <t>FILM-001</t>
        </is>
      </c>
      <c r="C6" s="5" t="inlineStr">
        <is>
          <t>Deewana</t>
        </is>
      </c>
      <c r="D6" s="17" t="n">
        <v>1993</v>
      </c>
      <c r="E6" s="5" t="inlineStr">
        <is>
          <t>Filmfare Awards (38th)</t>
        </is>
      </c>
      <c r="F6" s="5" t="inlineStr">
        <is>
          <t>Face of the Year</t>
        </is>
      </c>
      <c r="G6" s="5" t="inlineStr">
        <is>
          <t>Divya Bharti</t>
        </is>
      </c>
      <c r="H6" s="5" t="inlineStr">
        <is>
          <t>Performer</t>
        </is>
      </c>
      <c r="I6" s="5" t="inlineStr">
        <is>
          <t>Win</t>
        </is>
      </c>
      <c r="J6" s="5" t="inlineStr">
        <is>
          <t>Competitive</t>
        </is>
      </c>
      <c r="K6" s="5" t="n"/>
      <c r="L6" s="5" t="inlineStr">
        <is>
          <t>SOURCE-004</t>
        </is>
      </c>
      <c r="M6" s="5" t="inlineStr">
        <is>
          <t>Medium</t>
        </is>
      </c>
    </row>
    <row r="7" ht="19" customHeight="1">
      <c r="A7" s="15" t="inlineStr">
        <is>
          <t>AWARD-006</t>
        </is>
      </c>
      <c r="B7" s="20" t="inlineStr">
        <is>
          <t>FILM-003</t>
        </is>
      </c>
      <c r="C7" s="5" t="inlineStr">
        <is>
          <t>Raju Ban Gaya Gentleman</t>
        </is>
      </c>
      <c r="D7" s="17" t="n">
        <v>1993</v>
      </c>
      <c r="E7" s="5" t="inlineStr">
        <is>
          <t>Filmfare Awards (38th)</t>
        </is>
      </c>
      <c r="F7" s="5" t="inlineStr">
        <is>
          <t>Best Screenplay</t>
        </is>
      </c>
      <c r="G7" s="5" t="inlineStr">
        <is>
          <t>Aziz Mirza; Manoj Lalwani</t>
        </is>
      </c>
      <c r="H7" s="5" t="inlineStr">
        <is>
          <t>Writer</t>
        </is>
      </c>
      <c r="I7" s="5" t="inlineStr">
        <is>
          <t>Win</t>
        </is>
      </c>
      <c r="J7" s="5" t="inlineStr">
        <is>
          <t>Competitive</t>
        </is>
      </c>
      <c r="K7" s="5" t="n"/>
      <c r="L7" s="5" t="inlineStr">
        <is>
          <t>SOURCE-006</t>
        </is>
      </c>
      <c r="M7" s="5" t="inlineStr">
        <is>
          <t>Medium</t>
        </is>
      </c>
    </row>
    <row r="8" ht="79" customHeight="1">
      <c r="A8" s="15" t="inlineStr">
        <is>
          <t>AWARD-288</t>
        </is>
      </c>
      <c r="B8" s="20" t="inlineStr">
        <is>
          <t>FILM-006</t>
        </is>
      </c>
      <c r="C8" s="5" t="inlineStr">
        <is>
          <t>Maya Memsaab</t>
        </is>
      </c>
      <c r="D8" s="17" t="n">
        <v>1993</v>
      </c>
      <c r="E8" s="5" t="inlineStr">
        <is>
          <t>National Film Awards</t>
        </is>
      </c>
      <c r="F8" s="5" t="inlineStr">
        <is>
          <t>Special Jury Award (Feature Film)</t>
        </is>
      </c>
      <c r="G8" s="5" t="inlineStr">
        <is>
          <t>Ketan Mehta</t>
        </is>
      </c>
      <c r="H8" s="5" t="inlineStr">
        <is>
          <t>Director</t>
        </is>
      </c>
      <c r="I8" s="5" t="inlineStr">
        <is>
          <t>Win</t>
        </is>
      </c>
      <c r="J8" s="5" t="inlineStr">
        <is>
          <t>Competitive</t>
        </is>
      </c>
      <c r="K8" s="5" t="inlineStr">
        <is>
          <t>The ceremony article lists the 40th National Film Awards (presented 4 May 1993) Special Jury Award to Ketan Mehta for Maya Memsaab; the film article's 'Special Mention' wording and its 1993 date refer to this award.</t>
        </is>
      </c>
      <c r="L8" s="5" t="inlineStr">
        <is>
          <t>SOURCE-009; SOURCE-343</t>
        </is>
      </c>
      <c r="M8" s="5" t="inlineStr">
        <is>
          <t>High</t>
        </is>
      </c>
    </row>
    <row r="9" ht="19" customHeight="1">
      <c r="A9" s="15" t="inlineStr">
        <is>
          <t>AWARD-007</t>
        </is>
      </c>
      <c r="B9" s="20" t="inlineStr">
        <is>
          <t>FILM-008</t>
        </is>
      </c>
      <c r="C9" s="5" t="inlineStr">
        <is>
          <t>Baazigar</t>
        </is>
      </c>
      <c r="D9" s="17" t="n">
        <v>1994</v>
      </c>
      <c r="E9" s="5" t="inlineStr">
        <is>
          <t>Filmfare Awards</t>
        </is>
      </c>
      <c r="F9" s="5" t="inlineStr">
        <is>
          <t>Best Actor</t>
        </is>
      </c>
      <c r="G9" s="5" t="inlineStr">
        <is>
          <t>Shah Rukh Khan</t>
        </is>
      </c>
      <c r="H9" s="5" t="inlineStr">
        <is>
          <t>Actor</t>
        </is>
      </c>
      <c r="I9" s="5" t="inlineStr">
        <is>
          <t>Win</t>
        </is>
      </c>
      <c r="J9" s="5" t="inlineStr">
        <is>
          <t>Competitive</t>
        </is>
      </c>
      <c r="K9" s="5" t="n"/>
      <c r="L9" s="5" t="inlineStr">
        <is>
          <t>SOURCE-002; SOURCE-011</t>
        </is>
      </c>
      <c r="M9" s="5" t="inlineStr">
        <is>
          <t>Medium</t>
        </is>
      </c>
    </row>
    <row r="10" ht="34" customHeight="1">
      <c r="A10" s="15" t="inlineStr">
        <is>
          <t>AWARD-008</t>
        </is>
      </c>
      <c r="B10" s="20" t="inlineStr">
        <is>
          <t>FILM-008</t>
        </is>
      </c>
      <c r="C10" s="5" t="inlineStr">
        <is>
          <t>Baazigar</t>
        </is>
      </c>
      <c r="D10" s="17" t="n">
        <v>1994</v>
      </c>
      <c r="E10" s="5" t="inlineStr">
        <is>
          <t>Filmfare Awards (39th)</t>
        </is>
      </c>
      <c r="F10" s="5" t="inlineStr">
        <is>
          <t>Best Male Playback Singer</t>
        </is>
      </c>
      <c r="G10" s="5" t="inlineStr">
        <is>
          <t>Kumar Sanu for "Yeh Kaali Kaali Aankhein"</t>
        </is>
      </c>
      <c r="H10" s="5" t="inlineStr">
        <is>
          <t>Music</t>
        </is>
      </c>
      <c r="I10" s="5" t="inlineStr">
        <is>
          <t>Win</t>
        </is>
      </c>
      <c r="J10" s="5" t="inlineStr">
        <is>
          <t>Competitive</t>
        </is>
      </c>
      <c r="K10" s="5" t="n"/>
      <c r="L10" s="5" t="inlineStr">
        <is>
          <t>SOURCE-011</t>
        </is>
      </c>
      <c r="M10" s="5" t="inlineStr">
        <is>
          <t>Medium</t>
        </is>
      </c>
    </row>
    <row r="11" ht="19" customHeight="1">
      <c r="A11" s="15" t="inlineStr">
        <is>
          <t>AWARD-009</t>
        </is>
      </c>
      <c r="B11" s="20" t="inlineStr">
        <is>
          <t>FILM-008</t>
        </is>
      </c>
      <c r="C11" s="5" t="inlineStr">
        <is>
          <t>Baazigar</t>
        </is>
      </c>
      <c r="D11" s="17" t="n">
        <v>1994</v>
      </c>
      <c r="E11" s="5" t="inlineStr">
        <is>
          <t>Filmfare Awards (39th)</t>
        </is>
      </c>
      <c r="F11" s="5" t="inlineStr">
        <is>
          <t>Best Music Director</t>
        </is>
      </c>
      <c r="G11" s="5" t="inlineStr">
        <is>
          <t>Anu Malik</t>
        </is>
      </c>
      <c r="H11" s="5" t="inlineStr">
        <is>
          <t>Music</t>
        </is>
      </c>
      <c r="I11" s="5" t="inlineStr">
        <is>
          <t>Win</t>
        </is>
      </c>
      <c r="J11" s="5" t="inlineStr">
        <is>
          <t>Competitive</t>
        </is>
      </c>
      <c r="K11" s="5" t="n"/>
      <c r="L11" s="5" t="inlineStr">
        <is>
          <t>SOURCE-011</t>
        </is>
      </c>
      <c r="M11" s="5" t="inlineStr">
        <is>
          <t>Medium</t>
        </is>
      </c>
    </row>
    <row r="12" ht="34" customHeight="1">
      <c r="A12" s="15" t="inlineStr">
        <is>
          <t>AWARD-010</t>
        </is>
      </c>
      <c r="B12" s="20" t="inlineStr">
        <is>
          <t>FILM-008</t>
        </is>
      </c>
      <c r="C12" s="5" t="inlineStr">
        <is>
          <t>Baazigar</t>
        </is>
      </c>
      <c r="D12" s="17" t="n">
        <v>1994</v>
      </c>
      <c r="E12" s="5" t="inlineStr">
        <is>
          <t>Filmfare Awards (39th)</t>
        </is>
      </c>
      <c r="F12" s="5" t="inlineStr">
        <is>
          <t>Best Screenplay</t>
        </is>
      </c>
      <c r="G12" s="5" t="inlineStr">
        <is>
          <t>Robin Bhatt, Javed Siddiqui, Akash Khurana</t>
        </is>
      </c>
      <c r="H12" s="5" t="inlineStr">
        <is>
          <t>Writer</t>
        </is>
      </c>
      <c r="I12" s="5" t="inlineStr">
        <is>
          <t>Win</t>
        </is>
      </c>
      <c r="J12" s="5" t="inlineStr">
        <is>
          <t>Competitive</t>
        </is>
      </c>
      <c r="K12" s="5" t="n"/>
      <c r="L12" s="5" t="inlineStr">
        <is>
          <t>SOURCE-011</t>
        </is>
      </c>
      <c r="M12" s="5" t="inlineStr">
        <is>
          <t>Medium</t>
        </is>
      </c>
    </row>
    <row r="13" ht="19" customHeight="1">
      <c r="A13" s="15" t="inlineStr">
        <is>
          <t>AWARD-011</t>
        </is>
      </c>
      <c r="B13" s="20" t="inlineStr">
        <is>
          <t>FILM-009</t>
        </is>
      </c>
      <c r="C13" s="5" t="inlineStr">
        <is>
          <t>Darr</t>
        </is>
      </c>
      <c r="D13" s="17" t="n">
        <v>1994</v>
      </c>
      <c r="E13" s="5" t="inlineStr">
        <is>
          <t>Filmfare Awards</t>
        </is>
      </c>
      <c r="F13" s="5" t="inlineStr">
        <is>
          <t>Best Performance in a Negative Role</t>
        </is>
      </c>
      <c r="G13" s="5" t="inlineStr">
        <is>
          <t>Shah Rukh Khan</t>
        </is>
      </c>
      <c r="H13" s="5" t="inlineStr">
        <is>
          <t>Actor</t>
        </is>
      </c>
      <c r="I13" s="5" t="inlineStr">
        <is>
          <t>Nomination</t>
        </is>
      </c>
      <c r="J13" s="5" t="inlineStr">
        <is>
          <t>Competitive</t>
        </is>
      </c>
      <c r="K13" s="5" t="n"/>
      <c r="L13" s="5" t="inlineStr">
        <is>
          <t>SOURCE-002; SOURCE-012</t>
        </is>
      </c>
      <c r="M13" s="5" t="inlineStr">
        <is>
          <t>Medium</t>
        </is>
      </c>
    </row>
    <row r="14" ht="19" customHeight="1">
      <c r="A14" s="15" t="inlineStr">
        <is>
          <t>AWARD-012</t>
        </is>
      </c>
      <c r="B14" s="20" t="inlineStr">
        <is>
          <t>FILM-009</t>
        </is>
      </c>
      <c r="C14" s="5" t="inlineStr">
        <is>
          <t>Darr</t>
        </is>
      </c>
      <c r="D14" s="17" t="n">
        <v>1994</v>
      </c>
      <c r="E14" s="5" t="inlineStr">
        <is>
          <t>Filmfare Awards (39th)</t>
        </is>
      </c>
      <c r="F14" s="5" t="inlineStr">
        <is>
          <t>Best Cinematography</t>
        </is>
      </c>
      <c r="G14" s="5" t="inlineStr">
        <is>
          <t>Manmohan Singh</t>
        </is>
      </c>
      <c r="H14" s="5" t="inlineStr">
        <is>
          <t>Technician</t>
        </is>
      </c>
      <c r="I14" s="5" t="inlineStr">
        <is>
          <t>Win</t>
        </is>
      </c>
      <c r="J14" s="5" t="inlineStr">
        <is>
          <t>Competitive</t>
        </is>
      </c>
      <c r="K14" s="5" t="n"/>
      <c r="L14" s="5" t="inlineStr">
        <is>
          <t>SOURCE-012</t>
        </is>
      </c>
      <c r="M14" s="5" t="inlineStr">
        <is>
          <t>Medium</t>
        </is>
      </c>
    </row>
    <row r="15" ht="19" customHeight="1">
      <c r="A15" s="15" t="inlineStr">
        <is>
          <t>AWARD-013</t>
        </is>
      </c>
      <c r="B15" s="20" t="inlineStr">
        <is>
          <t>FILM-009</t>
        </is>
      </c>
      <c r="C15" s="5" t="inlineStr">
        <is>
          <t>Darr</t>
        </is>
      </c>
      <c r="D15" s="17" t="n">
        <v>1994</v>
      </c>
      <c r="E15" s="5" t="inlineStr">
        <is>
          <t>Filmfare Awards (39th)</t>
        </is>
      </c>
      <c r="F15" s="5" t="inlineStr">
        <is>
          <t>Best Comedian</t>
        </is>
      </c>
      <c r="G15" s="5" t="inlineStr">
        <is>
          <t>Anupam Kher</t>
        </is>
      </c>
      <c r="H15" s="5" t="inlineStr">
        <is>
          <t>Performer</t>
        </is>
      </c>
      <c r="I15" s="5" t="inlineStr">
        <is>
          <t>Win</t>
        </is>
      </c>
      <c r="J15" s="5" t="inlineStr">
        <is>
          <t>Competitive</t>
        </is>
      </c>
      <c r="K15" s="5" t="n"/>
      <c r="L15" s="5" t="inlineStr">
        <is>
          <t>SOURCE-012</t>
        </is>
      </c>
      <c r="M15" s="5" t="inlineStr">
        <is>
          <t>Medium</t>
        </is>
      </c>
    </row>
    <row r="16" ht="34" customHeight="1">
      <c r="A16" s="15" t="inlineStr">
        <is>
          <t>AWARD-014</t>
        </is>
      </c>
      <c r="B16" s="20" t="inlineStr">
        <is>
          <t>FILM-009</t>
        </is>
      </c>
      <c r="C16" s="5" t="inlineStr">
        <is>
          <t>Darr</t>
        </is>
      </c>
      <c r="D16" s="17" t="n">
        <v>1994</v>
      </c>
      <c r="E16" s="5" t="inlineStr">
        <is>
          <t>National Film Awards (41st)</t>
        </is>
      </c>
      <c r="F16" s="5" t="inlineStr">
        <is>
          <t>Best Popular Film Providing Wholesome Entertainment</t>
        </is>
      </c>
      <c r="G16" s="5" t="inlineStr">
        <is>
          <t>Yash Chopra</t>
        </is>
      </c>
      <c r="H16" s="5" t="inlineStr">
        <is>
          <t>Film</t>
        </is>
      </c>
      <c r="I16" s="5" t="inlineStr">
        <is>
          <t>Win</t>
        </is>
      </c>
      <c r="J16" s="5" t="inlineStr">
        <is>
          <t>Competitive</t>
        </is>
      </c>
      <c r="K16" s="5" t="n"/>
      <c r="L16" s="5" t="inlineStr">
        <is>
          <t>SOURCE-012</t>
        </is>
      </c>
      <c r="M16" s="5" t="inlineStr">
        <is>
          <t>Medium</t>
        </is>
      </c>
    </row>
    <row r="17" ht="19" customHeight="1">
      <c r="A17" s="15" t="inlineStr">
        <is>
          <t>AWARD-015</t>
        </is>
      </c>
      <c r="B17" s="20" t="inlineStr">
        <is>
          <t>FILM-010</t>
        </is>
      </c>
      <c r="C17" s="5" t="inlineStr">
        <is>
          <t>Kabhi Haan Kabhi Naa</t>
        </is>
      </c>
      <c r="D17" s="17" t="n">
        <v>1994</v>
      </c>
      <c r="E17" s="5" t="inlineStr">
        <is>
          <t>Filmfare Awards</t>
        </is>
      </c>
      <c r="F17" s="5" t="inlineStr">
        <is>
          <t>Best Actor (Critics)</t>
        </is>
      </c>
      <c r="G17" s="5" t="inlineStr">
        <is>
          <t>Shah Rukh Khan</t>
        </is>
      </c>
      <c r="H17" s="5" t="inlineStr">
        <is>
          <t>Actor</t>
        </is>
      </c>
      <c r="I17" s="5" t="inlineStr">
        <is>
          <t>Win</t>
        </is>
      </c>
      <c r="J17" s="5" t="inlineStr">
        <is>
          <t>Competitive</t>
        </is>
      </c>
      <c r="K17" s="5" t="n"/>
      <c r="L17" s="5" t="inlineStr">
        <is>
          <t>SOURCE-002; SOURCE-013</t>
        </is>
      </c>
      <c r="M17" s="5" t="inlineStr">
        <is>
          <t>Medium</t>
        </is>
      </c>
    </row>
    <row r="18" ht="19" customHeight="1">
      <c r="A18" s="15" t="inlineStr">
        <is>
          <t>AWARD-016</t>
        </is>
      </c>
      <c r="B18" s="20" t="inlineStr">
        <is>
          <t>FILM-010</t>
        </is>
      </c>
      <c r="C18" s="5" t="inlineStr">
        <is>
          <t>Kabhi Haan Kabhi Naa</t>
        </is>
      </c>
      <c r="D18" s="17" t="n">
        <v>1994</v>
      </c>
      <c r="E18" s="5" t="inlineStr">
        <is>
          <t>Filmfare Awards (39th)</t>
        </is>
      </c>
      <c r="F18" s="5" t="inlineStr">
        <is>
          <t>Best Film (Critics)</t>
        </is>
      </c>
      <c r="G18" s="5" t="inlineStr">
        <is>
          <t>Kabhi Haan Kabhi Naa</t>
        </is>
      </c>
      <c r="H18" s="5" t="inlineStr">
        <is>
          <t>Film</t>
        </is>
      </c>
      <c r="I18" s="5" t="inlineStr">
        <is>
          <t>Win</t>
        </is>
      </c>
      <c r="J18" s="5" t="inlineStr">
        <is>
          <t>Competitive</t>
        </is>
      </c>
      <c r="K18" s="5" t="inlineStr">
        <is>
          <t>Recipient not named in the fetched source.</t>
        </is>
      </c>
      <c r="L18" s="5" t="inlineStr">
        <is>
          <t>SOURCE-013</t>
        </is>
      </c>
      <c r="M18" s="5" t="inlineStr">
        <is>
          <t>Medium</t>
        </is>
      </c>
    </row>
    <row r="19" ht="19" customHeight="1">
      <c r="A19" s="15" t="inlineStr">
        <is>
          <t>AWARD-017</t>
        </is>
      </c>
      <c r="B19" s="20" t="inlineStr">
        <is>
          <t>FILM-011</t>
        </is>
      </c>
      <c r="C19" s="5" t="inlineStr">
        <is>
          <t>Anjaam</t>
        </is>
      </c>
      <c r="D19" s="17" t="n">
        <v>1995</v>
      </c>
      <c r="E19" s="5" t="inlineStr">
        <is>
          <t>Filmfare Awards</t>
        </is>
      </c>
      <c r="F19" s="5" t="inlineStr">
        <is>
          <t>Best Performance in a Negative Role</t>
        </is>
      </c>
      <c r="G19" s="5" t="inlineStr">
        <is>
          <t>Shah Rukh Khan</t>
        </is>
      </c>
      <c r="H19" s="5" t="inlineStr">
        <is>
          <t>Actor</t>
        </is>
      </c>
      <c r="I19" s="5" t="inlineStr">
        <is>
          <t>Win</t>
        </is>
      </c>
      <c r="J19" s="5" t="inlineStr">
        <is>
          <t>Competitive</t>
        </is>
      </c>
      <c r="K19" s="5" t="n"/>
      <c r="L19" s="5" t="inlineStr">
        <is>
          <t>SOURCE-002; SOURCE-014</t>
        </is>
      </c>
      <c r="M19" s="5" t="inlineStr">
        <is>
          <t>Medium</t>
        </is>
      </c>
    </row>
    <row r="20" ht="19" customHeight="1">
      <c r="A20" s="15" t="inlineStr">
        <is>
          <t>AWARD-018</t>
        </is>
      </c>
      <c r="B20" s="20" t="inlineStr">
        <is>
          <t>FILM-012</t>
        </is>
      </c>
      <c r="C20" s="5" t="inlineStr">
        <is>
          <t>Karan Arjun</t>
        </is>
      </c>
      <c r="D20" s="17" t="n">
        <v>1996</v>
      </c>
      <c r="E20" s="5" t="inlineStr">
        <is>
          <t>Filmfare Awards (41st)</t>
        </is>
      </c>
      <c r="F20" s="5" t="inlineStr">
        <is>
          <t>Best Action</t>
        </is>
      </c>
      <c r="G20" s="5" t="inlineStr">
        <is>
          <t>Bhiku Varma</t>
        </is>
      </c>
      <c r="H20" s="5" t="inlineStr">
        <is>
          <t>Technician</t>
        </is>
      </c>
      <c r="I20" s="5" t="inlineStr">
        <is>
          <t>Win</t>
        </is>
      </c>
      <c r="J20" s="5" t="inlineStr">
        <is>
          <t>Competitive</t>
        </is>
      </c>
      <c r="K20" s="5" t="n"/>
      <c r="L20" s="5" t="inlineStr">
        <is>
          <t>SOURCE-015</t>
        </is>
      </c>
      <c r="M20" s="5" t="inlineStr">
        <is>
          <t>Medium</t>
        </is>
      </c>
    </row>
    <row r="21" ht="19" customHeight="1">
      <c r="A21" s="15" t="inlineStr">
        <is>
          <t>AWARD-019</t>
        </is>
      </c>
      <c r="B21" s="20" t="inlineStr">
        <is>
          <t>FILM-012</t>
        </is>
      </c>
      <c r="C21" s="5" t="inlineStr">
        <is>
          <t>Karan Arjun</t>
        </is>
      </c>
      <c r="D21" s="17" t="n">
        <v>1996</v>
      </c>
      <c r="E21" s="5" t="inlineStr">
        <is>
          <t>Filmfare Awards (41st)</t>
        </is>
      </c>
      <c r="F21" s="5" t="inlineStr">
        <is>
          <t>Best Editing</t>
        </is>
      </c>
      <c r="G21" s="5" t="inlineStr">
        <is>
          <t>Sanjay Varma</t>
        </is>
      </c>
      <c r="H21" s="5" t="inlineStr">
        <is>
          <t>Technician</t>
        </is>
      </c>
      <c r="I21" s="5" t="inlineStr">
        <is>
          <t>Win</t>
        </is>
      </c>
      <c r="J21" s="5" t="inlineStr">
        <is>
          <t>Competitive</t>
        </is>
      </c>
      <c r="K21" s="5" t="n"/>
      <c r="L21" s="5" t="inlineStr">
        <is>
          <t>SOURCE-015</t>
        </is>
      </c>
      <c r="M21" s="5" t="inlineStr">
        <is>
          <t>Medium</t>
        </is>
      </c>
    </row>
    <row r="22" ht="19" customHeight="1">
      <c r="A22" s="15" t="inlineStr">
        <is>
          <t>AWARD-020</t>
        </is>
      </c>
      <c r="B22" s="20" t="inlineStr">
        <is>
          <t>FILM-016</t>
        </is>
      </c>
      <c r="C22" s="5" t="inlineStr">
        <is>
          <t>Dilwale Dulhania Le Jayenge</t>
        </is>
      </c>
      <c r="D22" s="17" t="n">
        <v>1996</v>
      </c>
      <c r="E22" s="5" t="inlineStr">
        <is>
          <t>Filmfare Awards</t>
        </is>
      </c>
      <c r="F22" s="5" t="inlineStr">
        <is>
          <t>Best Actor</t>
        </is>
      </c>
      <c r="G22" s="5" t="inlineStr">
        <is>
          <t>Shah Rukh Khan</t>
        </is>
      </c>
      <c r="H22" s="5" t="inlineStr">
        <is>
          <t>Actor</t>
        </is>
      </c>
      <c r="I22" s="5" t="inlineStr">
        <is>
          <t>Win</t>
        </is>
      </c>
      <c r="J22" s="5" t="inlineStr">
        <is>
          <t>Competitive</t>
        </is>
      </c>
      <c r="K22" s="5" t="n"/>
      <c r="L22" s="5" t="inlineStr">
        <is>
          <t>SOURCE-002; SOURCE-019</t>
        </is>
      </c>
      <c r="M22" s="5" t="inlineStr">
        <is>
          <t>Medium</t>
        </is>
      </c>
    </row>
    <row r="23" ht="19" customHeight="1">
      <c r="A23" s="15" t="inlineStr">
        <is>
          <t>AWARD-021</t>
        </is>
      </c>
      <c r="B23" s="20" t="inlineStr">
        <is>
          <t>FILM-016</t>
        </is>
      </c>
      <c r="C23" s="5" t="inlineStr">
        <is>
          <t>Dilwale Dulhania Le Jayenge</t>
        </is>
      </c>
      <c r="D23" s="17" t="n">
        <v>1996</v>
      </c>
      <c r="E23" s="5" t="inlineStr">
        <is>
          <t>Filmfare Awards (41st)</t>
        </is>
      </c>
      <c r="F23" s="5" t="inlineStr">
        <is>
          <t>Best Actress</t>
        </is>
      </c>
      <c r="G23" s="5" t="inlineStr">
        <is>
          <t>Kajol</t>
        </is>
      </c>
      <c r="H23" s="5" t="inlineStr">
        <is>
          <t>Performer</t>
        </is>
      </c>
      <c r="I23" s="5" t="inlineStr">
        <is>
          <t>Win</t>
        </is>
      </c>
      <c r="J23" s="5" t="inlineStr">
        <is>
          <t>Competitive</t>
        </is>
      </c>
      <c r="K23" s="5" t="n"/>
      <c r="L23" s="5" t="inlineStr">
        <is>
          <t>SOURCE-019</t>
        </is>
      </c>
      <c r="M23" s="5" t="inlineStr">
        <is>
          <t>Medium</t>
        </is>
      </c>
    </row>
    <row r="24" ht="19" customHeight="1">
      <c r="A24" s="15" t="inlineStr">
        <is>
          <t>AWARD-022</t>
        </is>
      </c>
      <c r="B24" s="20" t="inlineStr">
        <is>
          <t>FILM-016</t>
        </is>
      </c>
      <c r="C24" s="5" t="inlineStr">
        <is>
          <t>Dilwale Dulhania Le Jayenge</t>
        </is>
      </c>
      <c r="D24" s="17" t="n">
        <v>1996</v>
      </c>
      <c r="E24" s="5" t="inlineStr">
        <is>
          <t>Filmfare Awards (41st)</t>
        </is>
      </c>
      <c r="F24" s="5" t="inlineStr">
        <is>
          <t>Best Comedian</t>
        </is>
      </c>
      <c r="G24" s="5" t="inlineStr">
        <is>
          <t>Anupam Kher</t>
        </is>
      </c>
      <c r="H24" s="5" t="inlineStr">
        <is>
          <t>Performer</t>
        </is>
      </c>
      <c r="I24" s="5" t="inlineStr">
        <is>
          <t>Win</t>
        </is>
      </c>
      <c r="J24" s="5" t="inlineStr">
        <is>
          <t>Competitive</t>
        </is>
      </c>
      <c r="K24" s="5" t="n"/>
      <c r="L24" s="5" t="inlineStr">
        <is>
          <t>SOURCE-019</t>
        </is>
      </c>
      <c r="M24" s="5" t="inlineStr">
        <is>
          <t>Medium</t>
        </is>
      </c>
    </row>
    <row r="25" ht="34" customHeight="1">
      <c r="A25" s="15" t="inlineStr">
        <is>
          <t>AWARD-023</t>
        </is>
      </c>
      <c r="B25" s="20" t="inlineStr">
        <is>
          <t>FILM-016</t>
        </is>
      </c>
      <c r="C25" s="5" t="inlineStr">
        <is>
          <t>Dilwale Dulhania Le Jayenge</t>
        </is>
      </c>
      <c r="D25" s="17" t="n">
        <v>1996</v>
      </c>
      <c r="E25" s="5" t="inlineStr">
        <is>
          <t>Filmfare Awards (41st)</t>
        </is>
      </c>
      <c r="F25" s="5" t="inlineStr">
        <is>
          <t>Best Dialogue</t>
        </is>
      </c>
      <c r="G25" s="5" t="inlineStr">
        <is>
          <t>Aditya Chopra, Javed Siddiqui</t>
        </is>
      </c>
      <c r="H25" s="5" t="inlineStr">
        <is>
          <t>Writer</t>
        </is>
      </c>
      <c r="I25" s="5" t="inlineStr">
        <is>
          <t>Win</t>
        </is>
      </c>
      <c r="J25" s="5" t="inlineStr">
        <is>
          <t>Competitive</t>
        </is>
      </c>
      <c r="K25" s="5" t="n"/>
      <c r="L25" s="5" t="inlineStr">
        <is>
          <t>SOURCE-019</t>
        </is>
      </c>
      <c r="M25" s="5" t="inlineStr">
        <is>
          <t>Medium</t>
        </is>
      </c>
    </row>
    <row r="26" ht="19" customHeight="1">
      <c r="A26" s="15" t="inlineStr">
        <is>
          <t>AWARD-024</t>
        </is>
      </c>
      <c r="B26" s="20" t="inlineStr">
        <is>
          <t>FILM-016</t>
        </is>
      </c>
      <c r="C26" s="5" t="inlineStr">
        <is>
          <t>Dilwale Dulhania Le Jayenge</t>
        </is>
      </c>
      <c r="D26" s="17" t="n">
        <v>1996</v>
      </c>
      <c r="E26" s="5" t="inlineStr">
        <is>
          <t>Filmfare Awards (41st)</t>
        </is>
      </c>
      <c r="F26" s="5" t="inlineStr">
        <is>
          <t>Best Director</t>
        </is>
      </c>
      <c r="G26" s="5" t="inlineStr">
        <is>
          <t>Aditya Chopra</t>
        </is>
      </c>
      <c r="H26" s="5" t="inlineStr">
        <is>
          <t>Director</t>
        </is>
      </c>
      <c r="I26" s="5" t="inlineStr">
        <is>
          <t>Win</t>
        </is>
      </c>
      <c r="J26" s="5" t="inlineStr">
        <is>
          <t>Competitive</t>
        </is>
      </c>
      <c r="K26" s="5" t="n"/>
      <c r="L26" s="5" t="inlineStr">
        <is>
          <t>SOURCE-019</t>
        </is>
      </c>
      <c r="M26" s="5" t="inlineStr">
        <is>
          <t>Medium</t>
        </is>
      </c>
    </row>
    <row r="27" ht="19" customHeight="1">
      <c r="A27" s="15" t="inlineStr">
        <is>
          <t>AWARD-025</t>
        </is>
      </c>
      <c r="B27" s="20" t="inlineStr">
        <is>
          <t>FILM-016</t>
        </is>
      </c>
      <c r="C27" s="5" t="inlineStr">
        <is>
          <t>Dilwale Dulhania Le Jayenge</t>
        </is>
      </c>
      <c r="D27" s="17" t="n">
        <v>1996</v>
      </c>
      <c r="E27" s="5" t="inlineStr">
        <is>
          <t>Filmfare Awards (41st)</t>
        </is>
      </c>
      <c r="F27" s="5" t="inlineStr">
        <is>
          <t>Best Film</t>
        </is>
      </c>
      <c r="G27" s="5" t="inlineStr">
        <is>
          <t>Yash Chopra</t>
        </is>
      </c>
      <c r="H27" s="5" t="inlineStr">
        <is>
          <t>Film</t>
        </is>
      </c>
      <c r="I27" s="5" t="inlineStr">
        <is>
          <t>Win</t>
        </is>
      </c>
      <c r="J27" s="5" t="inlineStr">
        <is>
          <t>Competitive</t>
        </is>
      </c>
      <c r="K27" s="5" t="n"/>
      <c r="L27" s="5" t="inlineStr">
        <is>
          <t>SOURCE-019</t>
        </is>
      </c>
      <c r="M27" s="5" t="inlineStr">
        <is>
          <t>Medium</t>
        </is>
      </c>
    </row>
    <row r="28" ht="34" customHeight="1">
      <c r="A28" s="15" t="inlineStr">
        <is>
          <t>AWARD-026</t>
        </is>
      </c>
      <c r="B28" s="20" t="inlineStr">
        <is>
          <t>FILM-016</t>
        </is>
      </c>
      <c r="C28" s="5" t="inlineStr">
        <is>
          <t>Dilwale Dulhania Le Jayenge</t>
        </is>
      </c>
      <c r="D28" s="17" t="n">
        <v>1996</v>
      </c>
      <c r="E28" s="5" t="inlineStr">
        <is>
          <t>Filmfare Awards (41st)</t>
        </is>
      </c>
      <c r="F28" s="5" t="inlineStr">
        <is>
          <t>Best Lyricist</t>
        </is>
      </c>
      <c r="G28" s="5" t="inlineStr">
        <is>
          <t>Anand Bakshi for "Tujhe Dekha To"</t>
        </is>
      </c>
      <c r="H28" s="5" t="inlineStr">
        <is>
          <t>Music</t>
        </is>
      </c>
      <c r="I28" s="5" t="inlineStr">
        <is>
          <t>Win</t>
        </is>
      </c>
      <c r="J28" s="5" t="inlineStr">
        <is>
          <t>Competitive</t>
        </is>
      </c>
      <c r="K28" s="5" t="n"/>
      <c r="L28" s="5" t="inlineStr">
        <is>
          <t>SOURCE-019</t>
        </is>
      </c>
      <c r="M28" s="5" t="inlineStr">
        <is>
          <t>Medium</t>
        </is>
      </c>
    </row>
    <row r="29" ht="34" customHeight="1">
      <c r="A29" s="15" t="inlineStr">
        <is>
          <t>AWARD-027</t>
        </is>
      </c>
      <c r="B29" s="20" t="inlineStr">
        <is>
          <t>FILM-016</t>
        </is>
      </c>
      <c r="C29" s="5" t="inlineStr">
        <is>
          <t>Dilwale Dulhania Le Jayenge</t>
        </is>
      </c>
      <c r="D29" s="17" t="n">
        <v>1996</v>
      </c>
      <c r="E29" s="5" t="inlineStr">
        <is>
          <t>Filmfare Awards (41st)</t>
        </is>
      </c>
      <c r="F29" s="5" t="inlineStr">
        <is>
          <t>Best Male Playback Singer</t>
        </is>
      </c>
      <c r="G29" s="5" t="inlineStr">
        <is>
          <t>Udit Narayan for "Mehndi Laga Ke Rakhna"</t>
        </is>
      </c>
      <c r="H29" s="5" t="inlineStr">
        <is>
          <t>Music</t>
        </is>
      </c>
      <c r="I29" s="5" t="inlineStr">
        <is>
          <t>Win</t>
        </is>
      </c>
      <c r="J29" s="5" t="inlineStr">
        <is>
          <t>Competitive</t>
        </is>
      </c>
      <c r="K29" s="5" t="n"/>
      <c r="L29" s="5" t="inlineStr">
        <is>
          <t>SOURCE-019</t>
        </is>
      </c>
      <c r="M29" s="5" t="inlineStr">
        <is>
          <t>Medium</t>
        </is>
      </c>
    </row>
    <row r="30" ht="19" customHeight="1">
      <c r="A30" s="15" t="inlineStr">
        <is>
          <t>AWARD-028</t>
        </is>
      </c>
      <c r="B30" s="20" t="inlineStr">
        <is>
          <t>FILM-016</t>
        </is>
      </c>
      <c r="C30" s="5" t="inlineStr">
        <is>
          <t>Dilwale Dulhania Le Jayenge</t>
        </is>
      </c>
      <c r="D30" s="17" t="n">
        <v>1996</v>
      </c>
      <c r="E30" s="5" t="inlineStr">
        <is>
          <t>Filmfare Awards (41st)</t>
        </is>
      </c>
      <c r="F30" s="5" t="inlineStr">
        <is>
          <t>Best Screenplay</t>
        </is>
      </c>
      <c r="G30" s="5" t="inlineStr">
        <is>
          <t>Aditya Chopra</t>
        </is>
      </c>
      <c r="H30" s="5" t="inlineStr">
        <is>
          <t>Writer</t>
        </is>
      </c>
      <c r="I30" s="5" t="inlineStr">
        <is>
          <t>Win</t>
        </is>
      </c>
      <c r="J30" s="5" t="inlineStr">
        <is>
          <t>Competitive</t>
        </is>
      </c>
      <c r="K30" s="5" t="n"/>
      <c r="L30" s="5" t="inlineStr">
        <is>
          <t>SOURCE-019</t>
        </is>
      </c>
      <c r="M30" s="5" t="inlineStr">
        <is>
          <t>Medium</t>
        </is>
      </c>
    </row>
    <row r="31" ht="19" customHeight="1">
      <c r="A31" s="15" t="inlineStr">
        <is>
          <t>AWARD-029</t>
        </is>
      </c>
      <c r="B31" s="20" t="inlineStr">
        <is>
          <t>FILM-016</t>
        </is>
      </c>
      <c r="C31" s="5" t="inlineStr">
        <is>
          <t>Dilwale Dulhania Le Jayenge</t>
        </is>
      </c>
      <c r="D31" s="17" t="n">
        <v>1996</v>
      </c>
      <c r="E31" s="5" t="inlineStr">
        <is>
          <t>Filmfare Awards (41st)</t>
        </is>
      </c>
      <c r="F31" s="5" t="inlineStr">
        <is>
          <t>Best Supporting Actress</t>
        </is>
      </c>
      <c r="G31" s="5" t="inlineStr">
        <is>
          <t>Farida Jalal</t>
        </is>
      </c>
      <c r="H31" s="5" t="inlineStr">
        <is>
          <t>Performer</t>
        </is>
      </c>
      <c r="I31" s="5" t="inlineStr">
        <is>
          <t>Win</t>
        </is>
      </c>
      <c r="J31" s="5" t="inlineStr">
        <is>
          <t>Competitive</t>
        </is>
      </c>
      <c r="K31" s="5" t="n"/>
      <c r="L31" s="5" t="inlineStr">
        <is>
          <t>SOURCE-019</t>
        </is>
      </c>
      <c r="M31" s="5" t="inlineStr">
        <is>
          <t>Medium</t>
        </is>
      </c>
    </row>
    <row r="32" ht="34" customHeight="1">
      <c r="A32" s="15" t="inlineStr">
        <is>
          <t>AWARD-030</t>
        </is>
      </c>
      <c r="B32" s="20" t="inlineStr">
        <is>
          <t>FILM-016</t>
        </is>
      </c>
      <c r="C32" s="5" t="inlineStr">
        <is>
          <t>Dilwale Dulhania Le Jayenge</t>
        </is>
      </c>
      <c r="D32" s="17" t="n">
        <v>1996</v>
      </c>
      <c r="E32" s="5" t="inlineStr">
        <is>
          <t>National Film Awards (43rd)</t>
        </is>
      </c>
      <c r="F32" s="5" t="inlineStr">
        <is>
          <t>Best Popular Film Providing Wholesome Entertainment</t>
        </is>
      </c>
      <c r="G32" s="5" t="inlineStr">
        <is>
          <t>Yash Chopra, Aditya Chopra</t>
        </is>
      </c>
      <c r="H32" s="5" t="inlineStr">
        <is>
          <t>Film</t>
        </is>
      </c>
      <c r="I32" s="5" t="inlineStr">
        <is>
          <t>Win</t>
        </is>
      </c>
      <c r="J32" s="5" t="inlineStr">
        <is>
          <t>Competitive</t>
        </is>
      </c>
      <c r="K32" s="5" t="n"/>
      <c r="L32" s="5" t="inlineStr">
        <is>
          <t>SOURCE-019</t>
        </is>
      </c>
      <c r="M32" s="5" t="inlineStr">
        <is>
          <t>Medium</t>
        </is>
      </c>
    </row>
    <row r="33" ht="19" customHeight="1">
      <c r="A33" s="15" t="inlineStr">
        <is>
          <t>AWARD-031</t>
        </is>
      </c>
      <c r="B33" s="20" t="inlineStr">
        <is>
          <t>FILM-016</t>
        </is>
      </c>
      <c r="C33" s="5" t="inlineStr">
        <is>
          <t>Dilwale Dulhania Le Jayenge</t>
        </is>
      </c>
      <c r="D33" s="17" t="n">
        <v>1996</v>
      </c>
      <c r="E33" s="5" t="inlineStr">
        <is>
          <t>Screen Awards</t>
        </is>
      </c>
      <c r="F33" s="5" t="inlineStr">
        <is>
          <t>Best Actor</t>
        </is>
      </c>
      <c r="G33" s="5" t="inlineStr">
        <is>
          <t>Shah Rukh Khan</t>
        </is>
      </c>
      <c r="H33" s="5" t="inlineStr">
        <is>
          <t>Actor</t>
        </is>
      </c>
      <c r="I33" s="5" t="inlineStr">
        <is>
          <t>Win</t>
        </is>
      </c>
      <c r="J33" s="5" t="inlineStr">
        <is>
          <t>Competitive</t>
        </is>
      </c>
      <c r="K33" s="5" t="n"/>
      <c r="L33" s="5" t="inlineStr">
        <is>
          <t>SOURCE-002; SOURCE-019</t>
        </is>
      </c>
      <c r="M33" s="5" t="inlineStr">
        <is>
          <t>Medium</t>
        </is>
      </c>
    </row>
    <row r="34" ht="19" customHeight="1">
      <c r="A34" s="15" t="inlineStr">
        <is>
          <t>AWARD-032</t>
        </is>
      </c>
      <c r="B34" s="20" t="n"/>
      <c r="C34" s="5" t="n"/>
      <c r="D34" s="17" t="n">
        <v>1997</v>
      </c>
      <c r="E34" s="5" t="inlineStr">
        <is>
          <t>India</t>
        </is>
      </c>
      <c r="F34" s="5" t="inlineStr">
        <is>
          <t>Best Indian Citizen Award</t>
        </is>
      </c>
      <c r="G34" s="5" t="inlineStr">
        <is>
          <t>Shah Rukh Khan</t>
        </is>
      </c>
      <c r="H34" s="5" t="inlineStr">
        <is>
          <t>Individual</t>
        </is>
      </c>
      <c r="I34" s="5" t="inlineStr">
        <is>
          <t>Win</t>
        </is>
      </c>
      <c r="J34" s="5" t="inlineStr">
        <is>
          <t>Honorary</t>
        </is>
      </c>
      <c r="K34" s="5" t="n"/>
      <c r="L34" s="5" t="inlineStr">
        <is>
          <t>SOURCE-002</t>
        </is>
      </c>
      <c r="M34" s="5" t="inlineStr">
        <is>
          <t>Medium</t>
        </is>
      </c>
    </row>
    <row r="35" ht="19" customHeight="1">
      <c r="A35" s="15" t="inlineStr">
        <is>
          <t>AWARD-033</t>
        </is>
      </c>
      <c r="B35" s="20" t="inlineStr">
        <is>
          <t>FILM-025</t>
        </is>
      </c>
      <c r="C35" s="5" t="inlineStr">
        <is>
          <t>Yes Boss</t>
        </is>
      </c>
      <c r="D35" s="17" t="n">
        <v>1998</v>
      </c>
      <c r="E35" s="5" t="inlineStr">
        <is>
          <t>Filmfare Awards</t>
        </is>
      </c>
      <c r="F35" s="5" t="inlineStr">
        <is>
          <t>Best Actor</t>
        </is>
      </c>
      <c r="G35" s="5" t="inlineStr">
        <is>
          <t>Shah Rukh Khan</t>
        </is>
      </c>
      <c r="H35" s="5" t="inlineStr">
        <is>
          <t>Actor</t>
        </is>
      </c>
      <c r="I35" s="5" t="inlineStr">
        <is>
          <t>Nomination</t>
        </is>
      </c>
      <c r="J35" s="5" t="inlineStr">
        <is>
          <t>Competitive</t>
        </is>
      </c>
      <c r="K35" s="5" t="n"/>
      <c r="L35" s="5" t="inlineStr">
        <is>
          <t>SOURCE-002; SOURCE-028</t>
        </is>
      </c>
      <c r="M35" s="5" t="inlineStr">
        <is>
          <t>Medium</t>
        </is>
      </c>
    </row>
    <row r="36" ht="34" customHeight="1">
      <c r="A36" s="15" t="inlineStr">
        <is>
          <t>AWARD-034</t>
        </is>
      </c>
      <c r="B36" s="20" t="inlineStr">
        <is>
          <t>FILM-025</t>
        </is>
      </c>
      <c r="C36" s="5" t="inlineStr">
        <is>
          <t>Yes Boss</t>
        </is>
      </c>
      <c r="D36" s="17" t="n">
        <v>1998</v>
      </c>
      <c r="E36" s="5" t="inlineStr">
        <is>
          <t>Filmfare Awards (43rd)</t>
        </is>
      </c>
      <c r="F36" s="5" t="inlineStr">
        <is>
          <t>Best Male Playback Singer</t>
        </is>
      </c>
      <c r="G36" s="5" t="inlineStr">
        <is>
          <t>Abhijeet Bhattacharya ("Main Koi Aisa Geet Gaoon")</t>
        </is>
      </c>
      <c r="H36" s="5" t="inlineStr">
        <is>
          <t>Music</t>
        </is>
      </c>
      <c r="I36" s="5" t="inlineStr">
        <is>
          <t>Win</t>
        </is>
      </c>
      <c r="J36" s="5" t="inlineStr">
        <is>
          <t>Competitive</t>
        </is>
      </c>
      <c r="K36" s="5" t="n"/>
      <c r="L36" s="5" t="inlineStr">
        <is>
          <t>SOURCE-028</t>
        </is>
      </c>
      <c r="M36" s="5" t="inlineStr">
        <is>
          <t>Medium</t>
        </is>
      </c>
    </row>
    <row r="37" ht="19" customHeight="1">
      <c r="A37" s="15" t="inlineStr">
        <is>
          <t>AWARD-035</t>
        </is>
      </c>
      <c r="B37" s="20" t="inlineStr">
        <is>
          <t>FILM-026</t>
        </is>
      </c>
      <c r="C37" s="5" t="inlineStr">
        <is>
          <t>Pardes</t>
        </is>
      </c>
      <c r="D37" s="17" t="n">
        <v>1998</v>
      </c>
      <c r="E37" s="5" t="inlineStr">
        <is>
          <t>Filmfare Awards (43rd)</t>
        </is>
      </c>
      <c r="F37" s="5" t="inlineStr">
        <is>
          <t>Best Female Debut</t>
        </is>
      </c>
      <c r="G37" s="5" t="inlineStr">
        <is>
          <t>Mahima Chaudhry</t>
        </is>
      </c>
      <c r="H37" s="5" t="inlineStr">
        <is>
          <t>Performer</t>
        </is>
      </c>
      <c r="I37" s="5" t="inlineStr">
        <is>
          <t>Win</t>
        </is>
      </c>
      <c r="J37" s="5" t="inlineStr">
        <is>
          <t>Competitive</t>
        </is>
      </c>
      <c r="K37" s="5" t="n"/>
      <c r="L37" s="5" t="inlineStr">
        <is>
          <t>SOURCE-029</t>
        </is>
      </c>
      <c r="M37" s="5" t="inlineStr">
        <is>
          <t>Medium</t>
        </is>
      </c>
    </row>
    <row r="38" ht="34" customHeight="1">
      <c r="A38" s="15" t="inlineStr">
        <is>
          <t>AWARD-036</t>
        </is>
      </c>
      <c r="B38" s="20" t="inlineStr">
        <is>
          <t>FILM-026</t>
        </is>
      </c>
      <c r="C38" s="5" t="inlineStr">
        <is>
          <t>Pardes</t>
        </is>
      </c>
      <c r="D38" s="17" t="n">
        <v>1998</v>
      </c>
      <c r="E38" s="5" t="inlineStr">
        <is>
          <t>Filmfare Awards (43rd)</t>
        </is>
      </c>
      <c r="F38" s="5" t="inlineStr">
        <is>
          <t>Best Female Playback Singer</t>
        </is>
      </c>
      <c r="G38" s="5" t="inlineStr">
        <is>
          <t>Alka Yagnik for "Meri Mehbooba"</t>
        </is>
      </c>
      <c r="H38" s="5" t="inlineStr">
        <is>
          <t>Music</t>
        </is>
      </c>
      <c r="I38" s="5" t="inlineStr">
        <is>
          <t>Win</t>
        </is>
      </c>
      <c r="J38" s="5" t="inlineStr">
        <is>
          <t>Competitive</t>
        </is>
      </c>
      <c r="K38" s="5" t="n"/>
      <c r="L38" s="5" t="inlineStr">
        <is>
          <t>SOURCE-029</t>
        </is>
      </c>
      <c r="M38" s="5" t="inlineStr">
        <is>
          <t>Medium</t>
        </is>
      </c>
    </row>
    <row r="39" ht="19" customHeight="1">
      <c r="A39" s="15" t="inlineStr">
        <is>
          <t>AWARD-037</t>
        </is>
      </c>
      <c r="B39" s="20" t="inlineStr">
        <is>
          <t>FILM-026</t>
        </is>
      </c>
      <c r="C39" s="5" t="inlineStr">
        <is>
          <t>Pardes</t>
        </is>
      </c>
      <c r="D39" s="17" t="n">
        <v>1998</v>
      </c>
      <c r="E39" s="5" t="inlineStr">
        <is>
          <t>Filmfare Awards (43rd)</t>
        </is>
      </c>
      <c r="F39" s="5" t="inlineStr">
        <is>
          <t>Best Screenplay</t>
        </is>
      </c>
      <c r="G39" s="5" t="inlineStr">
        <is>
          <t>Subhash Ghai</t>
        </is>
      </c>
      <c r="H39" s="5" t="inlineStr">
        <is>
          <t>Writer</t>
        </is>
      </c>
      <c r="I39" s="5" t="inlineStr">
        <is>
          <t>Win</t>
        </is>
      </c>
      <c r="J39" s="5" t="inlineStr">
        <is>
          <t>Competitive</t>
        </is>
      </c>
      <c r="K39" s="5" t="n"/>
      <c r="L39" s="5" t="inlineStr">
        <is>
          <t>SOURCE-029</t>
        </is>
      </c>
      <c r="M39" s="5" t="inlineStr">
        <is>
          <t>Medium</t>
        </is>
      </c>
    </row>
    <row r="40" ht="19" customHeight="1">
      <c r="A40" s="15" t="inlineStr">
        <is>
          <t>AWARD-038</t>
        </is>
      </c>
      <c r="B40" s="20" t="inlineStr">
        <is>
          <t>FILM-027</t>
        </is>
      </c>
      <c r="C40" s="5" t="inlineStr">
        <is>
          <t>Dil To Pagal Hai</t>
        </is>
      </c>
      <c r="D40" s="17" t="n">
        <v>1998</v>
      </c>
      <c r="E40" s="5" t="inlineStr">
        <is>
          <t>Filmfare Awards</t>
        </is>
      </c>
      <c r="F40" s="5" t="inlineStr">
        <is>
          <t>Best Actor</t>
        </is>
      </c>
      <c r="G40" s="5" t="inlineStr">
        <is>
          <t>Shah Rukh Khan</t>
        </is>
      </c>
      <c r="H40" s="5" t="inlineStr">
        <is>
          <t>Actor</t>
        </is>
      </c>
      <c r="I40" s="5" t="inlineStr">
        <is>
          <t>Win</t>
        </is>
      </c>
      <c r="J40" s="5" t="inlineStr">
        <is>
          <t>Competitive</t>
        </is>
      </c>
      <c r="K40" s="5" t="n"/>
      <c r="L40" s="5" t="inlineStr">
        <is>
          <t>SOURCE-002; SOURCE-030</t>
        </is>
      </c>
      <c r="M40" s="5" t="inlineStr">
        <is>
          <t>Medium</t>
        </is>
      </c>
    </row>
    <row r="41" ht="19" customHeight="1">
      <c r="A41" s="15" t="inlineStr">
        <is>
          <t>AWARD-039</t>
        </is>
      </c>
      <c r="B41" s="20" t="inlineStr">
        <is>
          <t>FILM-027</t>
        </is>
      </c>
      <c r="C41" s="5" t="inlineStr">
        <is>
          <t>Dil To Pagal Hai</t>
        </is>
      </c>
      <c r="D41" s="17" t="n">
        <v>1998</v>
      </c>
      <c r="E41" s="5" t="inlineStr">
        <is>
          <t>Filmfare Awards (43rd)</t>
        </is>
      </c>
      <c r="F41" s="5" t="inlineStr">
        <is>
          <t>Best Actress</t>
        </is>
      </c>
      <c r="G41" s="5" t="inlineStr">
        <is>
          <t>Madhuri Dixit</t>
        </is>
      </c>
      <c r="H41" s="5" t="inlineStr">
        <is>
          <t>Performer</t>
        </is>
      </c>
      <c r="I41" s="5" t="inlineStr">
        <is>
          <t>Win</t>
        </is>
      </c>
      <c r="J41" s="5" t="inlineStr">
        <is>
          <t>Competitive</t>
        </is>
      </c>
      <c r="K41" s="5" t="n"/>
      <c r="L41" s="5" t="inlineStr">
        <is>
          <t>SOURCE-101</t>
        </is>
      </c>
      <c r="M41" s="5" t="inlineStr">
        <is>
          <t>Medium</t>
        </is>
      </c>
    </row>
    <row r="42" ht="19" customHeight="1">
      <c r="A42" s="15" t="inlineStr">
        <is>
          <t>AWARD-040</t>
        </is>
      </c>
      <c r="B42" s="20" t="inlineStr">
        <is>
          <t>FILM-027</t>
        </is>
      </c>
      <c r="C42" s="5" t="inlineStr">
        <is>
          <t>Dil To Pagal Hai</t>
        </is>
      </c>
      <c r="D42" s="17" t="n">
        <v>1998</v>
      </c>
      <c r="E42" s="5" t="inlineStr">
        <is>
          <t>Filmfare Awards (43rd)</t>
        </is>
      </c>
      <c r="F42" s="5" t="inlineStr">
        <is>
          <t>Best Art Direction</t>
        </is>
      </c>
      <c r="G42" s="5" t="inlineStr">
        <is>
          <t>Sharmishta Roy</t>
        </is>
      </c>
      <c r="H42" s="5" t="inlineStr">
        <is>
          <t>Technician</t>
        </is>
      </c>
      <c r="I42" s="5" t="inlineStr">
        <is>
          <t>Win</t>
        </is>
      </c>
      <c r="J42" s="5" t="inlineStr">
        <is>
          <t>Competitive</t>
        </is>
      </c>
      <c r="K42" s="5" t="n"/>
      <c r="L42" s="5" t="inlineStr">
        <is>
          <t>SOURCE-101</t>
        </is>
      </c>
      <c r="M42" s="5" t="inlineStr">
        <is>
          <t>Medium</t>
        </is>
      </c>
    </row>
    <row r="43" ht="19" customHeight="1">
      <c r="A43" s="15" t="inlineStr">
        <is>
          <t>AWARD-041</t>
        </is>
      </c>
      <c r="B43" s="20" t="inlineStr">
        <is>
          <t>FILM-027</t>
        </is>
      </c>
      <c r="C43" s="5" t="inlineStr">
        <is>
          <t>Dil To Pagal Hai</t>
        </is>
      </c>
      <c r="D43" s="17" t="n">
        <v>1998</v>
      </c>
      <c r="E43" s="5" t="inlineStr">
        <is>
          <t>Filmfare Awards (43rd)</t>
        </is>
      </c>
      <c r="F43" s="5" t="inlineStr">
        <is>
          <t>Best Dialogue</t>
        </is>
      </c>
      <c r="G43" s="5" t="inlineStr">
        <is>
          <t>Aditya Chopra</t>
        </is>
      </c>
      <c r="H43" s="5" t="inlineStr">
        <is>
          <t>Writer</t>
        </is>
      </c>
      <c r="I43" s="5" t="inlineStr">
        <is>
          <t>Win</t>
        </is>
      </c>
      <c r="J43" s="5" t="inlineStr">
        <is>
          <t>Competitive</t>
        </is>
      </c>
      <c r="K43" s="5" t="n"/>
      <c r="L43" s="5" t="inlineStr">
        <is>
          <t>SOURCE-101</t>
        </is>
      </c>
      <c r="M43" s="5" t="inlineStr">
        <is>
          <t>Medium</t>
        </is>
      </c>
    </row>
    <row r="44" ht="19" customHeight="1">
      <c r="A44" s="15" t="inlineStr">
        <is>
          <t>AWARD-042</t>
        </is>
      </c>
      <c r="B44" s="20" t="inlineStr">
        <is>
          <t>FILM-027</t>
        </is>
      </c>
      <c r="C44" s="5" t="inlineStr">
        <is>
          <t>Dil To Pagal Hai</t>
        </is>
      </c>
      <c r="D44" s="17" t="n">
        <v>1998</v>
      </c>
      <c r="E44" s="5" t="inlineStr">
        <is>
          <t>Filmfare Awards (43rd)</t>
        </is>
      </c>
      <c r="F44" s="5" t="inlineStr">
        <is>
          <t>Best Film</t>
        </is>
      </c>
      <c r="G44" s="5" t="inlineStr">
        <is>
          <t>Dil To Pagal Hai</t>
        </is>
      </c>
      <c r="H44" s="5" t="inlineStr">
        <is>
          <t>Film</t>
        </is>
      </c>
      <c r="I44" s="5" t="inlineStr">
        <is>
          <t>Win</t>
        </is>
      </c>
      <c r="J44" s="5" t="inlineStr">
        <is>
          <t>Competitive</t>
        </is>
      </c>
      <c r="K44" s="5" t="n"/>
      <c r="L44" s="5" t="inlineStr">
        <is>
          <t>SOURCE-101</t>
        </is>
      </c>
      <c r="M44" s="5" t="inlineStr">
        <is>
          <t>Medium</t>
        </is>
      </c>
    </row>
    <row r="45" ht="19" customHeight="1">
      <c r="A45" s="15" t="inlineStr">
        <is>
          <t>AWARD-043</t>
        </is>
      </c>
      <c r="B45" s="20" t="inlineStr">
        <is>
          <t>FILM-027</t>
        </is>
      </c>
      <c r="C45" s="5" t="inlineStr">
        <is>
          <t>Dil To Pagal Hai</t>
        </is>
      </c>
      <c r="D45" s="17" t="n">
        <v>1998</v>
      </c>
      <c r="E45" s="5" t="inlineStr">
        <is>
          <t>Filmfare Awards (43rd)</t>
        </is>
      </c>
      <c r="F45" s="5" t="inlineStr">
        <is>
          <t>Best Music Director</t>
        </is>
      </c>
      <c r="G45" s="5" t="inlineStr">
        <is>
          <t>Uttam Singh</t>
        </is>
      </c>
      <c r="H45" s="5" t="inlineStr">
        <is>
          <t>Music</t>
        </is>
      </c>
      <c r="I45" s="5" t="inlineStr">
        <is>
          <t>Win</t>
        </is>
      </c>
      <c r="J45" s="5" t="inlineStr">
        <is>
          <t>Competitive</t>
        </is>
      </c>
      <c r="K45" s="5" t="n"/>
      <c r="L45" s="5" t="inlineStr">
        <is>
          <t>SOURCE-101</t>
        </is>
      </c>
      <c r="M45" s="5" t="inlineStr">
        <is>
          <t>Medium</t>
        </is>
      </c>
    </row>
    <row r="46" ht="19" customHeight="1">
      <c r="A46" s="15" t="inlineStr">
        <is>
          <t>AWARD-044</t>
        </is>
      </c>
      <c r="B46" s="20" t="inlineStr">
        <is>
          <t>FILM-027</t>
        </is>
      </c>
      <c r="C46" s="5" t="inlineStr">
        <is>
          <t>Dil To Pagal Hai</t>
        </is>
      </c>
      <c r="D46" s="17" t="n">
        <v>1998</v>
      </c>
      <c r="E46" s="5" t="inlineStr">
        <is>
          <t>Filmfare Awards (43rd)</t>
        </is>
      </c>
      <c r="F46" s="5" t="inlineStr">
        <is>
          <t>Best Supporting Actress</t>
        </is>
      </c>
      <c r="G46" s="5" t="inlineStr">
        <is>
          <t>Karisma Kapoor</t>
        </is>
      </c>
      <c r="H46" s="5" t="inlineStr">
        <is>
          <t>Performer</t>
        </is>
      </c>
      <c r="I46" s="5" t="inlineStr">
        <is>
          <t>Win</t>
        </is>
      </c>
      <c r="J46" s="5" t="inlineStr">
        <is>
          <t>Competitive</t>
        </is>
      </c>
      <c r="K46" s="5" t="n"/>
      <c r="L46" s="5" t="inlineStr">
        <is>
          <t>SOURCE-101</t>
        </is>
      </c>
      <c r="M46" s="5" t="inlineStr">
        <is>
          <t>Medium</t>
        </is>
      </c>
    </row>
    <row r="47" ht="19" customHeight="1">
      <c r="A47" s="15" t="inlineStr">
        <is>
          <t>AWARD-045</t>
        </is>
      </c>
      <c r="B47" s="20" t="inlineStr">
        <is>
          <t>FILM-027</t>
        </is>
      </c>
      <c r="C47" s="5" t="inlineStr">
        <is>
          <t>Dil To Pagal Hai</t>
        </is>
      </c>
      <c r="D47" s="17" t="n">
        <v>1998</v>
      </c>
      <c r="E47" s="5" t="inlineStr">
        <is>
          <t>National Film Awards</t>
        </is>
      </c>
      <c r="F47" s="5" t="inlineStr">
        <is>
          <t>Best Choreography</t>
        </is>
      </c>
      <c r="G47" s="5" t="inlineStr">
        <is>
          <t>Shiamak Davar</t>
        </is>
      </c>
      <c r="H47" s="5" t="inlineStr">
        <is>
          <t>Technician</t>
        </is>
      </c>
      <c r="I47" s="5" t="inlineStr">
        <is>
          <t>Win</t>
        </is>
      </c>
      <c r="J47" s="5" t="inlineStr">
        <is>
          <t>Competitive</t>
        </is>
      </c>
      <c r="K47" s="5" t="n"/>
      <c r="L47" s="5" t="inlineStr">
        <is>
          <t>SOURCE-101</t>
        </is>
      </c>
      <c r="M47" s="5" t="inlineStr">
        <is>
          <t>Medium</t>
        </is>
      </c>
    </row>
    <row r="48" ht="34" customHeight="1">
      <c r="A48" s="15" t="inlineStr">
        <is>
          <t>AWARD-046</t>
        </is>
      </c>
      <c r="B48" s="20" t="inlineStr">
        <is>
          <t>FILM-027</t>
        </is>
      </c>
      <c r="C48" s="5" t="inlineStr">
        <is>
          <t>Dil To Pagal Hai</t>
        </is>
      </c>
      <c r="D48" s="17" t="n">
        <v>1998</v>
      </c>
      <c r="E48" s="5" t="inlineStr">
        <is>
          <t>National Film Awards</t>
        </is>
      </c>
      <c r="F48" s="5" t="inlineStr">
        <is>
          <t>Best Popular Film Providing Wholesome Entertainment</t>
        </is>
      </c>
      <c r="G48" s="5" t="inlineStr">
        <is>
          <t>Dil To Pagal Hai</t>
        </is>
      </c>
      <c r="H48" s="5" t="inlineStr">
        <is>
          <t>Film</t>
        </is>
      </c>
      <c r="I48" s="5" t="inlineStr">
        <is>
          <t>Win</t>
        </is>
      </c>
      <c r="J48" s="5" t="inlineStr">
        <is>
          <t>Competitive</t>
        </is>
      </c>
      <c r="K48" s="5" t="n"/>
      <c r="L48" s="5" t="inlineStr">
        <is>
          <t>SOURCE-101</t>
        </is>
      </c>
      <c r="M48" s="5" t="inlineStr">
        <is>
          <t>Medium</t>
        </is>
      </c>
    </row>
    <row r="49" ht="19" customHeight="1">
      <c r="A49" s="15" t="inlineStr">
        <is>
          <t>AWARD-047</t>
        </is>
      </c>
      <c r="B49" s="20" t="inlineStr">
        <is>
          <t>FILM-027</t>
        </is>
      </c>
      <c r="C49" s="5" t="inlineStr">
        <is>
          <t>Dil To Pagal Hai</t>
        </is>
      </c>
      <c r="D49" s="17" t="n">
        <v>1998</v>
      </c>
      <c r="E49" s="5" t="inlineStr">
        <is>
          <t>National Film Awards</t>
        </is>
      </c>
      <c r="F49" s="5" t="inlineStr">
        <is>
          <t>Best Supporting Actress</t>
        </is>
      </c>
      <c r="G49" s="5" t="inlineStr">
        <is>
          <t>Karisma Kapoor</t>
        </is>
      </c>
      <c r="H49" s="5" t="inlineStr">
        <is>
          <t>Performer</t>
        </is>
      </c>
      <c r="I49" s="5" t="inlineStr">
        <is>
          <t>Win</t>
        </is>
      </c>
      <c r="J49" s="5" t="inlineStr">
        <is>
          <t>Competitive</t>
        </is>
      </c>
      <c r="K49" s="5" t="n"/>
      <c r="L49" s="5" t="inlineStr">
        <is>
          <t>SOURCE-101</t>
        </is>
      </c>
      <c r="M49" s="5" t="inlineStr">
        <is>
          <t>Medium</t>
        </is>
      </c>
    </row>
    <row r="50" ht="34" customHeight="1">
      <c r="A50" s="15" t="inlineStr">
        <is>
          <t>AWARD-048</t>
        </is>
      </c>
      <c r="B50" s="20" t="inlineStr">
        <is>
          <t>FILM-027</t>
        </is>
      </c>
      <c r="C50" s="5" t="inlineStr">
        <is>
          <t>Dil To Pagal Hai</t>
        </is>
      </c>
      <c r="D50" s="17" t="n">
        <v>1998</v>
      </c>
      <c r="E50" s="5" t="inlineStr">
        <is>
          <t>Sansui Viewers' Choice Movie Awards</t>
        </is>
      </c>
      <c r="F50" s="5" t="inlineStr">
        <is>
          <t>Best Actor</t>
        </is>
      </c>
      <c r="G50" s="5" t="inlineStr">
        <is>
          <t>Shah Rukh Khan</t>
        </is>
      </c>
      <c r="H50" s="5" t="inlineStr">
        <is>
          <t>Actor</t>
        </is>
      </c>
      <c r="I50" s="5" t="inlineStr">
        <is>
          <t>Win</t>
        </is>
      </c>
      <c r="J50" s="5" t="inlineStr">
        <is>
          <t>Competitive</t>
        </is>
      </c>
      <c r="K50" s="5" t="n"/>
      <c r="L50" s="5" t="inlineStr">
        <is>
          <t>SOURCE-002; SOURCE-030</t>
        </is>
      </c>
      <c r="M50" s="5" t="inlineStr">
        <is>
          <t>Medium</t>
        </is>
      </c>
    </row>
    <row r="51" ht="19" customHeight="1">
      <c r="A51" s="15" t="inlineStr">
        <is>
          <t>AWARD-049</t>
        </is>
      </c>
      <c r="B51" s="20" t="inlineStr">
        <is>
          <t>FILM-027</t>
        </is>
      </c>
      <c r="C51" s="5" t="inlineStr">
        <is>
          <t>Dil To Pagal Hai</t>
        </is>
      </c>
      <c r="D51" s="17" t="n">
        <v>1998</v>
      </c>
      <c r="E51" s="5" t="inlineStr">
        <is>
          <t>Zee Cine Awards</t>
        </is>
      </c>
      <c r="F51" s="5" t="inlineStr">
        <is>
          <t>Best Actor – Male</t>
        </is>
      </c>
      <c r="G51" s="5" t="inlineStr">
        <is>
          <t>Shah Rukh Khan</t>
        </is>
      </c>
      <c r="H51" s="5" t="inlineStr">
        <is>
          <t>Actor</t>
        </is>
      </c>
      <c r="I51" s="5" t="inlineStr">
        <is>
          <t>Win</t>
        </is>
      </c>
      <c r="J51" s="5" t="inlineStr">
        <is>
          <t>Competitive</t>
        </is>
      </c>
      <c r="K51" s="5" t="n"/>
      <c r="L51" s="5" t="inlineStr">
        <is>
          <t>SOURCE-002; SOURCE-030</t>
        </is>
      </c>
      <c r="M51" s="5" t="inlineStr">
        <is>
          <t>Medium</t>
        </is>
      </c>
    </row>
    <row r="52" ht="19" customHeight="1">
      <c r="A52" s="15" t="inlineStr">
        <is>
          <t>AWARD-050</t>
        </is>
      </c>
      <c r="B52" s="20" t="inlineStr">
        <is>
          <t>FILM-028</t>
        </is>
      </c>
      <c r="C52" s="5" t="inlineStr">
        <is>
          <t>Duplicate</t>
        </is>
      </c>
      <c r="D52" s="17" t="n">
        <v>1999</v>
      </c>
      <c r="E52" s="5" t="inlineStr">
        <is>
          <t>Filmfare Awards</t>
        </is>
      </c>
      <c r="F52" s="5" t="inlineStr">
        <is>
          <t>Best Performance in a Negative Role</t>
        </is>
      </c>
      <c r="G52" s="5" t="inlineStr">
        <is>
          <t>Shah Rukh Khan</t>
        </is>
      </c>
      <c r="H52" s="5" t="inlineStr">
        <is>
          <t>Actor</t>
        </is>
      </c>
      <c r="I52" s="5" t="inlineStr">
        <is>
          <t>Nomination</t>
        </is>
      </c>
      <c r="J52" s="5" t="inlineStr">
        <is>
          <t>Competitive</t>
        </is>
      </c>
      <c r="K52" s="5" t="n"/>
      <c r="L52" s="5" t="inlineStr">
        <is>
          <t>SOURCE-002; SOURCE-031</t>
        </is>
      </c>
      <c r="M52" s="5" t="inlineStr">
        <is>
          <t>Medium</t>
        </is>
      </c>
    </row>
    <row r="53" ht="19" customHeight="1">
      <c r="A53" s="15" t="inlineStr">
        <is>
          <t>AWARD-051</t>
        </is>
      </c>
      <c r="B53" s="20" t="inlineStr">
        <is>
          <t>FILM-030</t>
        </is>
      </c>
      <c r="C53" s="5" t="inlineStr">
        <is>
          <t>Dil Se..</t>
        </is>
      </c>
      <c r="D53" s="17" t="n">
        <v>1999</v>
      </c>
      <c r="E53" s="5" t="inlineStr">
        <is>
          <t>Bollywood Movie Awards</t>
        </is>
      </c>
      <c r="F53" s="5" t="inlineStr">
        <is>
          <t>Most Sensational Actor</t>
        </is>
      </c>
      <c r="G53" s="5" t="inlineStr">
        <is>
          <t>Shah Rukh Khan</t>
        </is>
      </c>
      <c r="H53" s="5" t="inlineStr">
        <is>
          <t>Actor</t>
        </is>
      </c>
      <c r="I53" s="5" t="inlineStr">
        <is>
          <t>Win</t>
        </is>
      </c>
      <c r="J53" s="5" t="inlineStr">
        <is>
          <t>Competitive</t>
        </is>
      </c>
      <c r="K53" s="5" t="n"/>
      <c r="L53" s="5" t="inlineStr">
        <is>
          <t>SOURCE-002; SOURCE-033</t>
        </is>
      </c>
      <c r="M53" s="5" t="inlineStr">
        <is>
          <t>Medium</t>
        </is>
      </c>
    </row>
    <row r="54" ht="34" customHeight="1">
      <c r="A54" s="15" t="inlineStr">
        <is>
          <t>AWARD-052</t>
        </is>
      </c>
      <c r="B54" s="20" t="inlineStr">
        <is>
          <t>FILM-030</t>
        </is>
      </c>
      <c r="C54" s="5" t="inlineStr">
        <is>
          <t>Dil Se..</t>
        </is>
      </c>
      <c r="D54" s="17" t="n">
        <v>1999</v>
      </c>
      <c r="E54" s="5" t="inlineStr">
        <is>
          <t>Filmfare Awards (44th)</t>
        </is>
      </c>
      <c r="F54" s="5" t="inlineStr">
        <is>
          <t>Best Choreography</t>
        </is>
      </c>
      <c r="G54" s="5" t="inlineStr">
        <is>
          <t>Farah Khan for "Chaiyya Chaiyya"</t>
        </is>
      </c>
      <c r="H54" s="5" t="inlineStr">
        <is>
          <t>Technician</t>
        </is>
      </c>
      <c r="I54" s="5" t="inlineStr">
        <is>
          <t>Win</t>
        </is>
      </c>
      <c r="J54" s="5" t="inlineStr">
        <is>
          <t>Competitive</t>
        </is>
      </c>
      <c r="K54" s="5" t="n"/>
      <c r="L54" s="5" t="inlineStr">
        <is>
          <t>SOURCE-033</t>
        </is>
      </c>
      <c r="M54" s="5" t="inlineStr">
        <is>
          <t>Medium</t>
        </is>
      </c>
    </row>
    <row r="55" ht="19" customHeight="1">
      <c r="A55" s="15" t="inlineStr">
        <is>
          <t>AWARD-053</t>
        </is>
      </c>
      <c r="B55" s="20" t="inlineStr">
        <is>
          <t>FILM-030</t>
        </is>
      </c>
      <c r="C55" s="5" t="inlineStr">
        <is>
          <t>Dil Se..</t>
        </is>
      </c>
      <c r="D55" s="17" t="n">
        <v>1999</v>
      </c>
      <c r="E55" s="5" t="inlineStr">
        <is>
          <t>Filmfare Awards (44th)</t>
        </is>
      </c>
      <c r="F55" s="5" t="inlineStr">
        <is>
          <t>Best Cinematography</t>
        </is>
      </c>
      <c r="G55" s="5" t="inlineStr">
        <is>
          <t>Santosh Sivan</t>
        </is>
      </c>
      <c r="H55" s="5" t="inlineStr">
        <is>
          <t>Technician</t>
        </is>
      </c>
      <c r="I55" s="5" t="inlineStr">
        <is>
          <t>Win</t>
        </is>
      </c>
      <c r="J55" s="5" t="inlineStr">
        <is>
          <t>Competitive</t>
        </is>
      </c>
      <c r="K55" s="5" t="n"/>
      <c r="L55" s="5" t="inlineStr">
        <is>
          <t>SOURCE-033</t>
        </is>
      </c>
      <c r="M55" s="5" t="inlineStr">
        <is>
          <t>Medium</t>
        </is>
      </c>
    </row>
    <row r="56" ht="19" customHeight="1">
      <c r="A56" s="15" t="inlineStr">
        <is>
          <t>AWARD-054</t>
        </is>
      </c>
      <c r="B56" s="20" t="inlineStr">
        <is>
          <t>FILM-030</t>
        </is>
      </c>
      <c r="C56" s="5" t="inlineStr">
        <is>
          <t>Dil Se..</t>
        </is>
      </c>
      <c r="D56" s="17" t="n">
        <v>1999</v>
      </c>
      <c r="E56" s="5" t="inlineStr">
        <is>
          <t>Filmfare Awards (44th)</t>
        </is>
      </c>
      <c r="F56" s="5" t="inlineStr">
        <is>
          <t>Best Female Debut</t>
        </is>
      </c>
      <c r="G56" s="5" t="inlineStr">
        <is>
          <t>Preity Zinta</t>
        </is>
      </c>
      <c r="H56" s="5" t="inlineStr">
        <is>
          <t>Performer</t>
        </is>
      </c>
      <c r="I56" s="5" t="inlineStr">
        <is>
          <t>Win</t>
        </is>
      </c>
      <c r="J56" s="5" t="inlineStr">
        <is>
          <t>Competitive</t>
        </is>
      </c>
      <c r="K56" s="5" t="n"/>
      <c r="L56" s="5" t="inlineStr">
        <is>
          <t>SOURCE-033</t>
        </is>
      </c>
      <c r="M56" s="5" t="inlineStr">
        <is>
          <t>Medium</t>
        </is>
      </c>
    </row>
    <row r="57" ht="19" customHeight="1">
      <c r="A57" s="15" t="inlineStr">
        <is>
          <t>AWARD-055</t>
        </is>
      </c>
      <c r="B57" s="20" t="inlineStr">
        <is>
          <t>FILM-030</t>
        </is>
      </c>
      <c r="C57" s="5" t="inlineStr">
        <is>
          <t>Dil Se..</t>
        </is>
      </c>
      <c r="D57" s="17" t="n">
        <v>1999</v>
      </c>
      <c r="E57" s="5" t="inlineStr">
        <is>
          <t>Filmfare Awards (44th)</t>
        </is>
      </c>
      <c r="F57" s="5" t="inlineStr">
        <is>
          <t>Best Lyricist</t>
        </is>
      </c>
      <c r="G57" s="5" t="inlineStr">
        <is>
          <t>Gulzar for "Chaiyya Chaiyya"</t>
        </is>
      </c>
      <c r="H57" s="5" t="inlineStr">
        <is>
          <t>Music</t>
        </is>
      </c>
      <c r="I57" s="5" t="inlineStr">
        <is>
          <t>Win</t>
        </is>
      </c>
      <c r="J57" s="5" t="inlineStr">
        <is>
          <t>Competitive</t>
        </is>
      </c>
      <c r="K57" s="5" t="n"/>
      <c r="L57" s="5" t="inlineStr">
        <is>
          <t>SOURCE-033</t>
        </is>
      </c>
      <c r="M57" s="5" t="inlineStr">
        <is>
          <t>Medium</t>
        </is>
      </c>
    </row>
    <row r="58" ht="34" customHeight="1">
      <c r="A58" s="15" t="inlineStr">
        <is>
          <t>AWARD-056</t>
        </is>
      </c>
      <c r="B58" s="20" t="inlineStr">
        <is>
          <t>FILM-030</t>
        </is>
      </c>
      <c r="C58" s="5" t="inlineStr">
        <is>
          <t>Dil Se..</t>
        </is>
      </c>
      <c r="D58" s="17" t="n">
        <v>1999</v>
      </c>
      <c r="E58" s="5" t="inlineStr">
        <is>
          <t>Filmfare Awards (44th)</t>
        </is>
      </c>
      <c r="F58" s="5" t="inlineStr">
        <is>
          <t>Best Male Playback Singer</t>
        </is>
      </c>
      <c r="G58" s="5" t="inlineStr">
        <is>
          <t>Sukhwinder Singh for "Chaiyya Chaiyya"</t>
        </is>
      </c>
      <c r="H58" s="5" t="inlineStr">
        <is>
          <t>Music</t>
        </is>
      </c>
      <c r="I58" s="5" t="inlineStr">
        <is>
          <t>Win</t>
        </is>
      </c>
      <c r="J58" s="5" t="inlineStr">
        <is>
          <t>Competitive</t>
        </is>
      </c>
      <c r="K58" s="5" t="n"/>
      <c r="L58" s="5" t="inlineStr">
        <is>
          <t>SOURCE-033</t>
        </is>
      </c>
      <c r="M58" s="5" t="inlineStr">
        <is>
          <t>Medium</t>
        </is>
      </c>
    </row>
    <row r="59" ht="19" customHeight="1">
      <c r="A59" s="15" t="inlineStr">
        <is>
          <t>AWARD-057</t>
        </is>
      </c>
      <c r="B59" s="20" t="inlineStr">
        <is>
          <t>FILM-030</t>
        </is>
      </c>
      <c r="C59" s="5" t="inlineStr">
        <is>
          <t>Dil Se..</t>
        </is>
      </c>
      <c r="D59" s="17" t="n">
        <v>1999</v>
      </c>
      <c r="E59" s="5" t="inlineStr">
        <is>
          <t>Filmfare Awards (44th)</t>
        </is>
      </c>
      <c r="F59" s="5" t="inlineStr">
        <is>
          <t>Best Music Director</t>
        </is>
      </c>
      <c r="G59" s="5" t="inlineStr">
        <is>
          <t>A. R. Rahman</t>
        </is>
      </c>
      <c r="H59" s="5" t="inlineStr">
        <is>
          <t>Music</t>
        </is>
      </c>
      <c r="I59" s="5" t="inlineStr">
        <is>
          <t>Win</t>
        </is>
      </c>
      <c r="J59" s="5" t="inlineStr">
        <is>
          <t>Competitive</t>
        </is>
      </c>
      <c r="K59" s="5" t="n"/>
      <c r="L59" s="5" t="inlineStr">
        <is>
          <t>SOURCE-033</t>
        </is>
      </c>
      <c r="M59" s="5" t="inlineStr">
        <is>
          <t>Medium</t>
        </is>
      </c>
    </row>
    <row r="60" ht="19" customHeight="1">
      <c r="A60" s="15" t="inlineStr">
        <is>
          <t>AWARD-058</t>
        </is>
      </c>
      <c r="B60" s="20" t="inlineStr">
        <is>
          <t>FILM-030</t>
        </is>
      </c>
      <c r="C60" s="5" t="inlineStr">
        <is>
          <t>Dil Se..</t>
        </is>
      </c>
      <c r="D60" s="17" t="n">
        <v>1999</v>
      </c>
      <c r="E60" s="5" t="inlineStr">
        <is>
          <t>National Film Awards (46th)</t>
        </is>
      </c>
      <c r="F60" s="5" t="inlineStr">
        <is>
          <t>Best Audiography</t>
        </is>
      </c>
      <c r="G60" s="5" t="inlineStr">
        <is>
          <t>H. Sridhar</t>
        </is>
      </c>
      <c r="H60" s="5" t="inlineStr">
        <is>
          <t>Technician</t>
        </is>
      </c>
      <c r="I60" s="5" t="inlineStr">
        <is>
          <t>Win</t>
        </is>
      </c>
      <c r="J60" s="5" t="inlineStr">
        <is>
          <t>Competitive</t>
        </is>
      </c>
      <c r="K60" s="5" t="n"/>
      <c r="L60" s="5" t="inlineStr">
        <is>
          <t>SOURCE-033</t>
        </is>
      </c>
      <c r="M60" s="5" t="inlineStr">
        <is>
          <t>Medium</t>
        </is>
      </c>
    </row>
    <row r="61" ht="19" customHeight="1">
      <c r="A61" s="15" t="inlineStr">
        <is>
          <t>AWARD-059</t>
        </is>
      </c>
      <c r="B61" s="20" t="inlineStr">
        <is>
          <t>FILM-030</t>
        </is>
      </c>
      <c r="C61" s="5" t="inlineStr">
        <is>
          <t>Dil Se..</t>
        </is>
      </c>
      <c r="D61" s="17" t="n">
        <v>1999</v>
      </c>
      <c r="E61" s="5" t="inlineStr">
        <is>
          <t>National Film Awards (46th)</t>
        </is>
      </c>
      <c r="F61" s="5" t="inlineStr">
        <is>
          <t>Best Cinematography</t>
        </is>
      </c>
      <c r="G61" s="5" t="inlineStr">
        <is>
          <t>Santosh Sivan</t>
        </is>
      </c>
      <c r="H61" s="5" t="inlineStr">
        <is>
          <t>Technician</t>
        </is>
      </c>
      <c r="I61" s="5" t="inlineStr">
        <is>
          <t>Win</t>
        </is>
      </c>
      <c r="J61" s="5" t="inlineStr">
        <is>
          <t>Competitive</t>
        </is>
      </c>
      <c r="K61" s="5" t="n"/>
      <c r="L61" s="5" t="inlineStr">
        <is>
          <t>SOURCE-033</t>
        </is>
      </c>
      <c r="M61" s="5" t="inlineStr">
        <is>
          <t>Medium</t>
        </is>
      </c>
    </row>
    <row r="62" ht="19" customHeight="1">
      <c r="A62" s="15" t="inlineStr">
        <is>
          <t>AWARD-060</t>
        </is>
      </c>
      <c r="B62" s="20" t="inlineStr">
        <is>
          <t>FILM-031</t>
        </is>
      </c>
      <c r="C62" s="5" t="inlineStr">
        <is>
          <t>Kuch Kuch Hota Hai</t>
        </is>
      </c>
      <c r="D62" s="17" t="n">
        <v>1999</v>
      </c>
      <c r="E62" s="5" t="inlineStr">
        <is>
          <t>Bollywood Movie Awards</t>
        </is>
      </c>
      <c r="F62" s="5" t="inlineStr">
        <is>
          <t>Best Actor</t>
        </is>
      </c>
      <c r="G62" s="5" t="inlineStr">
        <is>
          <t>Shah Rukh Khan</t>
        </is>
      </c>
      <c r="H62" s="5" t="inlineStr">
        <is>
          <t>Actor</t>
        </is>
      </c>
      <c r="I62" s="5" t="inlineStr">
        <is>
          <t>Win</t>
        </is>
      </c>
      <c r="J62" s="5" t="inlineStr">
        <is>
          <t>Competitive</t>
        </is>
      </c>
      <c r="K62" s="5" t="n"/>
      <c r="L62" s="5" t="inlineStr">
        <is>
          <t>SOURCE-002; SOURCE-034</t>
        </is>
      </c>
      <c r="M62" s="5" t="inlineStr">
        <is>
          <t>Medium</t>
        </is>
      </c>
    </row>
    <row r="63" ht="19" customHeight="1">
      <c r="A63" s="15" t="inlineStr">
        <is>
          <t>AWARD-061</t>
        </is>
      </c>
      <c r="B63" s="20" t="inlineStr">
        <is>
          <t>FILM-031</t>
        </is>
      </c>
      <c r="C63" s="5" t="inlineStr">
        <is>
          <t>Kuch Kuch Hota Hai</t>
        </is>
      </c>
      <c r="D63" s="17" t="n">
        <v>1999</v>
      </c>
      <c r="E63" s="5" t="inlineStr">
        <is>
          <t>Filmfare Awards</t>
        </is>
      </c>
      <c r="F63" s="5" t="inlineStr">
        <is>
          <t>Best Actor</t>
        </is>
      </c>
      <c r="G63" s="5" t="inlineStr">
        <is>
          <t>Shah Rukh Khan</t>
        </is>
      </c>
      <c r="H63" s="5" t="inlineStr">
        <is>
          <t>Actor</t>
        </is>
      </c>
      <c r="I63" s="5" t="inlineStr">
        <is>
          <t>Win</t>
        </is>
      </c>
      <c r="J63" s="5" t="inlineStr">
        <is>
          <t>Competitive</t>
        </is>
      </c>
      <c r="K63" s="5" t="n"/>
      <c r="L63" s="5" t="inlineStr">
        <is>
          <t>SOURCE-002; SOURCE-034</t>
        </is>
      </c>
      <c r="M63" s="5" t="inlineStr">
        <is>
          <t>Medium</t>
        </is>
      </c>
    </row>
    <row r="64" ht="19" customHeight="1">
      <c r="A64" s="15" t="inlineStr">
        <is>
          <t>AWARD-062</t>
        </is>
      </c>
      <c r="B64" s="20" t="inlineStr">
        <is>
          <t>FILM-031</t>
        </is>
      </c>
      <c r="C64" s="5" t="inlineStr">
        <is>
          <t>Kuch Kuch Hota Hai</t>
        </is>
      </c>
      <c r="D64" s="17" t="n">
        <v>1999</v>
      </c>
      <c r="E64" s="5" t="inlineStr">
        <is>
          <t>Filmfare Awards (44th)</t>
        </is>
      </c>
      <c r="F64" s="5" t="inlineStr">
        <is>
          <t>Best Actress</t>
        </is>
      </c>
      <c r="G64" s="5" t="inlineStr">
        <is>
          <t>Kajol</t>
        </is>
      </c>
      <c r="H64" s="5" t="inlineStr">
        <is>
          <t>Performer</t>
        </is>
      </c>
      <c r="I64" s="5" t="inlineStr">
        <is>
          <t>Win</t>
        </is>
      </c>
      <c r="J64" s="5" t="inlineStr">
        <is>
          <t>Competitive</t>
        </is>
      </c>
      <c r="K64" s="5" t="n"/>
      <c r="L64" s="5" t="inlineStr">
        <is>
          <t>SOURCE-034</t>
        </is>
      </c>
      <c r="M64" s="5" t="inlineStr">
        <is>
          <t>Medium</t>
        </is>
      </c>
    </row>
    <row r="65" ht="19" customHeight="1">
      <c r="A65" s="15" t="inlineStr">
        <is>
          <t>AWARD-063</t>
        </is>
      </c>
      <c r="B65" s="20" t="inlineStr">
        <is>
          <t>FILM-031</t>
        </is>
      </c>
      <c r="C65" s="5" t="inlineStr">
        <is>
          <t>Kuch Kuch Hota Hai</t>
        </is>
      </c>
      <c r="D65" s="17" t="n">
        <v>1999</v>
      </c>
      <c r="E65" s="5" t="inlineStr">
        <is>
          <t>Filmfare Awards (44th)</t>
        </is>
      </c>
      <c r="F65" s="5" t="inlineStr">
        <is>
          <t>Best Art Direction</t>
        </is>
      </c>
      <c r="G65" s="5" t="inlineStr">
        <is>
          <t>Sharmishta Roy</t>
        </is>
      </c>
      <c r="H65" s="5" t="inlineStr">
        <is>
          <t>Technician</t>
        </is>
      </c>
      <c r="I65" s="5" t="inlineStr">
        <is>
          <t>Win</t>
        </is>
      </c>
      <c r="J65" s="5" t="inlineStr">
        <is>
          <t>Competitive</t>
        </is>
      </c>
      <c r="K65" s="5" t="n"/>
      <c r="L65" s="5" t="inlineStr">
        <is>
          <t>SOURCE-034</t>
        </is>
      </c>
      <c r="M65" s="5" t="inlineStr">
        <is>
          <t>Medium</t>
        </is>
      </c>
    </row>
    <row r="66" ht="19" customHeight="1">
      <c r="A66" s="15" t="inlineStr">
        <is>
          <t>AWARD-064</t>
        </is>
      </c>
      <c r="B66" s="20" t="inlineStr">
        <is>
          <t>FILM-031</t>
        </is>
      </c>
      <c r="C66" s="5" t="inlineStr">
        <is>
          <t>Kuch Kuch Hota Hai</t>
        </is>
      </c>
      <c r="D66" s="17" t="n">
        <v>1999</v>
      </c>
      <c r="E66" s="5" t="inlineStr">
        <is>
          <t>Filmfare Awards (44th)</t>
        </is>
      </c>
      <c r="F66" s="5" t="inlineStr">
        <is>
          <t>Best Director</t>
        </is>
      </c>
      <c r="G66" s="5" t="inlineStr">
        <is>
          <t>Karan Johar</t>
        </is>
      </c>
      <c r="H66" s="5" t="inlineStr">
        <is>
          <t>Director</t>
        </is>
      </c>
      <c r="I66" s="5" t="inlineStr">
        <is>
          <t>Win</t>
        </is>
      </c>
      <c r="J66" s="5" t="inlineStr">
        <is>
          <t>Competitive</t>
        </is>
      </c>
      <c r="K66" s="5" t="n"/>
      <c r="L66" s="5" t="inlineStr">
        <is>
          <t>SOURCE-034</t>
        </is>
      </c>
      <c r="M66" s="5" t="inlineStr">
        <is>
          <t>Medium</t>
        </is>
      </c>
    </row>
    <row r="67" ht="19" customHeight="1">
      <c r="A67" s="15" t="inlineStr">
        <is>
          <t>AWARD-065</t>
        </is>
      </c>
      <c r="B67" s="20" t="inlineStr">
        <is>
          <t>FILM-031</t>
        </is>
      </c>
      <c r="C67" s="5" t="inlineStr">
        <is>
          <t>Kuch Kuch Hota Hai</t>
        </is>
      </c>
      <c r="D67" s="17" t="n">
        <v>1999</v>
      </c>
      <c r="E67" s="5" t="inlineStr">
        <is>
          <t>Filmfare Awards (44th)</t>
        </is>
      </c>
      <c r="F67" s="5" t="inlineStr">
        <is>
          <t>Best Film</t>
        </is>
      </c>
      <c r="G67" s="5" t="inlineStr">
        <is>
          <t>Kuch Kuch Hota Hai</t>
        </is>
      </c>
      <c r="H67" s="5" t="inlineStr">
        <is>
          <t>Film</t>
        </is>
      </c>
      <c r="I67" s="5" t="inlineStr">
        <is>
          <t>Win</t>
        </is>
      </c>
      <c r="J67" s="5" t="inlineStr">
        <is>
          <t>Competitive</t>
        </is>
      </c>
      <c r="K67" s="5" t="n"/>
      <c r="L67" s="5" t="inlineStr">
        <is>
          <t>SOURCE-034</t>
        </is>
      </c>
      <c r="M67" s="5" t="inlineStr">
        <is>
          <t>Medium</t>
        </is>
      </c>
    </row>
    <row r="68" ht="19" customHeight="1">
      <c r="A68" s="15" t="inlineStr">
        <is>
          <t>AWARD-066</t>
        </is>
      </c>
      <c r="B68" s="20" t="inlineStr">
        <is>
          <t>FILM-031</t>
        </is>
      </c>
      <c r="C68" s="5" t="inlineStr">
        <is>
          <t>Kuch Kuch Hota Hai</t>
        </is>
      </c>
      <c r="D68" s="17" t="n">
        <v>1999</v>
      </c>
      <c r="E68" s="5" t="inlineStr">
        <is>
          <t>Filmfare Awards (44th)</t>
        </is>
      </c>
      <c r="F68" s="5" t="inlineStr">
        <is>
          <t>Best Screenplay</t>
        </is>
      </c>
      <c r="G68" s="5" t="inlineStr">
        <is>
          <t>Karan Johar</t>
        </is>
      </c>
      <c r="H68" s="5" t="inlineStr">
        <is>
          <t>Writer</t>
        </is>
      </c>
      <c r="I68" s="5" t="inlineStr">
        <is>
          <t>Win</t>
        </is>
      </c>
      <c r="J68" s="5" t="inlineStr">
        <is>
          <t>Competitive</t>
        </is>
      </c>
      <c r="K68" s="5" t="n"/>
      <c r="L68" s="5" t="inlineStr">
        <is>
          <t>SOURCE-034</t>
        </is>
      </c>
      <c r="M68" s="5" t="inlineStr">
        <is>
          <t>Medium</t>
        </is>
      </c>
    </row>
    <row r="69" ht="19" customHeight="1">
      <c r="A69" s="15" t="inlineStr">
        <is>
          <t>AWARD-067</t>
        </is>
      </c>
      <c r="B69" s="20" t="inlineStr">
        <is>
          <t>FILM-031</t>
        </is>
      </c>
      <c r="C69" s="5" t="inlineStr">
        <is>
          <t>Kuch Kuch Hota Hai</t>
        </is>
      </c>
      <c r="D69" s="17" t="n">
        <v>1999</v>
      </c>
      <c r="E69" s="5" t="inlineStr">
        <is>
          <t>Filmfare Awards (44th)</t>
        </is>
      </c>
      <c r="F69" s="5" t="inlineStr">
        <is>
          <t>Best Supporting Actor</t>
        </is>
      </c>
      <c r="G69" s="5" t="inlineStr">
        <is>
          <t>Salman Khan</t>
        </is>
      </c>
      <c r="H69" s="5" t="inlineStr">
        <is>
          <t>Performer</t>
        </is>
      </c>
      <c r="I69" s="5" t="inlineStr">
        <is>
          <t>Win</t>
        </is>
      </c>
      <c r="J69" s="5" t="inlineStr">
        <is>
          <t>Competitive</t>
        </is>
      </c>
      <c r="K69" s="5" t="n"/>
      <c r="L69" s="5" t="inlineStr">
        <is>
          <t>SOURCE-034</t>
        </is>
      </c>
      <c r="M69" s="5" t="inlineStr">
        <is>
          <t>Medium</t>
        </is>
      </c>
    </row>
    <row r="70" ht="19" customHeight="1">
      <c r="A70" s="15" t="inlineStr">
        <is>
          <t>AWARD-068</t>
        </is>
      </c>
      <c r="B70" s="20" t="inlineStr">
        <is>
          <t>FILM-031</t>
        </is>
      </c>
      <c r="C70" s="5" t="inlineStr">
        <is>
          <t>Kuch Kuch Hota Hai</t>
        </is>
      </c>
      <c r="D70" s="17" t="n">
        <v>1999</v>
      </c>
      <c r="E70" s="5" t="inlineStr">
        <is>
          <t>Filmfare Awards (44th)</t>
        </is>
      </c>
      <c r="F70" s="5" t="inlineStr">
        <is>
          <t>Best Supporting Actress</t>
        </is>
      </c>
      <c r="G70" s="5" t="inlineStr">
        <is>
          <t>Rani Mukerji</t>
        </is>
      </c>
      <c r="H70" s="5" t="inlineStr">
        <is>
          <t>Performer</t>
        </is>
      </c>
      <c r="I70" s="5" t="inlineStr">
        <is>
          <t>Win</t>
        </is>
      </c>
      <c r="J70" s="5" t="inlineStr">
        <is>
          <t>Competitive</t>
        </is>
      </c>
      <c r="K70" s="5" t="n"/>
      <c r="L70" s="5" t="inlineStr">
        <is>
          <t>SOURCE-034</t>
        </is>
      </c>
      <c r="M70" s="5" t="inlineStr">
        <is>
          <t>Medium</t>
        </is>
      </c>
    </row>
    <row r="71" ht="34" customHeight="1">
      <c r="A71" s="15" t="inlineStr">
        <is>
          <t>AWARD-069</t>
        </is>
      </c>
      <c r="B71" s="20" t="inlineStr">
        <is>
          <t>FILM-031</t>
        </is>
      </c>
      <c r="C71" s="5" t="inlineStr">
        <is>
          <t>Kuch Kuch Hota Hai</t>
        </is>
      </c>
      <c r="D71" s="17" t="n">
        <v>1999</v>
      </c>
      <c r="E71" s="5" t="inlineStr">
        <is>
          <t>Sansui Viewers' Choice Movie Awards</t>
        </is>
      </c>
      <c r="F71" s="5" t="inlineStr">
        <is>
          <t>Best Actor</t>
        </is>
      </c>
      <c r="G71" s="5" t="inlineStr">
        <is>
          <t>Shah Rukh Khan</t>
        </is>
      </c>
      <c r="H71" s="5" t="inlineStr">
        <is>
          <t>Actor</t>
        </is>
      </c>
      <c r="I71" s="5" t="inlineStr">
        <is>
          <t>Win</t>
        </is>
      </c>
      <c r="J71" s="5" t="inlineStr">
        <is>
          <t>Competitive</t>
        </is>
      </c>
      <c r="K71" s="5" t="n"/>
      <c r="L71" s="5" t="inlineStr">
        <is>
          <t>SOURCE-002; SOURCE-034</t>
        </is>
      </c>
      <c r="M71" s="5" t="inlineStr">
        <is>
          <t>Medium</t>
        </is>
      </c>
    </row>
    <row r="72" ht="19" customHeight="1">
      <c r="A72" s="15" t="inlineStr">
        <is>
          <t>AWARD-070</t>
        </is>
      </c>
      <c r="B72" s="20" t="inlineStr">
        <is>
          <t>FILM-031</t>
        </is>
      </c>
      <c r="C72" s="5" t="inlineStr">
        <is>
          <t>Kuch Kuch Hota Hai</t>
        </is>
      </c>
      <c r="D72" s="17" t="n">
        <v>1999</v>
      </c>
      <c r="E72" s="5" t="inlineStr">
        <is>
          <t>Zee Cine Awards</t>
        </is>
      </c>
      <c r="F72" s="5" t="inlineStr">
        <is>
          <t>Best Actor – Male</t>
        </is>
      </c>
      <c r="G72" s="5" t="inlineStr">
        <is>
          <t>Shah Rukh Khan</t>
        </is>
      </c>
      <c r="H72" s="5" t="inlineStr">
        <is>
          <t>Actor</t>
        </is>
      </c>
      <c r="I72" s="5" t="inlineStr">
        <is>
          <t>Win</t>
        </is>
      </c>
      <c r="J72" s="5" t="inlineStr">
        <is>
          <t>Competitive</t>
        </is>
      </c>
      <c r="K72" s="5" t="n"/>
      <c r="L72" s="5" t="inlineStr">
        <is>
          <t>SOURCE-002; SOURCE-034</t>
        </is>
      </c>
      <c r="M72" s="5" t="inlineStr">
        <is>
          <t>Medium</t>
        </is>
      </c>
    </row>
    <row r="73" ht="34" customHeight="1">
      <c r="A73" s="15" t="inlineStr">
        <is>
          <t>AWARD-071</t>
        </is>
      </c>
      <c r="B73" s="20" t="inlineStr">
        <is>
          <t>FILM-031</t>
        </is>
      </c>
      <c r="C73" s="5" t="inlineStr">
        <is>
          <t>Kuch Kuch Hota Hai</t>
        </is>
      </c>
      <c r="D73" s="17" t="n">
        <v>2000</v>
      </c>
      <c r="E73" s="5" t="inlineStr">
        <is>
          <t>National Film Awards</t>
        </is>
      </c>
      <c r="F73" s="5" t="inlineStr">
        <is>
          <t>Best Female Playback Singer</t>
        </is>
      </c>
      <c r="G73" s="5" t="inlineStr">
        <is>
          <t>Alka Yagnik for "Kuch Kuch Hota Hai"</t>
        </is>
      </c>
      <c r="H73" s="5" t="inlineStr">
        <is>
          <t>Music</t>
        </is>
      </c>
      <c r="I73" s="5" t="inlineStr">
        <is>
          <t>Win</t>
        </is>
      </c>
      <c r="J73" s="5" t="inlineStr">
        <is>
          <t>Competitive</t>
        </is>
      </c>
      <c r="K73" s="5" t="n"/>
      <c r="L73" s="5" t="inlineStr">
        <is>
          <t>SOURCE-034</t>
        </is>
      </c>
      <c r="M73" s="5" t="inlineStr">
        <is>
          <t>Medium</t>
        </is>
      </c>
    </row>
    <row r="74" ht="34" customHeight="1">
      <c r="A74" s="15" t="inlineStr">
        <is>
          <t>AWARD-072</t>
        </is>
      </c>
      <c r="B74" s="20" t="inlineStr">
        <is>
          <t>FILM-031</t>
        </is>
      </c>
      <c r="C74" s="5" t="inlineStr">
        <is>
          <t>Kuch Kuch Hota Hai</t>
        </is>
      </c>
      <c r="D74" s="17" t="n">
        <v>2000</v>
      </c>
      <c r="E74" s="5" t="inlineStr">
        <is>
          <t>National Film Awards</t>
        </is>
      </c>
      <c r="F74" s="5" t="inlineStr">
        <is>
          <t>Best Popular Film Providing Wholesome Entertainment</t>
        </is>
      </c>
      <c r="G74" s="5" t="inlineStr">
        <is>
          <t>Kuch Kuch Hota Hai</t>
        </is>
      </c>
      <c r="H74" s="5" t="inlineStr">
        <is>
          <t>Film</t>
        </is>
      </c>
      <c r="I74" s="5" t="inlineStr">
        <is>
          <t>Win</t>
        </is>
      </c>
      <c r="J74" s="5" t="inlineStr">
        <is>
          <t>Competitive</t>
        </is>
      </c>
      <c r="K74" s="5" t="n"/>
      <c r="L74" s="5" t="inlineStr">
        <is>
          <t>SOURCE-034</t>
        </is>
      </c>
      <c r="M74" s="5" t="inlineStr">
        <is>
          <t>Medium</t>
        </is>
      </c>
    </row>
    <row r="75" ht="19" customHeight="1">
      <c r="A75" s="15" t="inlineStr">
        <is>
          <t>AWARD-073</t>
        </is>
      </c>
      <c r="B75" s="20" t="inlineStr">
        <is>
          <t>FILM-032</t>
        </is>
      </c>
      <c r="C75" s="5" t="inlineStr">
        <is>
          <t>Baadshah</t>
        </is>
      </c>
      <c r="D75" s="17" t="n">
        <v>2000</v>
      </c>
      <c r="E75" s="5" t="inlineStr">
        <is>
          <t>Filmfare Awards</t>
        </is>
      </c>
      <c r="F75" s="5" t="inlineStr">
        <is>
          <t>Best Performance in a Comic Role</t>
        </is>
      </c>
      <c r="G75" s="5" t="inlineStr">
        <is>
          <t>Shah Rukh Khan</t>
        </is>
      </c>
      <c r="H75" s="5" t="inlineStr">
        <is>
          <t>Actor</t>
        </is>
      </c>
      <c r="I75" s="5" t="inlineStr">
        <is>
          <t>Nomination</t>
        </is>
      </c>
      <c r="J75" s="5" t="inlineStr">
        <is>
          <t>Competitive</t>
        </is>
      </c>
      <c r="K75" s="5" t="n"/>
      <c r="L75" s="5" t="inlineStr">
        <is>
          <t>SOURCE-002; SOURCE-035</t>
        </is>
      </c>
      <c r="M75" s="5" t="inlineStr">
        <is>
          <t>Medium</t>
        </is>
      </c>
    </row>
    <row r="76" ht="19" customHeight="1">
      <c r="A76" s="15" t="inlineStr">
        <is>
          <t>AWARD-074</t>
        </is>
      </c>
      <c r="B76" s="20" t="inlineStr">
        <is>
          <t>FILM-034</t>
        </is>
      </c>
      <c r="C76" s="5" t="inlineStr">
        <is>
          <t>Hey Ram</t>
        </is>
      </c>
      <c r="D76" s="17" t="n">
        <v>2000</v>
      </c>
      <c r="E76" s="5" t="inlineStr">
        <is>
          <t>National Film Awards (47th)</t>
        </is>
      </c>
      <c r="F76" s="5" t="inlineStr">
        <is>
          <t>Best Costume Design</t>
        </is>
      </c>
      <c r="G76" s="5" t="inlineStr">
        <is>
          <t>Sarika</t>
        </is>
      </c>
      <c r="H76" s="5" t="inlineStr">
        <is>
          <t>Technician</t>
        </is>
      </c>
      <c r="I76" s="5" t="inlineStr">
        <is>
          <t>Win</t>
        </is>
      </c>
      <c r="J76" s="5" t="inlineStr">
        <is>
          <t>Competitive</t>
        </is>
      </c>
      <c r="K76" s="5" t="n"/>
      <c r="L76" s="5" t="inlineStr">
        <is>
          <t>SOURCE-037</t>
        </is>
      </c>
      <c r="M76" s="5" t="inlineStr">
        <is>
          <t>Medium</t>
        </is>
      </c>
    </row>
    <row r="77" ht="19" customHeight="1">
      <c r="A77" s="15" t="inlineStr">
        <is>
          <t>AWARD-075</t>
        </is>
      </c>
      <c r="B77" s="20" t="inlineStr">
        <is>
          <t>FILM-034</t>
        </is>
      </c>
      <c r="C77" s="5" t="inlineStr">
        <is>
          <t>Hey Ram</t>
        </is>
      </c>
      <c r="D77" s="17" t="n">
        <v>2000</v>
      </c>
      <c r="E77" s="5" t="inlineStr">
        <is>
          <t>National Film Awards (47th)</t>
        </is>
      </c>
      <c r="F77" s="5" t="inlineStr">
        <is>
          <t>Best Special Effects</t>
        </is>
      </c>
      <c r="G77" s="5" t="inlineStr">
        <is>
          <t>Manthra</t>
        </is>
      </c>
      <c r="H77" s="5" t="inlineStr">
        <is>
          <t>Technician</t>
        </is>
      </c>
      <c r="I77" s="5" t="inlineStr">
        <is>
          <t>Win</t>
        </is>
      </c>
      <c r="J77" s="5" t="inlineStr">
        <is>
          <t>Competitive</t>
        </is>
      </c>
      <c r="K77" s="5" t="n"/>
      <c r="L77" s="5" t="inlineStr">
        <is>
          <t>SOURCE-037</t>
        </is>
      </c>
      <c r="M77" s="5" t="inlineStr">
        <is>
          <t>Medium</t>
        </is>
      </c>
    </row>
    <row r="78" ht="19" customHeight="1">
      <c r="A78" s="15" t="inlineStr">
        <is>
          <t>AWARD-076</t>
        </is>
      </c>
      <c r="B78" s="20" t="inlineStr">
        <is>
          <t>FILM-034</t>
        </is>
      </c>
      <c r="C78" s="5" t="inlineStr">
        <is>
          <t>Hey Ram</t>
        </is>
      </c>
      <c r="D78" s="17" t="n">
        <v>2000</v>
      </c>
      <c r="E78" s="5" t="inlineStr">
        <is>
          <t>National Film Awards (47th)</t>
        </is>
      </c>
      <c r="F78" s="5" t="inlineStr">
        <is>
          <t>Best Supporting Actor</t>
        </is>
      </c>
      <c r="G78" s="5" t="inlineStr">
        <is>
          <t>Atul Kulkarni</t>
        </is>
      </c>
      <c r="H78" s="5" t="inlineStr">
        <is>
          <t>Performer</t>
        </is>
      </c>
      <c r="I78" s="5" t="inlineStr">
        <is>
          <t>Win</t>
        </is>
      </c>
      <c r="J78" s="5" t="inlineStr">
        <is>
          <t>Competitive</t>
        </is>
      </c>
      <c r="K78" s="5" t="n"/>
      <c r="L78" s="5" t="inlineStr">
        <is>
          <t>SOURCE-037</t>
        </is>
      </c>
      <c r="M78" s="5" t="inlineStr">
        <is>
          <t>Medium</t>
        </is>
      </c>
    </row>
    <row r="79" ht="19" customHeight="1">
      <c r="A79" s="15" t="inlineStr">
        <is>
          <t>AWARD-077</t>
        </is>
      </c>
      <c r="B79" s="20" t="inlineStr">
        <is>
          <t>FILM-034</t>
        </is>
      </c>
      <c r="C79" s="5" t="inlineStr">
        <is>
          <t>Hey Ram</t>
        </is>
      </c>
      <c r="D79" s="17" t="n">
        <v>2001</v>
      </c>
      <c r="E79" s="5" t="inlineStr">
        <is>
          <t>Filmfare Awards South (48th)</t>
        </is>
      </c>
      <c r="F79" s="5" t="inlineStr">
        <is>
          <t>Best Actor – Tamil</t>
        </is>
      </c>
      <c r="G79" s="5" t="inlineStr">
        <is>
          <t>Kamal Haasan</t>
        </is>
      </c>
      <c r="H79" s="5" t="inlineStr">
        <is>
          <t>Performer</t>
        </is>
      </c>
      <c r="I79" s="5" t="inlineStr">
        <is>
          <t>Win</t>
        </is>
      </c>
      <c r="J79" s="5" t="inlineStr">
        <is>
          <t>Competitive</t>
        </is>
      </c>
      <c r="K79" s="5" t="n"/>
      <c r="L79" s="5" t="inlineStr">
        <is>
          <t>SOURCE-037</t>
        </is>
      </c>
      <c r="M79" s="5" t="inlineStr">
        <is>
          <t>Medium</t>
        </is>
      </c>
    </row>
    <row r="80" ht="19" customHeight="1">
      <c r="A80" s="15" t="inlineStr">
        <is>
          <t>AWARD-078</t>
        </is>
      </c>
      <c r="B80" s="20" t="inlineStr">
        <is>
          <t>FILM-037</t>
        </is>
      </c>
      <c r="C80" s="5" t="inlineStr">
        <is>
          <t>Mohabbatein</t>
        </is>
      </c>
      <c r="D80" s="17" t="n">
        <v>2001</v>
      </c>
      <c r="E80" s="5" t="inlineStr">
        <is>
          <t>Filmfare Awards</t>
        </is>
      </c>
      <c r="F80" s="5" t="inlineStr">
        <is>
          <t>Best Actor</t>
        </is>
      </c>
      <c r="G80" s="5" t="inlineStr">
        <is>
          <t>Shah Rukh Khan</t>
        </is>
      </c>
      <c r="H80" s="5" t="inlineStr">
        <is>
          <t>Actor</t>
        </is>
      </c>
      <c r="I80" s="5" t="inlineStr">
        <is>
          <t>Nomination</t>
        </is>
      </c>
      <c r="J80" s="5" t="inlineStr">
        <is>
          <t>Competitive</t>
        </is>
      </c>
      <c r="K80" s="5" t="n"/>
      <c r="L80" s="5" t="inlineStr">
        <is>
          <t>SOURCE-002; SOURCE-040</t>
        </is>
      </c>
      <c r="M80" s="5" t="inlineStr">
        <is>
          <t>Medium</t>
        </is>
      </c>
    </row>
    <row r="81" ht="19" customHeight="1">
      <c r="A81" s="15" t="inlineStr">
        <is>
          <t>AWARD-079</t>
        </is>
      </c>
      <c r="B81" s="20" t="inlineStr">
        <is>
          <t>FILM-037</t>
        </is>
      </c>
      <c r="C81" s="5" t="inlineStr">
        <is>
          <t>Mohabbatein</t>
        </is>
      </c>
      <c r="D81" s="17" t="n">
        <v>2001</v>
      </c>
      <c r="E81" s="5" t="inlineStr">
        <is>
          <t>Filmfare Awards</t>
        </is>
      </c>
      <c r="F81" s="5" t="inlineStr">
        <is>
          <t>Best Actor (Critics)</t>
        </is>
      </c>
      <c r="G81" s="5" t="inlineStr">
        <is>
          <t>Shah Rukh Khan</t>
        </is>
      </c>
      <c r="H81" s="5" t="inlineStr">
        <is>
          <t>Actor</t>
        </is>
      </c>
      <c r="I81" s="5" t="inlineStr">
        <is>
          <t>Win</t>
        </is>
      </c>
      <c r="J81" s="5" t="inlineStr">
        <is>
          <t>Competitive</t>
        </is>
      </c>
      <c r="K81" s="5" t="n"/>
      <c r="L81" s="5" t="inlineStr">
        <is>
          <t>SOURCE-002; SOURCE-040</t>
        </is>
      </c>
      <c r="M81" s="5" t="inlineStr">
        <is>
          <t>Medium</t>
        </is>
      </c>
    </row>
    <row r="82" ht="19" customHeight="1">
      <c r="A82" s="15" t="inlineStr">
        <is>
          <t>AWARD-080</t>
        </is>
      </c>
      <c r="B82" s="20" t="inlineStr">
        <is>
          <t>FILM-037</t>
        </is>
      </c>
      <c r="C82" s="5" t="inlineStr">
        <is>
          <t>Mohabbatein</t>
        </is>
      </c>
      <c r="D82" s="17" t="n">
        <v>2001</v>
      </c>
      <c r="E82" s="5" t="inlineStr">
        <is>
          <t>Filmfare Awards (46th)</t>
        </is>
      </c>
      <c r="F82" s="5" t="inlineStr">
        <is>
          <t>Best Sound Design</t>
        </is>
      </c>
      <c r="G82" s="5" t="inlineStr">
        <is>
          <t>Anuj Mathur, Kunal Mehta</t>
        </is>
      </c>
      <c r="H82" s="5" t="inlineStr">
        <is>
          <t>Technician</t>
        </is>
      </c>
      <c r="I82" s="5" t="inlineStr">
        <is>
          <t>Win</t>
        </is>
      </c>
      <c r="J82" s="5" t="inlineStr">
        <is>
          <t>Competitive</t>
        </is>
      </c>
      <c r="K82" s="5" t="n"/>
      <c r="L82" s="5" t="inlineStr">
        <is>
          <t>SOURCE-102</t>
        </is>
      </c>
      <c r="M82" s="5" t="inlineStr">
        <is>
          <t>Medium</t>
        </is>
      </c>
    </row>
    <row r="83" ht="19" customHeight="1">
      <c r="A83" s="15" t="inlineStr">
        <is>
          <t>AWARD-081</t>
        </is>
      </c>
      <c r="B83" s="20" t="inlineStr">
        <is>
          <t>FILM-037</t>
        </is>
      </c>
      <c r="C83" s="5" t="inlineStr">
        <is>
          <t>Mohabbatein</t>
        </is>
      </c>
      <c r="D83" s="17" t="n">
        <v>2001</v>
      </c>
      <c r="E83" s="5" t="inlineStr">
        <is>
          <t>Filmfare Awards (46th)</t>
        </is>
      </c>
      <c r="F83" s="5" t="inlineStr">
        <is>
          <t>Best Supporting Actor</t>
        </is>
      </c>
      <c r="G83" s="5" t="inlineStr">
        <is>
          <t>Amitabh Bachchan</t>
        </is>
      </c>
      <c r="H83" s="5" t="inlineStr">
        <is>
          <t>Performer</t>
        </is>
      </c>
      <c r="I83" s="5" t="inlineStr">
        <is>
          <t>Win</t>
        </is>
      </c>
      <c r="J83" s="5" t="inlineStr">
        <is>
          <t>Competitive</t>
        </is>
      </c>
      <c r="K83" s="5" t="n"/>
      <c r="L83" s="5" t="inlineStr">
        <is>
          <t>SOURCE-102</t>
        </is>
      </c>
      <c r="M83" s="5" t="inlineStr">
        <is>
          <t>Medium</t>
        </is>
      </c>
    </row>
    <row r="84" ht="34" customHeight="1">
      <c r="A84" s="15" t="inlineStr">
        <is>
          <t>AWARD-082</t>
        </is>
      </c>
      <c r="B84" s="20" t="inlineStr">
        <is>
          <t>FILM-037</t>
        </is>
      </c>
      <c r="C84" s="5" t="inlineStr">
        <is>
          <t>Mohabbatein</t>
        </is>
      </c>
      <c r="D84" s="17" t="n">
        <v>2001</v>
      </c>
      <c r="E84" s="5" t="inlineStr">
        <is>
          <t>Sansui Viewers' Choice Movie Awards</t>
        </is>
      </c>
      <c r="F84" s="5" t="inlineStr">
        <is>
          <t>Best Actor</t>
        </is>
      </c>
      <c r="G84" s="5" t="inlineStr">
        <is>
          <t>Shah Rukh Khan</t>
        </is>
      </c>
      <c r="H84" s="5" t="inlineStr">
        <is>
          <t>Actor</t>
        </is>
      </c>
      <c r="I84" s="5" t="inlineStr">
        <is>
          <t>Win</t>
        </is>
      </c>
      <c r="J84" s="5" t="inlineStr">
        <is>
          <t>Competitive</t>
        </is>
      </c>
      <c r="K84" s="5" t="n"/>
      <c r="L84" s="5" t="inlineStr">
        <is>
          <t>SOURCE-002; SOURCE-040</t>
        </is>
      </c>
      <c r="M84" s="5" t="inlineStr">
        <is>
          <t>Medium</t>
        </is>
      </c>
    </row>
    <row r="85" ht="19" customHeight="1">
      <c r="A85" s="15" t="inlineStr">
        <is>
          <t>AWARD-083</t>
        </is>
      </c>
      <c r="B85" s="20" t="inlineStr">
        <is>
          <t>FILM-040</t>
        </is>
      </c>
      <c r="C85" s="5" t="inlineStr">
        <is>
          <t>Aśoka</t>
        </is>
      </c>
      <c r="D85" s="17" t="n">
        <v>2002</v>
      </c>
      <c r="E85" s="5" t="inlineStr">
        <is>
          <t>Filmfare Awards</t>
        </is>
      </c>
      <c r="F85" s="5" t="inlineStr">
        <is>
          <t>Best Film</t>
        </is>
      </c>
      <c r="G85" s="5" t="inlineStr">
        <is>
          <t>Shah Rukh Khan</t>
        </is>
      </c>
      <c r="H85" s="5" t="inlineStr">
        <is>
          <t>Producer</t>
        </is>
      </c>
      <c r="I85" s="5" t="inlineStr">
        <is>
          <t>Nomination</t>
        </is>
      </c>
      <c r="J85" s="5" t="inlineStr">
        <is>
          <t>Competitive</t>
        </is>
      </c>
      <c r="K85" s="5" t="n"/>
      <c r="L85" s="5" t="inlineStr">
        <is>
          <t>SOURCE-002; SOURCE-043</t>
        </is>
      </c>
      <c r="M85" s="5" t="inlineStr">
        <is>
          <t>Medium</t>
        </is>
      </c>
    </row>
    <row r="86" ht="34" customHeight="1">
      <c r="A86" s="15" t="inlineStr">
        <is>
          <t>AWARD-084</t>
        </is>
      </c>
      <c r="B86" s="20" t="inlineStr">
        <is>
          <t>FILM-040</t>
        </is>
      </c>
      <c r="C86" s="5" t="inlineStr">
        <is>
          <t>Aśoka</t>
        </is>
      </c>
      <c r="D86" s="17" t="n">
        <v>2002</v>
      </c>
      <c r="E86" s="5" t="inlineStr">
        <is>
          <t>Sansui Viewers' Choice Movie Awards</t>
        </is>
      </c>
      <c r="F86" s="5" t="inlineStr">
        <is>
          <t>Best Actor (Jury)</t>
        </is>
      </c>
      <c r="G86" s="5" t="inlineStr">
        <is>
          <t>Shah Rukh Khan</t>
        </is>
      </c>
      <c r="H86" s="5" t="inlineStr">
        <is>
          <t>Actor</t>
        </is>
      </c>
      <c r="I86" s="5" t="inlineStr">
        <is>
          <t>Win</t>
        </is>
      </c>
      <c r="J86" s="5" t="inlineStr">
        <is>
          <t>Competitive</t>
        </is>
      </c>
      <c r="K86" s="5" t="n"/>
      <c r="L86" s="5" t="inlineStr">
        <is>
          <t>SOURCE-002; SOURCE-043</t>
        </is>
      </c>
      <c r="M86" s="5" t="inlineStr">
        <is>
          <t>Medium</t>
        </is>
      </c>
    </row>
    <row r="87" ht="19" customHeight="1">
      <c r="A87" s="15" t="inlineStr">
        <is>
          <t>AWARD-085</t>
        </is>
      </c>
      <c r="B87" s="20" t="inlineStr">
        <is>
          <t>FILM-041</t>
        </is>
      </c>
      <c r="C87" s="5" t="inlineStr">
        <is>
          <t>Kabhi Khushi Kabhie Gham</t>
        </is>
      </c>
      <c r="D87" s="17" t="n">
        <v>2002</v>
      </c>
      <c r="E87" s="5" t="inlineStr">
        <is>
          <t>Filmfare Awards</t>
        </is>
      </c>
      <c r="F87" s="5" t="inlineStr">
        <is>
          <t>Best Actor</t>
        </is>
      </c>
      <c r="G87" s="5" t="inlineStr">
        <is>
          <t>Shah Rukh Khan</t>
        </is>
      </c>
      <c r="H87" s="5" t="inlineStr">
        <is>
          <t>Actor</t>
        </is>
      </c>
      <c r="I87" s="5" t="inlineStr">
        <is>
          <t>Nomination</t>
        </is>
      </c>
      <c r="J87" s="5" t="inlineStr">
        <is>
          <t>Competitive</t>
        </is>
      </c>
      <c r="K87" s="5" t="n"/>
      <c r="L87" s="5" t="inlineStr">
        <is>
          <t>SOURCE-002; SOURCE-044</t>
        </is>
      </c>
      <c r="M87" s="5" t="inlineStr">
        <is>
          <t>Medium</t>
        </is>
      </c>
    </row>
    <row r="88" ht="19" customHeight="1">
      <c r="A88" s="15" t="inlineStr">
        <is>
          <t>AWARD-086</t>
        </is>
      </c>
      <c r="B88" s="20" t="inlineStr">
        <is>
          <t>FILM-041</t>
        </is>
      </c>
      <c r="C88" s="5" t="inlineStr">
        <is>
          <t>Kabhi Khushi Kabhie Gham</t>
        </is>
      </c>
      <c r="D88" s="17" t="n">
        <v>2002</v>
      </c>
      <c r="E88" s="5" t="inlineStr">
        <is>
          <t>Filmfare Awards (47th)</t>
        </is>
      </c>
      <c r="F88" s="5" t="inlineStr">
        <is>
          <t>Best Actress</t>
        </is>
      </c>
      <c r="G88" s="5" t="inlineStr">
        <is>
          <t>Kajol</t>
        </is>
      </c>
      <c r="H88" s="5" t="inlineStr">
        <is>
          <t>Performer</t>
        </is>
      </c>
      <c r="I88" s="5" t="inlineStr">
        <is>
          <t>Win</t>
        </is>
      </c>
      <c r="J88" s="5" t="inlineStr">
        <is>
          <t>Competitive</t>
        </is>
      </c>
      <c r="K88" s="5" t="n"/>
      <c r="L88" s="5" t="inlineStr">
        <is>
          <t>SOURCE-044</t>
        </is>
      </c>
      <c r="M88" s="5" t="inlineStr">
        <is>
          <t>Medium</t>
        </is>
      </c>
    </row>
    <row r="89" ht="19" customHeight="1">
      <c r="A89" s="15" t="inlineStr">
        <is>
          <t>AWARD-087</t>
        </is>
      </c>
      <c r="B89" s="20" t="inlineStr">
        <is>
          <t>FILM-041</t>
        </is>
      </c>
      <c r="C89" s="5" t="inlineStr">
        <is>
          <t>Kabhi Khushi Kabhie Gham</t>
        </is>
      </c>
      <c r="D89" s="17" t="n">
        <v>2002</v>
      </c>
      <c r="E89" s="5" t="inlineStr">
        <is>
          <t>Filmfare Awards (47th)</t>
        </is>
      </c>
      <c r="F89" s="5" t="inlineStr">
        <is>
          <t>Best Art Direction</t>
        </is>
      </c>
      <c r="G89" s="5" t="inlineStr">
        <is>
          <t>Sharmishta Roy</t>
        </is>
      </c>
      <c r="H89" s="5" t="inlineStr">
        <is>
          <t>Technician</t>
        </is>
      </c>
      <c r="I89" s="5" t="inlineStr">
        <is>
          <t>Win</t>
        </is>
      </c>
      <c r="J89" s="5" t="inlineStr">
        <is>
          <t>Competitive</t>
        </is>
      </c>
      <c r="K89" s="5" t="n"/>
      <c r="L89" s="5" t="inlineStr">
        <is>
          <t>SOURCE-044</t>
        </is>
      </c>
      <c r="M89" s="5" t="inlineStr">
        <is>
          <t>Medium</t>
        </is>
      </c>
    </row>
    <row r="90" ht="19" customHeight="1">
      <c r="A90" s="15" t="inlineStr">
        <is>
          <t>AWARD-088</t>
        </is>
      </c>
      <c r="B90" s="20" t="inlineStr">
        <is>
          <t>FILM-041</t>
        </is>
      </c>
      <c r="C90" s="5" t="inlineStr">
        <is>
          <t>Kabhi Khushi Kabhie Gham</t>
        </is>
      </c>
      <c r="D90" s="17" t="n">
        <v>2002</v>
      </c>
      <c r="E90" s="5" t="inlineStr">
        <is>
          <t>Filmfare Awards (47th)</t>
        </is>
      </c>
      <c r="F90" s="5" t="inlineStr">
        <is>
          <t>Best Dialogue</t>
        </is>
      </c>
      <c r="G90" s="5" t="inlineStr">
        <is>
          <t>Karan Johar</t>
        </is>
      </c>
      <c r="H90" s="5" t="inlineStr">
        <is>
          <t>Writer</t>
        </is>
      </c>
      <c r="I90" s="5" t="inlineStr">
        <is>
          <t>Win</t>
        </is>
      </c>
      <c r="J90" s="5" t="inlineStr">
        <is>
          <t>Competitive</t>
        </is>
      </c>
      <c r="K90" s="5" t="n"/>
      <c r="L90" s="5" t="inlineStr">
        <is>
          <t>SOURCE-044</t>
        </is>
      </c>
      <c r="M90" s="5" t="inlineStr">
        <is>
          <t>Medium</t>
        </is>
      </c>
    </row>
    <row r="91" ht="34" customHeight="1">
      <c r="A91" s="15" t="inlineStr">
        <is>
          <t>AWARD-089</t>
        </is>
      </c>
      <c r="B91" s="20" t="inlineStr">
        <is>
          <t>FILM-041</t>
        </is>
      </c>
      <c r="C91" s="5" t="inlineStr">
        <is>
          <t>Kabhi Khushi Kabhie Gham</t>
        </is>
      </c>
      <c r="D91" s="17" t="n">
        <v>2002</v>
      </c>
      <c r="E91" s="5" t="inlineStr">
        <is>
          <t>Filmfare Awards (47th)</t>
        </is>
      </c>
      <c r="F91" s="5" t="inlineStr">
        <is>
          <t>Best Scene of the Year</t>
        </is>
      </c>
      <c r="G91" s="5" t="inlineStr">
        <is>
          <t>Family reunion at the Bluewater Shopping Centre</t>
        </is>
      </c>
      <c r="H91" s="5" t="inlineStr">
        <is>
          <t>Film</t>
        </is>
      </c>
      <c r="I91" s="5" t="inlineStr">
        <is>
          <t>Win</t>
        </is>
      </c>
      <c r="J91" s="5" t="inlineStr">
        <is>
          <t>Competitive</t>
        </is>
      </c>
      <c r="K91" s="5" t="n"/>
      <c r="L91" s="5" t="inlineStr">
        <is>
          <t>SOURCE-044</t>
        </is>
      </c>
      <c r="M91" s="5" t="inlineStr">
        <is>
          <t>Medium</t>
        </is>
      </c>
    </row>
    <row r="92" ht="19" customHeight="1">
      <c r="A92" s="15" t="inlineStr">
        <is>
          <t>AWARD-090</t>
        </is>
      </c>
      <c r="B92" s="20" t="inlineStr">
        <is>
          <t>FILM-041</t>
        </is>
      </c>
      <c r="C92" s="5" t="inlineStr">
        <is>
          <t>Kabhi Khushi Kabhie Gham</t>
        </is>
      </c>
      <c r="D92" s="17" t="n">
        <v>2002</v>
      </c>
      <c r="E92" s="5" t="inlineStr">
        <is>
          <t>Filmfare Awards (47th)</t>
        </is>
      </c>
      <c r="F92" s="5" t="inlineStr">
        <is>
          <t>Best Supporting Actress</t>
        </is>
      </c>
      <c r="G92" s="5" t="inlineStr">
        <is>
          <t>Jaya Bachchan</t>
        </is>
      </c>
      <c r="H92" s="5" t="inlineStr">
        <is>
          <t>Performer</t>
        </is>
      </c>
      <c r="I92" s="5" t="inlineStr">
        <is>
          <t>Win</t>
        </is>
      </c>
      <c r="J92" s="5" t="inlineStr">
        <is>
          <t>Competitive</t>
        </is>
      </c>
      <c r="K92" s="5" t="n"/>
      <c r="L92" s="5" t="inlineStr">
        <is>
          <t>SOURCE-044</t>
        </is>
      </c>
      <c r="M92" s="5" t="inlineStr">
        <is>
          <t>Medium</t>
        </is>
      </c>
    </row>
    <row r="93" ht="19" customHeight="1">
      <c r="A93" s="15" t="inlineStr">
        <is>
          <t>AWARD-091</t>
        </is>
      </c>
      <c r="B93" s="20" t="inlineStr">
        <is>
          <t>FILM-041</t>
        </is>
      </c>
      <c r="C93" s="5" t="inlineStr">
        <is>
          <t>Kabhi Khushi Kabhie Gham</t>
        </is>
      </c>
      <c r="D93" s="17" t="n">
        <v>2002</v>
      </c>
      <c r="E93" s="5" t="inlineStr">
        <is>
          <t>Screen Awards</t>
        </is>
      </c>
      <c r="F93" s="5" t="inlineStr">
        <is>
          <t>Jodi No. 1</t>
        </is>
      </c>
      <c r="G93" s="5" t="inlineStr">
        <is>
          <t>Shah Rukh Khan</t>
        </is>
      </c>
      <c r="H93" s="5" t="inlineStr">
        <is>
          <t>Actor</t>
        </is>
      </c>
      <c r="I93" s="5" t="inlineStr">
        <is>
          <t>Win</t>
        </is>
      </c>
      <c r="J93" s="5" t="inlineStr">
        <is>
          <t>Competitive</t>
        </is>
      </c>
      <c r="K93" s="5" t="n"/>
      <c r="L93" s="5" t="inlineStr">
        <is>
          <t>SOURCE-002; SOURCE-044</t>
        </is>
      </c>
      <c r="M93" s="5" t="inlineStr">
        <is>
          <t>Medium</t>
        </is>
      </c>
    </row>
    <row r="94" ht="19" customHeight="1">
      <c r="A94" s="15" t="inlineStr">
        <is>
          <t>AWARD-092</t>
        </is>
      </c>
      <c r="B94" s="20" t="n"/>
      <c r="C94" s="5" t="n"/>
      <c r="D94" s="17" t="n">
        <v>2002</v>
      </c>
      <c r="E94" s="5" t="inlineStr">
        <is>
          <t>India</t>
        </is>
      </c>
      <c r="F94" s="5" t="inlineStr">
        <is>
          <t>Rajiv Gandhi Award</t>
        </is>
      </c>
      <c r="G94" s="5" t="inlineStr">
        <is>
          <t>Shah Rukh Khan</t>
        </is>
      </c>
      <c r="H94" s="5" t="inlineStr">
        <is>
          <t>Individual</t>
        </is>
      </c>
      <c r="I94" s="5" t="inlineStr">
        <is>
          <t>Win</t>
        </is>
      </c>
      <c r="J94" s="5" t="inlineStr">
        <is>
          <t>Honorary</t>
        </is>
      </c>
      <c r="K94" s="5" t="n"/>
      <c r="L94" s="5" t="inlineStr">
        <is>
          <t>SOURCE-002</t>
        </is>
      </c>
      <c r="M94" s="5" t="inlineStr">
        <is>
          <t>Medium</t>
        </is>
      </c>
    </row>
    <row r="95" ht="49" customHeight="1">
      <c r="A95" s="15" t="inlineStr">
        <is>
          <t>AWARD-289</t>
        </is>
      </c>
      <c r="B95" s="20" t="inlineStr">
        <is>
          <t>FILM-040</t>
        </is>
      </c>
      <c r="C95" s="5" t="inlineStr">
        <is>
          <t>Aśoka</t>
        </is>
      </c>
      <c r="D95" s="17" t="n">
        <v>2002</v>
      </c>
      <c r="E95" s="5" t="inlineStr">
        <is>
          <t>Filmfare Awards</t>
        </is>
      </c>
      <c r="F95" s="5" t="inlineStr">
        <is>
          <t>Best Cinematography</t>
        </is>
      </c>
      <c r="G95" s="5" t="inlineStr">
        <is>
          <t>Santosh Sivan</t>
        </is>
      </c>
      <c r="H95" s="5" t="inlineStr">
        <is>
          <t>Technician</t>
        </is>
      </c>
      <c r="I95" s="5" t="inlineStr">
        <is>
          <t>Win</t>
        </is>
      </c>
      <c r="J95" s="5" t="inlineStr">
        <is>
          <t>Competitive</t>
        </is>
      </c>
      <c r="K95" s="5" t="inlineStr">
        <is>
          <t>Ceremony year from the 2002 Filmfare nominations for the film listed on Khan's awards page.</t>
        </is>
      </c>
      <c r="L95" s="5" t="inlineStr">
        <is>
          <t>SOURCE-043</t>
        </is>
      </c>
      <c r="M95" s="5" t="inlineStr">
        <is>
          <t>Medium</t>
        </is>
      </c>
    </row>
    <row r="96" ht="19" customHeight="1">
      <c r="A96" s="15" t="inlineStr">
        <is>
          <t>AWARD-093</t>
        </is>
      </c>
      <c r="B96" s="20" t="inlineStr">
        <is>
          <t>FILM-043</t>
        </is>
      </c>
      <c r="C96" s="5" t="inlineStr">
        <is>
          <t>Devdas</t>
        </is>
      </c>
      <c r="D96" s="17" t="n">
        <v>2003</v>
      </c>
      <c r="E96" s="5" t="inlineStr">
        <is>
          <t>Bollywood Movie Awards</t>
        </is>
      </c>
      <c r="F96" s="5" t="inlineStr">
        <is>
          <t>Best Actor</t>
        </is>
      </c>
      <c r="G96" s="5" t="inlineStr">
        <is>
          <t>Shah Rukh Khan</t>
        </is>
      </c>
      <c r="H96" s="5" t="inlineStr">
        <is>
          <t>Actor</t>
        </is>
      </c>
      <c r="I96" s="5" t="inlineStr">
        <is>
          <t>Win</t>
        </is>
      </c>
      <c r="J96" s="5" t="inlineStr">
        <is>
          <t>Competitive</t>
        </is>
      </c>
      <c r="K96" s="5" t="n"/>
      <c r="L96" s="5" t="inlineStr">
        <is>
          <t>SOURCE-002; SOURCE-046</t>
        </is>
      </c>
      <c r="M96" s="5" t="inlineStr">
        <is>
          <t>Medium</t>
        </is>
      </c>
    </row>
    <row r="97" ht="19" customHeight="1">
      <c r="A97" s="15" t="inlineStr">
        <is>
          <t>AWARD-094</t>
        </is>
      </c>
      <c r="B97" s="20" t="inlineStr">
        <is>
          <t>FILM-043</t>
        </is>
      </c>
      <c r="C97" s="5" t="inlineStr">
        <is>
          <t>Devdas</t>
        </is>
      </c>
      <c r="D97" s="17" t="n">
        <v>2003</v>
      </c>
      <c r="E97" s="5" t="inlineStr">
        <is>
          <t>Filmfare Awards</t>
        </is>
      </c>
      <c r="F97" s="5" t="inlineStr">
        <is>
          <t>Best Actor</t>
        </is>
      </c>
      <c r="G97" s="5" t="inlineStr">
        <is>
          <t>Shah Rukh Khan</t>
        </is>
      </c>
      <c r="H97" s="5" t="inlineStr">
        <is>
          <t>Actor</t>
        </is>
      </c>
      <c r="I97" s="5" t="inlineStr">
        <is>
          <t>Win</t>
        </is>
      </c>
      <c r="J97" s="5" t="inlineStr">
        <is>
          <t>Competitive</t>
        </is>
      </c>
      <c r="K97" s="5" t="n"/>
      <c r="L97" s="5" t="inlineStr">
        <is>
          <t>SOURCE-002; SOURCE-046</t>
        </is>
      </c>
      <c r="M97" s="5" t="inlineStr">
        <is>
          <t>Medium</t>
        </is>
      </c>
    </row>
    <row r="98" ht="19" customHeight="1">
      <c r="A98" s="15" t="inlineStr">
        <is>
          <t>AWARD-095</t>
        </is>
      </c>
      <c r="B98" s="20" t="inlineStr">
        <is>
          <t>FILM-043</t>
        </is>
      </c>
      <c r="C98" s="5" t="inlineStr">
        <is>
          <t>Devdas</t>
        </is>
      </c>
      <c r="D98" s="17" t="n">
        <v>2003</v>
      </c>
      <c r="E98" s="5" t="inlineStr">
        <is>
          <t>Filmfare Awards (48th)</t>
        </is>
      </c>
      <c r="F98" s="5" t="inlineStr">
        <is>
          <t>Best Actress</t>
        </is>
      </c>
      <c r="G98" s="5" t="inlineStr">
        <is>
          <t>Aishwarya Rai Bachchan</t>
        </is>
      </c>
      <c r="H98" s="5" t="inlineStr">
        <is>
          <t>Performer</t>
        </is>
      </c>
      <c r="I98" s="5" t="inlineStr">
        <is>
          <t>Win</t>
        </is>
      </c>
      <c r="J98" s="5" t="inlineStr">
        <is>
          <t>Competitive</t>
        </is>
      </c>
      <c r="K98" s="5" t="n"/>
      <c r="L98" s="5" t="inlineStr">
        <is>
          <t>SOURCE-103</t>
        </is>
      </c>
      <c r="M98" s="5" t="inlineStr">
        <is>
          <t>Medium</t>
        </is>
      </c>
    </row>
    <row r="99" ht="19" customHeight="1">
      <c r="A99" s="15" t="inlineStr">
        <is>
          <t>AWARD-096</t>
        </is>
      </c>
      <c r="B99" s="20" t="inlineStr">
        <is>
          <t>FILM-043</t>
        </is>
      </c>
      <c r="C99" s="5" t="inlineStr">
        <is>
          <t>Devdas</t>
        </is>
      </c>
      <c r="D99" s="17" t="n">
        <v>2003</v>
      </c>
      <c r="E99" s="5" t="inlineStr">
        <is>
          <t>Filmfare Awards (48th)</t>
        </is>
      </c>
      <c r="F99" s="5" t="inlineStr">
        <is>
          <t>Best Art Direction</t>
        </is>
      </c>
      <c r="G99" s="5" t="inlineStr">
        <is>
          <t>Nitin Chandrakant Desai</t>
        </is>
      </c>
      <c r="H99" s="5" t="inlineStr">
        <is>
          <t>Technician</t>
        </is>
      </c>
      <c r="I99" s="5" t="inlineStr">
        <is>
          <t>Win</t>
        </is>
      </c>
      <c r="J99" s="5" t="inlineStr">
        <is>
          <t>Competitive</t>
        </is>
      </c>
      <c r="K99" s="5" t="n"/>
      <c r="L99" s="5" t="inlineStr">
        <is>
          <t>SOURCE-103</t>
        </is>
      </c>
      <c r="M99" s="5" t="inlineStr">
        <is>
          <t>Medium</t>
        </is>
      </c>
    </row>
    <row r="100" ht="34" customHeight="1">
      <c r="A100" s="15" t="inlineStr">
        <is>
          <t>AWARD-097</t>
        </is>
      </c>
      <c r="B100" s="20" t="inlineStr">
        <is>
          <t>FILM-043</t>
        </is>
      </c>
      <c r="C100" s="5" t="inlineStr">
        <is>
          <t>Devdas</t>
        </is>
      </c>
      <c r="D100" s="17" t="n">
        <v>2003</v>
      </c>
      <c r="E100" s="5" t="inlineStr">
        <is>
          <t>Filmfare Awards (48th)</t>
        </is>
      </c>
      <c r="F100" s="5" t="inlineStr">
        <is>
          <t>Best Choreography</t>
        </is>
      </c>
      <c r="G100" s="5" t="inlineStr">
        <is>
          <t>Saroj Khan (for "Dola Re Dola")</t>
        </is>
      </c>
      <c r="H100" s="5" t="inlineStr">
        <is>
          <t>Technician</t>
        </is>
      </c>
      <c r="I100" s="5" t="inlineStr">
        <is>
          <t>Win</t>
        </is>
      </c>
      <c r="J100" s="5" t="inlineStr">
        <is>
          <t>Competitive</t>
        </is>
      </c>
      <c r="K100" s="5" t="n"/>
      <c r="L100" s="5" t="inlineStr">
        <is>
          <t>SOURCE-103</t>
        </is>
      </c>
      <c r="M100" s="5" t="inlineStr">
        <is>
          <t>Medium</t>
        </is>
      </c>
    </row>
    <row r="101" ht="19" customHeight="1">
      <c r="A101" s="15" t="inlineStr">
        <is>
          <t>AWARD-098</t>
        </is>
      </c>
      <c r="B101" s="20" t="inlineStr">
        <is>
          <t>FILM-043</t>
        </is>
      </c>
      <c r="C101" s="5" t="inlineStr">
        <is>
          <t>Devdas</t>
        </is>
      </c>
      <c r="D101" s="17" t="n">
        <v>2003</v>
      </c>
      <c r="E101" s="5" t="inlineStr">
        <is>
          <t>Filmfare Awards (48th)</t>
        </is>
      </c>
      <c r="F101" s="5" t="inlineStr">
        <is>
          <t>Best Cinematography</t>
        </is>
      </c>
      <c r="G101" s="5" t="inlineStr">
        <is>
          <t>Binod Pradhan</t>
        </is>
      </c>
      <c r="H101" s="5" t="inlineStr">
        <is>
          <t>Technician</t>
        </is>
      </c>
      <c r="I101" s="5" t="inlineStr">
        <is>
          <t>Win</t>
        </is>
      </c>
      <c r="J101" s="5" t="inlineStr">
        <is>
          <t>Competitive</t>
        </is>
      </c>
      <c r="K101" s="5" t="n"/>
      <c r="L101" s="5" t="inlineStr">
        <is>
          <t>SOURCE-103</t>
        </is>
      </c>
      <c r="M101" s="5" t="inlineStr">
        <is>
          <t>Medium</t>
        </is>
      </c>
    </row>
    <row r="102" ht="19" customHeight="1">
      <c r="A102" s="15" t="inlineStr">
        <is>
          <t>AWARD-099</t>
        </is>
      </c>
      <c r="B102" s="20" t="inlineStr">
        <is>
          <t>FILM-043</t>
        </is>
      </c>
      <c r="C102" s="5" t="inlineStr">
        <is>
          <t>Devdas</t>
        </is>
      </c>
      <c r="D102" s="17" t="n">
        <v>2003</v>
      </c>
      <c r="E102" s="5" t="inlineStr">
        <is>
          <t>Filmfare Awards (48th)</t>
        </is>
      </c>
      <c r="F102" s="5" t="inlineStr">
        <is>
          <t>Best Director</t>
        </is>
      </c>
      <c r="G102" s="5" t="inlineStr">
        <is>
          <t>Sanjay Leela Bhansali</t>
        </is>
      </c>
      <c r="H102" s="5" t="inlineStr">
        <is>
          <t>Director</t>
        </is>
      </c>
      <c r="I102" s="5" t="inlineStr">
        <is>
          <t>Win</t>
        </is>
      </c>
      <c r="J102" s="5" t="inlineStr">
        <is>
          <t>Competitive</t>
        </is>
      </c>
      <c r="K102" s="5" t="n"/>
      <c r="L102" s="5" t="inlineStr">
        <is>
          <t>SOURCE-103</t>
        </is>
      </c>
      <c r="M102" s="5" t="inlineStr">
        <is>
          <t>Medium</t>
        </is>
      </c>
    </row>
    <row r="103" ht="19" customHeight="1">
      <c r="A103" s="15" t="inlineStr">
        <is>
          <t>AWARD-100</t>
        </is>
      </c>
      <c r="B103" s="20" t="inlineStr">
        <is>
          <t>FILM-043</t>
        </is>
      </c>
      <c r="C103" s="5" t="inlineStr">
        <is>
          <t>Devdas</t>
        </is>
      </c>
      <c r="D103" s="17" t="n">
        <v>2003</v>
      </c>
      <c r="E103" s="5" t="inlineStr">
        <is>
          <t>Filmfare Awards (48th)</t>
        </is>
      </c>
      <c r="F103" s="5" t="inlineStr">
        <is>
          <t>Best Film</t>
        </is>
      </c>
      <c r="G103" s="5" t="inlineStr">
        <is>
          <t>Devdas</t>
        </is>
      </c>
      <c r="H103" s="5" t="inlineStr">
        <is>
          <t>Film</t>
        </is>
      </c>
      <c r="I103" s="5" t="inlineStr">
        <is>
          <t>Win</t>
        </is>
      </c>
      <c r="J103" s="5" t="inlineStr">
        <is>
          <t>Competitive</t>
        </is>
      </c>
      <c r="K103" s="5" t="n"/>
      <c r="L103" s="5" t="inlineStr">
        <is>
          <t>SOURCE-103</t>
        </is>
      </c>
      <c r="M103" s="5" t="inlineStr">
        <is>
          <t>Medium</t>
        </is>
      </c>
    </row>
    <row r="104" ht="49" customHeight="1">
      <c r="A104" s="15" t="inlineStr">
        <is>
          <t>AWARD-101</t>
        </is>
      </c>
      <c r="B104" s="20" t="inlineStr">
        <is>
          <t>FILM-043</t>
        </is>
      </c>
      <c r="C104" s="5" t="inlineStr">
        <is>
          <t>Devdas</t>
        </is>
      </c>
      <c r="D104" s="17" t="n">
        <v>2003</v>
      </c>
      <c r="E104" s="5" t="inlineStr">
        <is>
          <t>Filmfare Awards (48th)</t>
        </is>
      </c>
      <c r="F104" s="5" t="inlineStr">
        <is>
          <t>Best Playback Singer – Female</t>
        </is>
      </c>
      <c r="G104" s="5" t="inlineStr">
        <is>
          <t>Kavita Krishnamurthy, Shreya Ghoshal (for "Dola Re Dola")</t>
        </is>
      </c>
      <c r="H104" s="5" t="inlineStr">
        <is>
          <t>Music</t>
        </is>
      </c>
      <c r="I104" s="5" t="inlineStr">
        <is>
          <t>Win</t>
        </is>
      </c>
      <c r="J104" s="5" t="inlineStr">
        <is>
          <t>Competitive</t>
        </is>
      </c>
      <c r="K104" s="5" t="n"/>
      <c r="L104" s="5" t="inlineStr">
        <is>
          <t>SOURCE-103</t>
        </is>
      </c>
      <c r="M104" s="5" t="inlineStr">
        <is>
          <t>Medium</t>
        </is>
      </c>
    </row>
    <row r="105" ht="34" customHeight="1">
      <c r="A105" s="15" t="inlineStr">
        <is>
          <t>AWARD-102</t>
        </is>
      </c>
      <c r="B105" s="20" t="inlineStr">
        <is>
          <t>FILM-043</t>
        </is>
      </c>
      <c r="C105" s="5" t="inlineStr">
        <is>
          <t>Devdas</t>
        </is>
      </c>
      <c r="D105" s="17" t="n">
        <v>2003</v>
      </c>
      <c r="E105" s="5" t="inlineStr">
        <is>
          <t>Filmfare Awards (48th)</t>
        </is>
      </c>
      <c r="F105" s="5" t="inlineStr">
        <is>
          <t>Best Scene of the Year</t>
        </is>
      </c>
      <c r="G105" s="5" t="inlineStr">
        <is>
          <t>Confrontation scene between Parvati and Chandramukhi</t>
        </is>
      </c>
      <c r="H105" s="5" t="inlineStr">
        <is>
          <t>Film</t>
        </is>
      </c>
      <c r="I105" s="5" t="inlineStr">
        <is>
          <t>Win</t>
        </is>
      </c>
      <c r="J105" s="5" t="inlineStr">
        <is>
          <t>Competitive</t>
        </is>
      </c>
      <c r="K105" s="5" t="n"/>
      <c r="L105" s="5" t="inlineStr">
        <is>
          <t>SOURCE-103</t>
        </is>
      </c>
      <c r="M105" s="5" t="inlineStr">
        <is>
          <t>Medium</t>
        </is>
      </c>
    </row>
    <row r="106" ht="19" customHeight="1">
      <c r="A106" s="15" t="inlineStr">
        <is>
          <t>AWARD-103</t>
        </is>
      </c>
      <c r="B106" s="20" t="inlineStr">
        <is>
          <t>FILM-043</t>
        </is>
      </c>
      <c r="C106" s="5" t="inlineStr">
        <is>
          <t>Devdas</t>
        </is>
      </c>
      <c r="D106" s="17" t="n">
        <v>2003</v>
      </c>
      <c r="E106" s="5" t="inlineStr">
        <is>
          <t>Filmfare Awards (48th)</t>
        </is>
      </c>
      <c r="F106" s="5" t="inlineStr">
        <is>
          <t>Best Supporting Actress</t>
        </is>
      </c>
      <c r="G106" s="5" t="inlineStr">
        <is>
          <t>Madhuri Dixit</t>
        </is>
      </c>
      <c r="H106" s="5" t="inlineStr">
        <is>
          <t>Performer</t>
        </is>
      </c>
      <c r="I106" s="5" t="inlineStr">
        <is>
          <t>Win</t>
        </is>
      </c>
      <c r="J106" s="5" t="inlineStr">
        <is>
          <t>Competitive</t>
        </is>
      </c>
      <c r="K106" s="5" t="n"/>
      <c r="L106" s="5" t="inlineStr">
        <is>
          <t>SOURCE-103</t>
        </is>
      </c>
      <c r="M106" s="5" t="inlineStr">
        <is>
          <t>Medium</t>
        </is>
      </c>
    </row>
    <row r="107" ht="19" customHeight="1">
      <c r="A107" s="15" t="inlineStr">
        <is>
          <t>AWARD-104</t>
        </is>
      </c>
      <c r="B107" s="20" t="inlineStr">
        <is>
          <t>FILM-043</t>
        </is>
      </c>
      <c r="C107" s="5" t="inlineStr">
        <is>
          <t>Devdas</t>
        </is>
      </c>
      <c r="D107" s="17" t="n">
        <v>2003</v>
      </c>
      <c r="E107" s="5" t="inlineStr">
        <is>
          <t>Filmfare Awards (48th)</t>
        </is>
      </c>
      <c r="F107" s="5" t="inlineStr">
        <is>
          <t>R. D. Burman Award</t>
        </is>
      </c>
      <c r="G107" s="5" t="inlineStr">
        <is>
          <t>Shreya Ghoshal</t>
        </is>
      </c>
      <c r="H107" s="5" t="inlineStr">
        <is>
          <t>Music</t>
        </is>
      </c>
      <c r="I107" s="5" t="inlineStr">
        <is>
          <t>Win</t>
        </is>
      </c>
      <c r="J107" s="5" t="inlineStr">
        <is>
          <t>Honorary</t>
        </is>
      </c>
      <c r="K107" s="5" t="n"/>
      <c r="L107" s="5" t="inlineStr">
        <is>
          <t>SOURCE-103</t>
        </is>
      </c>
      <c r="M107" s="5" t="inlineStr">
        <is>
          <t>Medium</t>
        </is>
      </c>
    </row>
    <row r="108" ht="34" customHeight="1">
      <c r="A108" s="15" t="inlineStr">
        <is>
          <t>AWARD-105</t>
        </is>
      </c>
      <c r="B108" s="20" t="inlineStr">
        <is>
          <t>FILM-043</t>
        </is>
      </c>
      <c r="C108" s="5" t="inlineStr">
        <is>
          <t>Devdas</t>
        </is>
      </c>
      <c r="D108" s="17" t="n">
        <v>2003</v>
      </c>
      <c r="E108" s="5" t="inlineStr">
        <is>
          <t>International Indian Film Academy Awards</t>
        </is>
      </c>
      <c r="F108" s="5" t="inlineStr">
        <is>
          <t>Best Actor</t>
        </is>
      </c>
      <c r="G108" s="5" t="inlineStr">
        <is>
          <t>Shah Rukh Khan</t>
        </is>
      </c>
      <c r="H108" s="5" t="inlineStr">
        <is>
          <t>Actor</t>
        </is>
      </c>
      <c r="I108" s="5" t="inlineStr">
        <is>
          <t>Win</t>
        </is>
      </c>
      <c r="J108" s="5" t="inlineStr">
        <is>
          <t>Competitive</t>
        </is>
      </c>
      <c r="K108" s="5" t="n"/>
      <c r="L108" s="5" t="inlineStr">
        <is>
          <t>SOURCE-002; SOURCE-046</t>
        </is>
      </c>
      <c r="M108" s="5" t="inlineStr">
        <is>
          <t>Medium</t>
        </is>
      </c>
    </row>
    <row r="109" ht="34" customHeight="1">
      <c r="A109" s="15" t="inlineStr">
        <is>
          <t>AWARD-106</t>
        </is>
      </c>
      <c r="B109" s="20" t="inlineStr">
        <is>
          <t>FILM-043</t>
        </is>
      </c>
      <c r="C109" s="5" t="inlineStr">
        <is>
          <t>Devdas</t>
        </is>
      </c>
      <c r="D109" s="17" t="n">
        <v>2003</v>
      </c>
      <c r="E109" s="5" t="inlineStr">
        <is>
          <t>National Film Awards</t>
        </is>
      </c>
      <c r="F109" s="5" t="inlineStr">
        <is>
          <t>Best Choreography</t>
        </is>
      </c>
      <c r="G109" s="5" t="inlineStr">
        <is>
          <t>Saroj Khan (for "Dola Re Dola")</t>
        </is>
      </c>
      <c r="H109" s="5" t="inlineStr">
        <is>
          <t>Technician</t>
        </is>
      </c>
      <c r="I109" s="5" t="inlineStr">
        <is>
          <t>Win</t>
        </is>
      </c>
      <c r="J109" s="5" t="inlineStr">
        <is>
          <t>Competitive</t>
        </is>
      </c>
      <c r="K109" s="5" t="n"/>
      <c r="L109" s="5" t="inlineStr">
        <is>
          <t>SOURCE-103</t>
        </is>
      </c>
      <c r="M109" s="5" t="inlineStr">
        <is>
          <t>Medium</t>
        </is>
      </c>
    </row>
    <row r="110" ht="34" customHeight="1">
      <c r="A110" s="15" t="inlineStr">
        <is>
          <t>AWARD-107</t>
        </is>
      </c>
      <c r="B110" s="20" t="inlineStr">
        <is>
          <t>FILM-043</t>
        </is>
      </c>
      <c r="C110" s="5" t="inlineStr">
        <is>
          <t>Devdas</t>
        </is>
      </c>
      <c r="D110" s="17" t="n">
        <v>2003</v>
      </c>
      <c r="E110" s="5" t="inlineStr">
        <is>
          <t>National Film Awards</t>
        </is>
      </c>
      <c r="F110" s="5" t="inlineStr">
        <is>
          <t>Best Costume Design</t>
        </is>
      </c>
      <c r="G110" s="5" t="inlineStr">
        <is>
          <t>Neeta Lulla, Abu Jani, Sandeep Khosla, Reza Shariffi</t>
        </is>
      </c>
      <c r="H110" s="5" t="inlineStr">
        <is>
          <t>Technician</t>
        </is>
      </c>
      <c r="I110" s="5" t="inlineStr">
        <is>
          <t>Win</t>
        </is>
      </c>
      <c r="J110" s="5" t="inlineStr">
        <is>
          <t>Competitive</t>
        </is>
      </c>
      <c r="K110" s="5" t="n"/>
      <c r="L110" s="5" t="inlineStr">
        <is>
          <t>SOURCE-103</t>
        </is>
      </c>
      <c r="M110" s="5" t="inlineStr">
        <is>
          <t>Medium</t>
        </is>
      </c>
    </row>
    <row r="111" ht="34" customHeight="1">
      <c r="A111" s="15" t="inlineStr">
        <is>
          <t>AWARD-108</t>
        </is>
      </c>
      <c r="B111" s="20" t="inlineStr">
        <is>
          <t>FILM-043</t>
        </is>
      </c>
      <c r="C111" s="5" t="inlineStr">
        <is>
          <t>Devdas</t>
        </is>
      </c>
      <c r="D111" s="17" t="n">
        <v>2003</v>
      </c>
      <c r="E111" s="5" t="inlineStr">
        <is>
          <t>National Film Awards</t>
        </is>
      </c>
      <c r="F111" s="5" t="inlineStr">
        <is>
          <t>Best Female Playback Singer</t>
        </is>
      </c>
      <c r="G111" s="5" t="inlineStr">
        <is>
          <t>Shreya Ghoshal (for "Bairi Piya")</t>
        </is>
      </c>
      <c r="H111" s="5" t="inlineStr">
        <is>
          <t>Music</t>
        </is>
      </c>
      <c r="I111" s="5" t="inlineStr">
        <is>
          <t>Win</t>
        </is>
      </c>
      <c r="J111" s="5" t="inlineStr">
        <is>
          <t>Competitive</t>
        </is>
      </c>
      <c r="K111" s="5" t="n"/>
      <c r="L111" s="5" t="inlineStr">
        <is>
          <t>SOURCE-103</t>
        </is>
      </c>
      <c r="M111" s="5" t="inlineStr">
        <is>
          <t>Medium</t>
        </is>
      </c>
    </row>
    <row r="112" ht="34" customHeight="1">
      <c r="A112" s="15" t="inlineStr">
        <is>
          <t>AWARD-109</t>
        </is>
      </c>
      <c r="B112" s="20" t="inlineStr">
        <is>
          <t>FILM-043</t>
        </is>
      </c>
      <c r="C112" s="5" t="inlineStr">
        <is>
          <t>Devdas</t>
        </is>
      </c>
      <c r="D112" s="17" t="n">
        <v>2003</v>
      </c>
      <c r="E112" s="5" t="inlineStr">
        <is>
          <t>National Film Awards</t>
        </is>
      </c>
      <c r="F112" s="5" t="inlineStr">
        <is>
          <t>Best Popular Film Providing Wholesome Entertainment</t>
        </is>
      </c>
      <c r="G112" s="5" t="inlineStr">
        <is>
          <t>Devdas</t>
        </is>
      </c>
      <c r="H112" s="5" t="inlineStr">
        <is>
          <t>Film</t>
        </is>
      </c>
      <c r="I112" s="5" t="inlineStr">
        <is>
          <t>Win</t>
        </is>
      </c>
      <c r="J112" s="5" t="inlineStr">
        <is>
          <t>Competitive</t>
        </is>
      </c>
      <c r="K112" s="5" t="n"/>
      <c r="L112" s="5" t="inlineStr">
        <is>
          <t>SOURCE-103</t>
        </is>
      </c>
      <c r="M112" s="5" t="inlineStr">
        <is>
          <t>Medium</t>
        </is>
      </c>
    </row>
    <row r="113" ht="19" customHeight="1">
      <c r="A113" s="15" t="inlineStr">
        <is>
          <t>AWARD-110</t>
        </is>
      </c>
      <c r="B113" s="20" t="inlineStr">
        <is>
          <t>FILM-043</t>
        </is>
      </c>
      <c r="C113" s="5" t="inlineStr">
        <is>
          <t>Devdas</t>
        </is>
      </c>
      <c r="D113" s="17" t="n">
        <v>2003</v>
      </c>
      <c r="E113" s="5" t="inlineStr">
        <is>
          <t>National Film Awards</t>
        </is>
      </c>
      <c r="F113" s="5" t="inlineStr">
        <is>
          <t>Best Production Design</t>
        </is>
      </c>
      <c r="G113" s="5" t="inlineStr">
        <is>
          <t>Nitin Chandrakant Desai</t>
        </is>
      </c>
      <c r="H113" s="5" t="inlineStr">
        <is>
          <t>Technician</t>
        </is>
      </c>
      <c r="I113" s="5" t="inlineStr">
        <is>
          <t>Win</t>
        </is>
      </c>
      <c r="J113" s="5" t="inlineStr">
        <is>
          <t>Competitive</t>
        </is>
      </c>
      <c r="K113" s="5" t="n"/>
      <c r="L113" s="5" t="inlineStr">
        <is>
          <t>SOURCE-103</t>
        </is>
      </c>
      <c r="M113" s="5" t="inlineStr">
        <is>
          <t>Medium</t>
        </is>
      </c>
    </row>
    <row r="114" ht="34" customHeight="1">
      <c r="A114" s="15" t="inlineStr">
        <is>
          <t>AWARD-111</t>
        </is>
      </c>
      <c r="B114" s="20" t="inlineStr">
        <is>
          <t>FILM-043</t>
        </is>
      </c>
      <c r="C114" s="5" t="inlineStr">
        <is>
          <t>Devdas</t>
        </is>
      </c>
      <c r="D114" s="17" t="n">
        <v>2003</v>
      </c>
      <c r="E114" s="5" t="inlineStr">
        <is>
          <t>Sansui Viewers' Choice Movie Awards</t>
        </is>
      </c>
      <c r="F114" s="5" t="inlineStr">
        <is>
          <t>Best Actor</t>
        </is>
      </c>
      <c r="G114" s="5" t="inlineStr">
        <is>
          <t>Shah Rukh Khan</t>
        </is>
      </c>
      <c r="H114" s="5" t="inlineStr">
        <is>
          <t>Actor</t>
        </is>
      </c>
      <c r="I114" s="5" t="inlineStr">
        <is>
          <t>Win</t>
        </is>
      </c>
      <c r="J114" s="5" t="inlineStr">
        <is>
          <t>Competitive</t>
        </is>
      </c>
      <c r="K114" s="5" t="n"/>
      <c r="L114" s="5" t="inlineStr">
        <is>
          <t>SOURCE-002; SOURCE-046</t>
        </is>
      </c>
      <c r="M114" s="5" t="inlineStr">
        <is>
          <t>Medium</t>
        </is>
      </c>
    </row>
    <row r="115" ht="19" customHeight="1">
      <c r="A115" s="15" t="inlineStr">
        <is>
          <t>AWARD-112</t>
        </is>
      </c>
      <c r="B115" s="20" t="inlineStr">
        <is>
          <t>FILM-043</t>
        </is>
      </c>
      <c r="C115" s="5" t="inlineStr">
        <is>
          <t>Devdas</t>
        </is>
      </c>
      <c r="D115" s="17" t="n">
        <v>2003</v>
      </c>
      <c r="E115" s="5" t="inlineStr">
        <is>
          <t>Screen Awards</t>
        </is>
      </c>
      <c r="F115" s="5" t="inlineStr">
        <is>
          <t>Best Actor</t>
        </is>
      </c>
      <c r="G115" s="5" t="inlineStr">
        <is>
          <t>Shah Rukh Khan</t>
        </is>
      </c>
      <c r="H115" s="5" t="inlineStr">
        <is>
          <t>Actor</t>
        </is>
      </c>
      <c r="I115" s="5" t="inlineStr">
        <is>
          <t>Win</t>
        </is>
      </c>
      <c r="J115" s="5" t="inlineStr">
        <is>
          <t>Competitive</t>
        </is>
      </c>
      <c r="K115" s="5" t="n"/>
      <c r="L115" s="5" t="inlineStr">
        <is>
          <t>SOURCE-002; SOURCE-046</t>
        </is>
      </c>
      <c r="M115" s="5" t="inlineStr">
        <is>
          <t>Medium</t>
        </is>
      </c>
    </row>
    <row r="116" ht="19" customHeight="1">
      <c r="A116" s="15" t="inlineStr">
        <is>
          <t>AWARD-113</t>
        </is>
      </c>
      <c r="B116" s="20" t="inlineStr">
        <is>
          <t>FILM-043</t>
        </is>
      </c>
      <c r="C116" s="5" t="inlineStr">
        <is>
          <t>Devdas</t>
        </is>
      </c>
      <c r="D116" s="17" t="n">
        <v>2003</v>
      </c>
      <c r="E116" s="5" t="inlineStr">
        <is>
          <t>Screen Awards</t>
        </is>
      </c>
      <c r="F116" s="5" t="inlineStr">
        <is>
          <t>Jodi No. 1</t>
        </is>
      </c>
      <c r="G116" s="5" t="inlineStr">
        <is>
          <t>Shah Rukh Khan</t>
        </is>
      </c>
      <c r="H116" s="5" t="inlineStr">
        <is>
          <t>Actor</t>
        </is>
      </c>
      <c r="I116" s="5" t="inlineStr">
        <is>
          <t>Win</t>
        </is>
      </c>
      <c r="J116" s="5" t="inlineStr">
        <is>
          <t>Competitive</t>
        </is>
      </c>
      <c r="K116" s="5" t="n"/>
      <c r="L116" s="5" t="inlineStr">
        <is>
          <t>SOURCE-002; SOURCE-046</t>
        </is>
      </c>
      <c r="M116" s="5" t="inlineStr">
        <is>
          <t>Medium</t>
        </is>
      </c>
    </row>
    <row r="117" ht="19" customHeight="1">
      <c r="A117" s="15" t="inlineStr">
        <is>
          <t>AWARD-114</t>
        </is>
      </c>
      <c r="B117" s="20" t="inlineStr">
        <is>
          <t>FILM-043</t>
        </is>
      </c>
      <c r="C117" s="5" t="inlineStr">
        <is>
          <t>Devdas</t>
        </is>
      </c>
      <c r="D117" s="17" t="n">
        <v>2003</v>
      </c>
      <c r="E117" s="5" t="inlineStr">
        <is>
          <t>Zee Cine Awards</t>
        </is>
      </c>
      <c r="F117" s="5" t="inlineStr">
        <is>
          <t>Best Actor – Male</t>
        </is>
      </c>
      <c r="G117" s="5" t="inlineStr">
        <is>
          <t>Shah Rukh Khan</t>
        </is>
      </c>
      <c r="H117" s="5" t="inlineStr">
        <is>
          <t>Actor</t>
        </is>
      </c>
      <c r="I117" s="5" t="inlineStr">
        <is>
          <t>Win</t>
        </is>
      </c>
      <c r="J117" s="5" t="inlineStr">
        <is>
          <t>Competitive</t>
        </is>
      </c>
      <c r="K117" s="5" t="n"/>
      <c r="L117" s="5" t="inlineStr">
        <is>
          <t>SOURCE-002; SOURCE-046</t>
        </is>
      </c>
      <c r="M117" s="5" t="inlineStr">
        <is>
          <t>Medium</t>
        </is>
      </c>
    </row>
    <row r="118" ht="19" customHeight="1">
      <c r="A118" s="15" t="inlineStr">
        <is>
          <t>AWARD-115</t>
        </is>
      </c>
      <c r="B118" s="20" t="inlineStr">
        <is>
          <t>FILM-045</t>
        </is>
      </c>
      <c r="C118" s="5" t="inlineStr">
        <is>
          <t>Saathiya</t>
        </is>
      </c>
      <c r="D118" s="17" t="n">
        <v>2003</v>
      </c>
      <c r="E118" s="5" t="inlineStr">
        <is>
          <t>Filmfare Awards (48th)</t>
        </is>
      </c>
      <c r="F118" s="5" t="inlineStr">
        <is>
          <t>Best Actress – Critics</t>
        </is>
      </c>
      <c r="G118" s="5" t="inlineStr">
        <is>
          <t>Rani Mukerji</t>
        </is>
      </c>
      <c r="H118" s="5" t="inlineStr">
        <is>
          <t>Performer</t>
        </is>
      </c>
      <c r="I118" s="5" t="inlineStr">
        <is>
          <t>Win</t>
        </is>
      </c>
      <c r="J118" s="5" t="inlineStr">
        <is>
          <t>Competitive</t>
        </is>
      </c>
      <c r="K118" s="5" t="n"/>
      <c r="L118" s="5" t="inlineStr">
        <is>
          <t>SOURCE-048</t>
        </is>
      </c>
      <c r="M118" s="5" t="inlineStr">
        <is>
          <t>Medium</t>
        </is>
      </c>
    </row>
    <row r="119" ht="19" customHeight="1">
      <c r="A119" s="15" t="inlineStr">
        <is>
          <t>AWARD-116</t>
        </is>
      </c>
      <c r="B119" s="20" t="inlineStr">
        <is>
          <t>FILM-045</t>
        </is>
      </c>
      <c r="C119" s="5" t="inlineStr">
        <is>
          <t>Saathiya</t>
        </is>
      </c>
      <c r="D119" s="17" t="n">
        <v>2003</v>
      </c>
      <c r="E119" s="5" t="inlineStr">
        <is>
          <t>Filmfare Awards (48th)</t>
        </is>
      </c>
      <c r="F119" s="5" t="inlineStr">
        <is>
          <t>Best Dialogue</t>
        </is>
      </c>
      <c r="G119" s="5" t="inlineStr">
        <is>
          <t>Gulzar</t>
        </is>
      </c>
      <c r="H119" s="5" t="inlineStr">
        <is>
          <t>Writer</t>
        </is>
      </c>
      <c r="I119" s="5" t="inlineStr">
        <is>
          <t>Win</t>
        </is>
      </c>
      <c r="J119" s="5" t="inlineStr">
        <is>
          <t>Competitive</t>
        </is>
      </c>
      <c r="K119" s="5" t="n"/>
      <c r="L119" s="5" t="inlineStr">
        <is>
          <t>SOURCE-048</t>
        </is>
      </c>
      <c r="M119" s="5" t="inlineStr">
        <is>
          <t>Medium</t>
        </is>
      </c>
    </row>
    <row r="120" ht="19" customHeight="1">
      <c r="A120" s="15" t="inlineStr">
        <is>
          <t>AWARD-117</t>
        </is>
      </c>
      <c r="B120" s="20" t="inlineStr">
        <is>
          <t>FILM-045</t>
        </is>
      </c>
      <c r="C120" s="5" t="inlineStr">
        <is>
          <t>Saathiya</t>
        </is>
      </c>
      <c r="D120" s="17" t="n">
        <v>2003</v>
      </c>
      <c r="E120" s="5" t="inlineStr">
        <is>
          <t>Filmfare Awards (48th)</t>
        </is>
      </c>
      <c r="F120" s="5" t="inlineStr">
        <is>
          <t>Best Lyricist</t>
        </is>
      </c>
      <c r="G120" s="5" t="inlineStr">
        <is>
          <t>Gulzar for "Saathiya"</t>
        </is>
      </c>
      <c r="H120" s="5" t="inlineStr">
        <is>
          <t>Music</t>
        </is>
      </c>
      <c r="I120" s="5" t="inlineStr">
        <is>
          <t>Win</t>
        </is>
      </c>
      <c r="J120" s="5" t="inlineStr">
        <is>
          <t>Competitive</t>
        </is>
      </c>
      <c r="K120" s="5" t="n"/>
      <c r="L120" s="5" t="inlineStr">
        <is>
          <t>SOURCE-048</t>
        </is>
      </c>
      <c r="M120" s="5" t="inlineStr">
        <is>
          <t>Medium</t>
        </is>
      </c>
    </row>
    <row r="121" ht="19" customHeight="1">
      <c r="A121" s="15" t="inlineStr">
        <is>
          <t>AWARD-118</t>
        </is>
      </c>
      <c r="B121" s="20" t="inlineStr">
        <is>
          <t>FILM-045</t>
        </is>
      </c>
      <c r="C121" s="5" t="inlineStr">
        <is>
          <t>Saathiya</t>
        </is>
      </c>
      <c r="D121" s="17" t="n">
        <v>2003</v>
      </c>
      <c r="E121" s="5" t="inlineStr">
        <is>
          <t>Filmfare Awards (48th)</t>
        </is>
      </c>
      <c r="F121" s="5" t="inlineStr">
        <is>
          <t>Best Male Playback Singer</t>
        </is>
      </c>
      <c r="G121" s="5" t="inlineStr">
        <is>
          <t>Sonu Nigam for "Saathiya"</t>
        </is>
      </c>
      <c r="H121" s="5" t="inlineStr">
        <is>
          <t>Music</t>
        </is>
      </c>
      <c r="I121" s="5" t="inlineStr">
        <is>
          <t>Win</t>
        </is>
      </c>
      <c r="J121" s="5" t="inlineStr">
        <is>
          <t>Competitive</t>
        </is>
      </c>
      <c r="K121" s="5" t="n"/>
      <c r="L121" s="5" t="inlineStr">
        <is>
          <t>SOURCE-048</t>
        </is>
      </c>
      <c r="M121" s="5" t="inlineStr">
        <is>
          <t>Medium</t>
        </is>
      </c>
    </row>
    <row r="122" ht="19" customHeight="1">
      <c r="A122" s="15" t="inlineStr">
        <is>
          <t>AWARD-119</t>
        </is>
      </c>
      <c r="B122" s="20" t="inlineStr">
        <is>
          <t>FILM-045</t>
        </is>
      </c>
      <c r="C122" s="5" t="inlineStr">
        <is>
          <t>Saathiya</t>
        </is>
      </c>
      <c r="D122" s="17" t="n">
        <v>2003</v>
      </c>
      <c r="E122" s="5" t="inlineStr">
        <is>
          <t>Filmfare Awards (48th)</t>
        </is>
      </c>
      <c r="F122" s="5" t="inlineStr">
        <is>
          <t>Best Music Director</t>
        </is>
      </c>
      <c r="G122" s="5" t="inlineStr">
        <is>
          <t>A. R. Rahman</t>
        </is>
      </c>
      <c r="H122" s="5" t="inlineStr">
        <is>
          <t>Music</t>
        </is>
      </c>
      <c r="I122" s="5" t="inlineStr">
        <is>
          <t>Win</t>
        </is>
      </c>
      <c r="J122" s="5" t="inlineStr">
        <is>
          <t>Competitive</t>
        </is>
      </c>
      <c r="K122" s="5" t="n"/>
      <c r="L122" s="5" t="inlineStr">
        <is>
          <t>SOURCE-048</t>
        </is>
      </c>
      <c r="M122" s="5" t="inlineStr">
        <is>
          <t>Medium</t>
        </is>
      </c>
    </row>
    <row r="123" ht="19" customHeight="1">
      <c r="A123" s="15" t="inlineStr">
        <is>
          <t>AWARD-120</t>
        </is>
      </c>
      <c r="B123" s="20" t="inlineStr">
        <is>
          <t>FILM-045</t>
        </is>
      </c>
      <c r="C123" s="5" t="inlineStr">
        <is>
          <t>Saathiya</t>
        </is>
      </c>
      <c r="D123" s="17" t="n">
        <v>2003</v>
      </c>
      <c r="E123" s="5" t="inlineStr">
        <is>
          <t>Filmfare Awards (48th)</t>
        </is>
      </c>
      <c r="F123" s="5" t="inlineStr">
        <is>
          <t>Best Screenplay</t>
        </is>
      </c>
      <c r="G123" s="5" t="inlineStr">
        <is>
          <t>Mani Ratnam</t>
        </is>
      </c>
      <c r="H123" s="5" t="inlineStr">
        <is>
          <t>Writer</t>
        </is>
      </c>
      <c r="I123" s="5" t="inlineStr">
        <is>
          <t>Win</t>
        </is>
      </c>
      <c r="J123" s="5" t="inlineStr">
        <is>
          <t>Competitive</t>
        </is>
      </c>
      <c r="K123" s="5" t="n"/>
      <c r="L123" s="5" t="inlineStr">
        <is>
          <t>SOURCE-048</t>
        </is>
      </c>
      <c r="M123" s="5" t="inlineStr">
        <is>
          <t>Medium</t>
        </is>
      </c>
    </row>
    <row r="124" ht="19" customHeight="1">
      <c r="A124" s="15" t="inlineStr">
        <is>
          <t>AWARD-121</t>
        </is>
      </c>
      <c r="B124" s="20" t="n"/>
      <c r="C124" s="5" t="n"/>
      <c r="D124" s="17" t="n">
        <v>2003</v>
      </c>
      <c r="E124" s="5" t="inlineStr">
        <is>
          <t>Filmfare Awards</t>
        </is>
      </c>
      <c r="F124" s="5" t="inlineStr">
        <is>
          <t>Swiss Consulate Special Award</t>
        </is>
      </c>
      <c r="G124" s="5" t="inlineStr">
        <is>
          <t>Shah Rukh Khan</t>
        </is>
      </c>
      <c r="H124" s="5" t="inlineStr">
        <is>
          <t>Individual</t>
        </is>
      </c>
      <c r="I124" s="5" t="inlineStr">
        <is>
          <t>Win</t>
        </is>
      </c>
      <c r="J124" s="5" t="inlineStr">
        <is>
          <t>Honorary</t>
        </is>
      </c>
      <c r="K124" s="5" t="n"/>
      <c r="L124" s="5" t="inlineStr">
        <is>
          <t>SOURCE-002</t>
        </is>
      </c>
      <c r="M124" s="5" t="inlineStr">
        <is>
          <t>Medium</t>
        </is>
      </c>
    </row>
    <row r="125" ht="19" customHeight="1">
      <c r="A125" s="15" t="inlineStr">
        <is>
          <t>AWARD-122</t>
        </is>
      </c>
      <c r="B125" s="20" t="inlineStr">
        <is>
          <t>FILM-047</t>
        </is>
      </c>
      <c r="C125" s="5" t="inlineStr">
        <is>
          <t>Kal Ho Naa Ho</t>
        </is>
      </c>
      <c r="D125" s="17" t="n">
        <v>2004</v>
      </c>
      <c r="E125" s="5" t="inlineStr">
        <is>
          <t>Filmfare Awards</t>
        </is>
      </c>
      <c r="F125" s="5" t="inlineStr">
        <is>
          <t>Best Actor</t>
        </is>
      </c>
      <c r="G125" s="5" t="inlineStr">
        <is>
          <t>Shah Rukh Khan</t>
        </is>
      </c>
      <c r="H125" s="5" t="inlineStr">
        <is>
          <t>Actor</t>
        </is>
      </c>
      <c r="I125" s="5" t="inlineStr">
        <is>
          <t>Nomination</t>
        </is>
      </c>
      <c r="J125" s="5" t="inlineStr">
        <is>
          <t>Competitive</t>
        </is>
      </c>
      <c r="K125" s="5" t="n"/>
      <c r="L125" s="5" t="inlineStr">
        <is>
          <t>SOURCE-002; SOURCE-050</t>
        </is>
      </c>
      <c r="M125" s="5" t="inlineStr">
        <is>
          <t>Medium</t>
        </is>
      </c>
    </row>
    <row r="126" ht="19" customHeight="1">
      <c r="A126" s="15" t="inlineStr">
        <is>
          <t>AWARD-123</t>
        </is>
      </c>
      <c r="B126" s="20" t="inlineStr">
        <is>
          <t>FILM-047</t>
        </is>
      </c>
      <c r="C126" s="5" t="inlineStr">
        <is>
          <t>Kal Ho Naa Ho</t>
        </is>
      </c>
      <c r="D126" s="17" t="n">
        <v>2004</v>
      </c>
      <c r="E126" s="5" t="inlineStr">
        <is>
          <t>Filmfare Awards (49th)</t>
        </is>
      </c>
      <c r="F126" s="5" t="inlineStr">
        <is>
          <t>Best Actress</t>
        </is>
      </c>
      <c r="G126" s="5" t="inlineStr">
        <is>
          <t>Preity Zinta</t>
        </is>
      </c>
      <c r="H126" s="5" t="inlineStr">
        <is>
          <t>Performer</t>
        </is>
      </c>
      <c r="I126" s="5" t="inlineStr">
        <is>
          <t>Win</t>
        </is>
      </c>
      <c r="J126" s="5" t="inlineStr">
        <is>
          <t>Competitive</t>
        </is>
      </c>
      <c r="K126" s="5" t="n"/>
      <c r="L126" s="5" t="inlineStr">
        <is>
          <t>SOURCE-104</t>
        </is>
      </c>
      <c r="M126" s="5" t="inlineStr">
        <is>
          <t>Medium</t>
        </is>
      </c>
    </row>
    <row r="127" ht="19" customHeight="1">
      <c r="A127" s="15" t="inlineStr">
        <is>
          <t>AWARD-124</t>
        </is>
      </c>
      <c r="B127" s="20" t="inlineStr">
        <is>
          <t>FILM-047</t>
        </is>
      </c>
      <c r="C127" s="5" t="inlineStr">
        <is>
          <t>Kal Ho Naa Ho</t>
        </is>
      </c>
      <c r="D127" s="17" t="n">
        <v>2004</v>
      </c>
      <c r="E127" s="5" t="inlineStr">
        <is>
          <t>Filmfare Awards (49th)</t>
        </is>
      </c>
      <c r="F127" s="5" t="inlineStr">
        <is>
          <t>Best Lyricist</t>
        </is>
      </c>
      <c r="G127" s="5" t="inlineStr">
        <is>
          <t>Javed Akhtar</t>
        </is>
      </c>
      <c r="H127" s="5" t="inlineStr">
        <is>
          <t>Music</t>
        </is>
      </c>
      <c r="I127" s="5" t="inlineStr">
        <is>
          <t>Win</t>
        </is>
      </c>
      <c r="J127" s="5" t="inlineStr">
        <is>
          <t>Competitive</t>
        </is>
      </c>
      <c r="K127" s="5" t="n"/>
      <c r="L127" s="5" t="inlineStr">
        <is>
          <t>SOURCE-104</t>
        </is>
      </c>
      <c r="M127" s="5" t="inlineStr">
        <is>
          <t>Medium</t>
        </is>
      </c>
    </row>
    <row r="128" ht="34" customHeight="1">
      <c r="A128" s="15" t="inlineStr">
        <is>
          <t>AWARD-125</t>
        </is>
      </c>
      <c r="B128" s="20" t="inlineStr">
        <is>
          <t>FILM-047</t>
        </is>
      </c>
      <c r="C128" s="5" t="inlineStr">
        <is>
          <t>Kal Ho Naa Ho</t>
        </is>
      </c>
      <c r="D128" s="17" t="n">
        <v>2004</v>
      </c>
      <c r="E128" s="5" t="inlineStr">
        <is>
          <t>Filmfare Awards (49th)</t>
        </is>
      </c>
      <c r="F128" s="5" t="inlineStr">
        <is>
          <t>Best Male Playback Singer</t>
        </is>
      </c>
      <c r="G128" s="5" t="inlineStr">
        <is>
          <t>Sonu Nigam for "Kal Ho Naa Ho"</t>
        </is>
      </c>
      <c r="H128" s="5" t="inlineStr">
        <is>
          <t>Music</t>
        </is>
      </c>
      <c r="I128" s="5" t="inlineStr">
        <is>
          <t>Win</t>
        </is>
      </c>
      <c r="J128" s="5" t="inlineStr">
        <is>
          <t>Competitive</t>
        </is>
      </c>
      <c r="K128" s="5" t="n"/>
      <c r="L128" s="5" t="inlineStr">
        <is>
          <t>SOURCE-104</t>
        </is>
      </c>
      <c r="M128" s="5" t="inlineStr">
        <is>
          <t>Medium</t>
        </is>
      </c>
    </row>
    <row r="129" ht="19" customHeight="1">
      <c r="A129" s="15" t="inlineStr">
        <is>
          <t>AWARD-126</t>
        </is>
      </c>
      <c r="B129" s="20" t="inlineStr">
        <is>
          <t>FILM-047</t>
        </is>
      </c>
      <c r="C129" s="5" t="inlineStr">
        <is>
          <t>Kal Ho Naa Ho</t>
        </is>
      </c>
      <c r="D129" s="17" t="n">
        <v>2004</v>
      </c>
      <c r="E129" s="5" t="inlineStr">
        <is>
          <t>Filmfare Awards (49th)</t>
        </is>
      </c>
      <c r="F129" s="5" t="inlineStr">
        <is>
          <t>Best Music Director</t>
        </is>
      </c>
      <c r="G129" s="5" t="inlineStr">
        <is>
          <t>Shankar–Ehsaan–Loy</t>
        </is>
      </c>
      <c r="H129" s="5" t="inlineStr">
        <is>
          <t>Music</t>
        </is>
      </c>
      <c r="I129" s="5" t="inlineStr">
        <is>
          <t>Win</t>
        </is>
      </c>
      <c r="J129" s="5" t="inlineStr">
        <is>
          <t>Competitive</t>
        </is>
      </c>
      <c r="K129" s="5" t="n"/>
      <c r="L129" s="5" t="inlineStr">
        <is>
          <t>SOURCE-104</t>
        </is>
      </c>
      <c r="M129" s="5" t="inlineStr">
        <is>
          <t>Medium</t>
        </is>
      </c>
    </row>
    <row r="130" ht="19" customHeight="1">
      <c r="A130" s="15" t="inlineStr">
        <is>
          <t>AWARD-127</t>
        </is>
      </c>
      <c r="B130" s="20" t="inlineStr">
        <is>
          <t>FILM-047</t>
        </is>
      </c>
      <c r="C130" s="5" t="inlineStr">
        <is>
          <t>Kal Ho Naa Ho</t>
        </is>
      </c>
      <c r="D130" s="17" t="n">
        <v>2004</v>
      </c>
      <c r="E130" s="5" t="inlineStr">
        <is>
          <t>Filmfare Awards (49th)</t>
        </is>
      </c>
      <c r="F130" s="5" t="inlineStr">
        <is>
          <t>Best Scene of the Year</t>
        </is>
      </c>
      <c r="G130" s="5" t="inlineStr">
        <is>
          <t>"The Diary Scene"</t>
        </is>
      </c>
      <c r="H130" s="5" t="inlineStr">
        <is>
          <t>Film</t>
        </is>
      </c>
      <c r="I130" s="5" t="inlineStr">
        <is>
          <t>Win</t>
        </is>
      </c>
      <c r="J130" s="5" t="inlineStr">
        <is>
          <t>Competitive</t>
        </is>
      </c>
      <c r="K130" s="5" t="n"/>
      <c r="L130" s="5" t="inlineStr">
        <is>
          <t>SOURCE-104</t>
        </is>
      </c>
      <c r="M130" s="5" t="inlineStr">
        <is>
          <t>Medium</t>
        </is>
      </c>
    </row>
    <row r="131" ht="19" customHeight="1">
      <c r="A131" s="15" t="inlineStr">
        <is>
          <t>AWARD-128</t>
        </is>
      </c>
      <c r="B131" s="20" t="inlineStr">
        <is>
          <t>FILM-047</t>
        </is>
      </c>
      <c r="C131" s="5" t="inlineStr">
        <is>
          <t>Kal Ho Naa Ho</t>
        </is>
      </c>
      <c r="D131" s="17" t="n">
        <v>2004</v>
      </c>
      <c r="E131" s="5" t="inlineStr">
        <is>
          <t>Filmfare Awards (49th)</t>
        </is>
      </c>
      <c r="F131" s="5" t="inlineStr">
        <is>
          <t>Best Supporting Actor</t>
        </is>
      </c>
      <c r="G131" s="5" t="inlineStr">
        <is>
          <t>Saif Ali Khan</t>
        </is>
      </c>
      <c r="H131" s="5" t="inlineStr">
        <is>
          <t>Performer</t>
        </is>
      </c>
      <c r="I131" s="5" t="inlineStr">
        <is>
          <t>Win</t>
        </is>
      </c>
      <c r="J131" s="5" t="inlineStr">
        <is>
          <t>Competitive</t>
        </is>
      </c>
      <c r="K131" s="5" t="n"/>
      <c r="L131" s="5" t="inlineStr">
        <is>
          <t>SOURCE-104</t>
        </is>
      </c>
      <c r="M131" s="5" t="inlineStr">
        <is>
          <t>Medium</t>
        </is>
      </c>
    </row>
    <row r="132" ht="19" customHeight="1">
      <c r="A132" s="15" t="inlineStr">
        <is>
          <t>AWARD-129</t>
        </is>
      </c>
      <c r="B132" s="20" t="inlineStr">
        <is>
          <t>FILM-047</t>
        </is>
      </c>
      <c r="C132" s="5" t="inlineStr">
        <is>
          <t>Kal Ho Naa Ho</t>
        </is>
      </c>
      <c r="D132" s="17" t="n">
        <v>2004</v>
      </c>
      <c r="E132" s="5" t="inlineStr">
        <is>
          <t>Filmfare Awards (49th)</t>
        </is>
      </c>
      <c r="F132" s="5" t="inlineStr">
        <is>
          <t>Best Supporting Actress</t>
        </is>
      </c>
      <c r="G132" s="5" t="inlineStr">
        <is>
          <t>Jaya Bachchan</t>
        </is>
      </c>
      <c r="H132" s="5" t="inlineStr">
        <is>
          <t>Performer</t>
        </is>
      </c>
      <c r="I132" s="5" t="inlineStr">
        <is>
          <t>Win</t>
        </is>
      </c>
      <c r="J132" s="5" t="inlineStr">
        <is>
          <t>Competitive</t>
        </is>
      </c>
      <c r="K132" s="5" t="n"/>
      <c r="L132" s="5" t="inlineStr">
        <is>
          <t>SOURCE-104</t>
        </is>
      </c>
      <c r="M132" s="5" t="inlineStr">
        <is>
          <t>Medium</t>
        </is>
      </c>
    </row>
    <row r="133" ht="19" customHeight="1">
      <c r="A133" s="15" t="inlineStr">
        <is>
          <t>AWARD-130</t>
        </is>
      </c>
      <c r="B133" s="20" t="inlineStr">
        <is>
          <t>FILM-047</t>
        </is>
      </c>
      <c r="C133" s="5" t="inlineStr">
        <is>
          <t>Kal Ho Naa Ho</t>
        </is>
      </c>
      <c r="D133" s="17" t="n">
        <v>2004</v>
      </c>
      <c r="E133" s="5" t="inlineStr">
        <is>
          <t>Filmfare Awards (49th)</t>
        </is>
      </c>
      <c r="F133" s="5" t="inlineStr">
        <is>
          <t>Motolook of the Year</t>
        </is>
      </c>
      <c r="G133" s="5" t="inlineStr">
        <is>
          <t>Preity Zinta</t>
        </is>
      </c>
      <c r="H133" s="5" t="inlineStr">
        <is>
          <t>Performer</t>
        </is>
      </c>
      <c r="I133" s="5" t="inlineStr">
        <is>
          <t>Win</t>
        </is>
      </c>
      <c r="J133" s="5" t="inlineStr">
        <is>
          <t>Honorary</t>
        </is>
      </c>
      <c r="K133" s="5" t="n"/>
      <c r="L133" s="5" t="inlineStr">
        <is>
          <t>SOURCE-104</t>
        </is>
      </c>
      <c r="M133" s="5" t="inlineStr">
        <is>
          <t>Medium</t>
        </is>
      </c>
    </row>
    <row r="134" ht="34" customHeight="1">
      <c r="A134" s="15" t="inlineStr">
        <is>
          <t>AWARD-131</t>
        </is>
      </c>
      <c r="B134" s="20" t="inlineStr">
        <is>
          <t>FILM-047</t>
        </is>
      </c>
      <c r="C134" s="5" t="inlineStr">
        <is>
          <t>Kal Ho Naa Ho</t>
        </is>
      </c>
      <c r="D134" s="17" t="n">
        <v>2004</v>
      </c>
      <c r="E134" s="5" t="inlineStr">
        <is>
          <t>Sansui Viewers' Choice Movie Awards</t>
        </is>
      </c>
      <c r="F134" s="5" t="inlineStr">
        <is>
          <t>Best Actor (Jury)</t>
        </is>
      </c>
      <c r="G134" s="5" t="inlineStr">
        <is>
          <t>Shah Rukh Khan</t>
        </is>
      </c>
      <c r="H134" s="5" t="inlineStr">
        <is>
          <t>Actor</t>
        </is>
      </c>
      <c r="I134" s="5" t="inlineStr">
        <is>
          <t>Win</t>
        </is>
      </c>
      <c r="J134" s="5" t="inlineStr">
        <is>
          <t>Competitive</t>
        </is>
      </c>
      <c r="K134" s="5" t="n"/>
      <c r="L134" s="5" t="inlineStr">
        <is>
          <t>SOURCE-002; SOURCE-050</t>
        </is>
      </c>
      <c r="M134" s="5" t="inlineStr">
        <is>
          <t>Medium</t>
        </is>
      </c>
    </row>
    <row r="135" ht="19" customHeight="1">
      <c r="A135" s="15" t="inlineStr">
        <is>
          <t>AWARD-132</t>
        </is>
      </c>
      <c r="B135" s="20" t="n"/>
      <c r="C135" s="5" t="n"/>
      <c r="D135" s="17" t="n">
        <v>2004</v>
      </c>
      <c r="E135" s="5" t="inlineStr">
        <is>
          <t>Filmfare Awards</t>
        </is>
      </c>
      <c r="F135" s="5" t="inlineStr">
        <is>
          <t>Power Award</t>
        </is>
      </c>
      <c r="G135" s="5" t="inlineStr">
        <is>
          <t>Shah Rukh Khan</t>
        </is>
      </c>
      <c r="H135" s="5" t="inlineStr">
        <is>
          <t>Individual</t>
        </is>
      </c>
      <c r="I135" s="5" t="inlineStr">
        <is>
          <t>Win</t>
        </is>
      </c>
      <c r="J135" s="5" t="inlineStr">
        <is>
          <t>Honorary</t>
        </is>
      </c>
      <c r="K135" s="5" t="n"/>
      <c r="L135" s="5" t="inlineStr">
        <is>
          <t>SOURCE-002</t>
        </is>
      </c>
      <c r="M135" s="5" t="inlineStr">
        <is>
          <t>Medium</t>
        </is>
      </c>
    </row>
    <row r="136" ht="34" customHeight="1">
      <c r="A136" s="15" t="inlineStr">
        <is>
          <t>AWARD-133</t>
        </is>
      </c>
      <c r="B136" s="20" t="inlineStr">
        <is>
          <t>FILM-047</t>
        </is>
      </c>
      <c r="C136" s="5" t="inlineStr">
        <is>
          <t>Kal Ho Naa Ho</t>
        </is>
      </c>
      <c r="D136" s="17" t="n">
        <v>2005</v>
      </c>
      <c r="E136" s="5" t="inlineStr">
        <is>
          <t>National Film Awards</t>
        </is>
      </c>
      <c r="F136" s="5" t="inlineStr">
        <is>
          <t>Best Male Playback Singer</t>
        </is>
      </c>
      <c r="G136" s="5" t="inlineStr">
        <is>
          <t>Sonu Nigam for "Kal Ho Naa Ho"</t>
        </is>
      </c>
      <c r="H136" s="5" t="inlineStr">
        <is>
          <t>Music</t>
        </is>
      </c>
      <c r="I136" s="5" t="inlineStr">
        <is>
          <t>Win</t>
        </is>
      </c>
      <c r="J136" s="5" t="inlineStr">
        <is>
          <t>Competitive</t>
        </is>
      </c>
      <c r="K136" s="5" t="n"/>
      <c r="L136" s="5" t="inlineStr">
        <is>
          <t>SOURCE-104</t>
        </is>
      </c>
      <c r="M136" s="5" t="inlineStr">
        <is>
          <t>Medium</t>
        </is>
      </c>
    </row>
    <row r="137" ht="19" customHeight="1">
      <c r="A137" s="15" t="inlineStr">
        <is>
          <t>AWARD-134</t>
        </is>
      </c>
      <c r="B137" s="20" t="inlineStr">
        <is>
          <t>FILM-047</t>
        </is>
      </c>
      <c r="C137" s="5" t="inlineStr">
        <is>
          <t>Kal Ho Naa Ho</t>
        </is>
      </c>
      <c r="D137" s="17" t="n">
        <v>2005</v>
      </c>
      <c r="E137" s="5" t="inlineStr">
        <is>
          <t>National Film Awards</t>
        </is>
      </c>
      <c r="F137" s="5" t="inlineStr">
        <is>
          <t>Best Music Direction</t>
        </is>
      </c>
      <c r="G137" s="5" t="inlineStr">
        <is>
          <t>Shankar–Ehsaan–Loy</t>
        </is>
      </c>
      <c r="H137" s="5" t="inlineStr">
        <is>
          <t>Music</t>
        </is>
      </c>
      <c r="I137" s="5" t="inlineStr">
        <is>
          <t>Win</t>
        </is>
      </c>
      <c r="J137" s="5" t="inlineStr">
        <is>
          <t>Competitive</t>
        </is>
      </c>
      <c r="K137" s="5" t="n"/>
      <c r="L137" s="5" t="inlineStr">
        <is>
          <t>SOURCE-104</t>
        </is>
      </c>
      <c r="M137" s="5" t="inlineStr">
        <is>
          <t>Medium</t>
        </is>
      </c>
    </row>
    <row r="138" ht="19" customHeight="1">
      <c r="A138" s="15" t="inlineStr">
        <is>
          <t>AWARD-135</t>
        </is>
      </c>
      <c r="B138" s="20" t="inlineStr">
        <is>
          <t>FILM-049</t>
        </is>
      </c>
      <c r="C138" s="5" t="inlineStr">
        <is>
          <t>Main Hoon Na</t>
        </is>
      </c>
      <c r="D138" s="17" t="n">
        <v>2005</v>
      </c>
      <c r="E138" s="5" t="inlineStr">
        <is>
          <t>Filmfare Awards</t>
        </is>
      </c>
      <c r="F138" s="5" t="inlineStr">
        <is>
          <t>Best Actor</t>
        </is>
      </c>
      <c r="G138" s="5" t="inlineStr">
        <is>
          <t>Shah Rukh Khan</t>
        </is>
      </c>
      <c r="H138" s="5" t="inlineStr">
        <is>
          <t>Actor</t>
        </is>
      </c>
      <c r="I138" s="5" t="inlineStr">
        <is>
          <t>Nomination</t>
        </is>
      </c>
      <c r="J138" s="5" t="inlineStr">
        <is>
          <t>Competitive</t>
        </is>
      </c>
      <c r="K138" s="5" t="n"/>
      <c r="L138" s="5" t="inlineStr">
        <is>
          <t>SOURCE-002; SOURCE-052</t>
        </is>
      </c>
      <c r="M138" s="5" t="inlineStr">
        <is>
          <t>Medium</t>
        </is>
      </c>
    </row>
    <row r="139" ht="19" customHeight="1">
      <c r="A139" s="15" t="inlineStr">
        <is>
          <t>AWARD-136</t>
        </is>
      </c>
      <c r="B139" s="20" t="inlineStr">
        <is>
          <t>FILM-049</t>
        </is>
      </c>
      <c r="C139" s="5" t="inlineStr">
        <is>
          <t>Main Hoon Na</t>
        </is>
      </c>
      <c r="D139" s="17" t="n">
        <v>2005</v>
      </c>
      <c r="E139" s="5" t="inlineStr">
        <is>
          <t>Filmfare Awards (50th)</t>
        </is>
      </c>
      <c r="F139" s="5" t="inlineStr">
        <is>
          <t>Best Music Director</t>
        </is>
      </c>
      <c r="G139" s="5" t="inlineStr">
        <is>
          <t>Anu Malik</t>
        </is>
      </c>
      <c r="H139" s="5" t="inlineStr">
        <is>
          <t>Music</t>
        </is>
      </c>
      <c r="I139" s="5" t="inlineStr">
        <is>
          <t>Win</t>
        </is>
      </c>
      <c r="J139" s="5" t="inlineStr">
        <is>
          <t>Competitive</t>
        </is>
      </c>
      <c r="K139" s="5" t="n"/>
      <c r="L139" s="5" t="inlineStr">
        <is>
          <t>SOURCE-052</t>
        </is>
      </c>
      <c r="M139" s="5" t="inlineStr">
        <is>
          <t>Medium</t>
        </is>
      </c>
    </row>
    <row r="140" ht="19" customHeight="1">
      <c r="A140" s="15" t="inlineStr">
        <is>
          <t>AWARD-137</t>
        </is>
      </c>
      <c r="B140" s="20" t="inlineStr">
        <is>
          <t>FILM-050</t>
        </is>
      </c>
      <c r="C140" s="5" t="inlineStr">
        <is>
          <t>Veer-Zaara</t>
        </is>
      </c>
      <c r="D140" s="17" t="n">
        <v>2005</v>
      </c>
      <c r="E140" s="5" t="inlineStr">
        <is>
          <t>Bollywood Movie Awards</t>
        </is>
      </c>
      <c r="F140" s="5" t="inlineStr">
        <is>
          <t>Best Actor</t>
        </is>
      </c>
      <c r="G140" s="5" t="inlineStr">
        <is>
          <t>Shah Rukh Khan</t>
        </is>
      </c>
      <c r="H140" s="5" t="inlineStr">
        <is>
          <t>Actor</t>
        </is>
      </c>
      <c r="I140" s="5" t="inlineStr">
        <is>
          <t>Win</t>
        </is>
      </c>
      <c r="J140" s="5" t="inlineStr">
        <is>
          <t>Competitive</t>
        </is>
      </c>
      <c r="K140" s="5" t="n"/>
      <c r="L140" s="5" t="inlineStr">
        <is>
          <t>SOURCE-002; SOURCE-053</t>
        </is>
      </c>
      <c r="M140" s="5" t="inlineStr">
        <is>
          <t>Medium</t>
        </is>
      </c>
    </row>
    <row r="141" ht="19" customHeight="1">
      <c r="A141" s="15" t="inlineStr">
        <is>
          <t>AWARD-138</t>
        </is>
      </c>
      <c r="B141" s="20" t="inlineStr">
        <is>
          <t>FILM-050</t>
        </is>
      </c>
      <c r="C141" s="5" t="inlineStr">
        <is>
          <t>Veer-Zaara</t>
        </is>
      </c>
      <c r="D141" s="17" t="n">
        <v>2005</v>
      </c>
      <c r="E141" s="5" t="inlineStr">
        <is>
          <t>Filmfare Awards</t>
        </is>
      </c>
      <c r="F141" s="5" t="inlineStr">
        <is>
          <t>Best Actor</t>
        </is>
      </c>
      <c r="G141" s="5" t="inlineStr">
        <is>
          <t>Shah Rukh Khan</t>
        </is>
      </c>
      <c r="H141" s="5" t="inlineStr">
        <is>
          <t>Actor</t>
        </is>
      </c>
      <c r="I141" s="5" t="inlineStr">
        <is>
          <t>Nomination</t>
        </is>
      </c>
      <c r="J141" s="5" t="inlineStr">
        <is>
          <t>Competitive</t>
        </is>
      </c>
      <c r="K141" s="5" t="n"/>
      <c r="L141" s="5" t="inlineStr">
        <is>
          <t>SOURCE-002; SOURCE-053</t>
        </is>
      </c>
      <c r="M141" s="5" t="inlineStr">
        <is>
          <t>Medium</t>
        </is>
      </c>
    </row>
    <row r="142" ht="19" customHeight="1">
      <c r="A142" s="15" t="inlineStr">
        <is>
          <t>AWARD-139</t>
        </is>
      </c>
      <c r="B142" s="20" t="inlineStr">
        <is>
          <t>FILM-050</t>
        </is>
      </c>
      <c r="C142" s="5" t="inlineStr">
        <is>
          <t>Veer-Zaara</t>
        </is>
      </c>
      <c r="D142" s="17" t="n">
        <v>2005</v>
      </c>
      <c r="E142" s="5" t="inlineStr">
        <is>
          <t>Filmfare Awards (50th)</t>
        </is>
      </c>
      <c r="F142" s="5" t="inlineStr">
        <is>
          <t>Best Dialogue</t>
        </is>
      </c>
      <c r="G142" s="5" t="inlineStr">
        <is>
          <t>Aditya Chopra</t>
        </is>
      </c>
      <c r="H142" s="5" t="inlineStr">
        <is>
          <t>Writer</t>
        </is>
      </c>
      <c r="I142" s="5" t="inlineStr">
        <is>
          <t>Win</t>
        </is>
      </c>
      <c r="J142" s="5" t="inlineStr">
        <is>
          <t>Competitive</t>
        </is>
      </c>
      <c r="K142" s="5" t="n"/>
      <c r="L142" s="5" t="inlineStr">
        <is>
          <t>SOURCE-105</t>
        </is>
      </c>
      <c r="M142" s="5" t="inlineStr">
        <is>
          <t>Medium</t>
        </is>
      </c>
    </row>
    <row r="143" ht="19" customHeight="1">
      <c r="A143" s="15" t="inlineStr">
        <is>
          <t>AWARD-140</t>
        </is>
      </c>
      <c r="B143" s="20" t="inlineStr">
        <is>
          <t>FILM-050</t>
        </is>
      </c>
      <c r="C143" s="5" t="inlineStr">
        <is>
          <t>Veer-Zaara</t>
        </is>
      </c>
      <c r="D143" s="17" t="n">
        <v>2005</v>
      </c>
      <c r="E143" s="5" t="inlineStr">
        <is>
          <t>Filmfare Awards (50th)</t>
        </is>
      </c>
      <c r="F143" s="5" t="inlineStr">
        <is>
          <t>Best Film</t>
        </is>
      </c>
      <c r="G143" s="5" t="inlineStr">
        <is>
          <t>Veer-Zaara</t>
        </is>
      </c>
      <c r="H143" s="5" t="inlineStr">
        <is>
          <t>Film</t>
        </is>
      </c>
      <c r="I143" s="5" t="inlineStr">
        <is>
          <t>Win</t>
        </is>
      </c>
      <c r="J143" s="5" t="inlineStr">
        <is>
          <t>Competitive</t>
        </is>
      </c>
      <c r="K143" s="5" t="n"/>
      <c r="L143" s="5" t="inlineStr">
        <is>
          <t>SOURCE-105</t>
        </is>
      </c>
      <c r="M143" s="5" t="inlineStr">
        <is>
          <t>Medium</t>
        </is>
      </c>
    </row>
    <row r="144" ht="19" customHeight="1">
      <c r="A144" s="15" t="inlineStr">
        <is>
          <t>AWARD-141</t>
        </is>
      </c>
      <c r="B144" s="20" t="inlineStr">
        <is>
          <t>FILM-050</t>
        </is>
      </c>
      <c r="C144" s="5" t="inlineStr">
        <is>
          <t>Veer-Zaara</t>
        </is>
      </c>
      <c r="D144" s="17" t="n">
        <v>2005</v>
      </c>
      <c r="E144" s="5" t="inlineStr">
        <is>
          <t>Filmfare Awards (50th)</t>
        </is>
      </c>
      <c r="F144" s="5" t="inlineStr">
        <is>
          <t>Best Lyricist</t>
        </is>
      </c>
      <c r="G144" s="5" t="inlineStr">
        <is>
          <t>Javed Akhtar for "Tere Liye"</t>
        </is>
      </c>
      <c r="H144" s="5" t="inlineStr">
        <is>
          <t>Music</t>
        </is>
      </c>
      <c r="I144" s="5" t="inlineStr">
        <is>
          <t>Win</t>
        </is>
      </c>
      <c r="J144" s="5" t="inlineStr">
        <is>
          <t>Competitive</t>
        </is>
      </c>
      <c r="K144" s="5" t="n"/>
      <c r="L144" s="5" t="inlineStr">
        <is>
          <t>SOURCE-105</t>
        </is>
      </c>
      <c r="M144" s="5" t="inlineStr">
        <is>
          <t>Medium</t>
        </is>
      </c>
    </row>
    <row r="145" ht="19" customHeight="1">
      <c r="A145" s="15" t="inlineStr">
        <is>
          <t>AWARD-142</t>
        </is>
      </c>
      <c r="B145" s="20" t="inlineStr">
        <is>
          <t>FILM-050</t>
        </is>
      </c>
      <c r="C145" s="5" t="inlineStr">
        <is>
          <t>Veer-Zaara</t>
        </is>
      </c>
      <c r="D145" s="17" t="n">
        <v>2005</v>
      </c>
      <c r="E145" s="5" t="inlineStr">
        <is>
          <t>Filmfare Awards (50th)</t>
        </is>
      </c>
      <c r="F145" s="5" t="inlineStr">
        <is>
          <t>Best Story</t>
        </is>
      </c>
      <c r="G145" s="5" t="inlineStr">
        <is>
          <t>Aditya Chopra</t>
        </is>
      </c>
      <c r="H145" s="5" t="inlineStr">
        <is>
          <t>Writer</t>
        </is>
      </c>
      <c r="I145" s="5" t="inlineStr">
        <is>
          <t>Win</t>
        </is>
      </c>
      <c r="J145" s="5" t="inlineStr">
        <is>
          <t>Competitive</t>
        </is>
      </c>
      <c r="K145" s="5" t="n"/>
      <c r="L145" s="5" t="inlineStr">
        <is>
          <t>SOURCE-105</t>
        </is>
      </c>
      <c r="M145" s="5" t="inlineStr">
        <is>
          <t>Medium</t>
        </is>
      </c>
    </row>
    <row r="146" ht="34" customHeight="1">
      <c r="A146" s="15" t="inlineStr">
        <is>
          <t>AWARD-143</t>
        </is>
      </c>
      <c r="B146" s="20" t="inlineStr">
        <is>
          <t>FILM-050</t>
        </is>
      </c>
      <c r="C146" s="5" t="inlineStr">
        <is>
          <t>Veer-Zaara</t>
        </is>
      </c>
      <c r="D146" s="17" t="n">
        <v>2005</v>
      </c>
      <c r="E146" s="5" t="inlineStr">
        <is>
          <t>International Indian Film Academy Awards</t>
        </is>
      </c>
      <c r="F146" s="5" t="inlineStr">
        <is>
          <t>Best Actor</t>
        </is>
      </c>
      <c r="G146" s="5" t="inlineStr">
        <is>
          <t>Shah Rukh Khan</t>
        </is>
      </c>
      <c r="H146" s="5" t="inlineStr">
        <is>
          <t>Actor</t>
        </is>
      </c>
      <c r="I146" s="5" t="inlineStr">
        <is>
          <t>Win</t>
        </is>
      </c>
      <c r="J146" s="5" t="inlineStr">
        <is>
          <t>Competitive</t>
        </is>
      </c>
      <c r="K146" s="5" t="n"/>
      <c r="L146" s="5" t="inlineStr">
        <is>
          <t>SOURCE-002; SOURCE-053</t>
        </is>
      </c>
      <c r="M146" s="5" t="inlineStr">
        <is>
          <t>Medium</t>
        </is>
      </c>
    </row>
    <row r="147" ht="34" customHeight="1">
      <c r="A147" s="15" t="inlineStr">
        <is>
          <t>AWARD-144</t>
        </is>
      </c>
      <c r="B147" s="20" t="inlineStr">
        <is>
          <t>FILM-050</t>
        </is>
      </c>
      <c r="C147" s="5" t="inlineStr">
        <is>
          <t>Veer-Zaara</t>
        </is>
      </c>
      <c r="D147" s="17" t="n">
        <v>2005</v>
      </c>
      <c r="E147" s="5" t="inlineStr">
        <is>
          <t>National Film Awards</t>
        </is>
      </c>
      <c r="F147" s="5" t="inlineStr">
        <is>
          <t>Best Popular Film Providing Wholesome Entertainment</t>
        </is>
      </c>
      <c r="G147" s="5" t="inlineStr">
        <is>
          <t>Veer-Zaara</t>
        </is>
      </c>
      <c r="H147" s="5" t="inlineStr">
        <is>
          <t>Film</t>
        </is>
      </c>
      <c r="I147" s="5" t="inlineStr">
        <is>
          <t>Win</t>
        </is>
      </c>
      <c r="J147" s="5" t="inlineStr">
        <is>
          <t>Competitive</t>
        </is>
      </c>
      <c r="K147" s="5" t="n"/>
      <c r="L147" s="5" t="inlineStr">
        <is>
          <t>SOURCE-105</t>
        </is>
      </c>
      <c r="M147" s="5" t="inlineStr">
        <is>
          <t>Medium</t>
        </is>
      </c>
    </row>
    <row r="148" ht="19" customHeight="1">
      <c r="A148" s="15" t="inlineStr">
        <is>
          <t>AWARD-145</t>
        </is>
      </c>
      <c r="B148" s="20" t="inlineStr">
        <is>
          <t>FILM-050</t>
        </is>
      </c>
      <c r="C148" s="5" t="inlineStr">
        <is>
          <t>Veer-Zaara</t>
        </is>
      </c>
      <c r="D148" s="17" t="n">
        <v>2005</v>
      </c>
      <c r="E148" s="5" t="inlineStr">
        <is>
          <t>Screen Awards</t>
        </is>
      </c>
      <c r="F148" s="5" t="inlineStr">
        <is>
          <t>Best Actor</t>
        </is>
      </c>
      <c r="G148" s="5" t="inlineStr">
        <is>
          <t>Shah Rukh Khan</t>
        </is>
      </c>
      <c r="H148" s="5" t="inlineStr">
        <is>
          <t>Actor</t>
        </is>
      </c>
      <c r="I148" s="5" t="inlineStr">
        <is>
          <t>Win</t>
        </is>
      </c>
      <c r="J148" s="5" t="inlineStr">
        <is>
          <t>Competitive</t>
        </is>
      </c>
      <c r="K148" s="5" t="n"/>
      <c r="L148" s="5" t="inlineStr">
        <is>
          <t>SOURCE-002; SOURCE-053</t>
        </is>
      </c>
      <c r="M148" s="5" t="inlineStr">
        <is>
          <t>Medium</t>
        </is>
      </c>
    </row>
    <row r="149" ht="19" customHeight="1">
      <c r="A149" s="15" t="inlineStr">
        <is>
          <t>AWARD-146</t>
        </is>
      </c>
      <c r="B149" s="20" t="inlineStr">
        <is>
          <t>FILM-050</t>
        </is>
      </c>
      <c r="C149" s="5" t="inlineStr">
        <is>
          <t>Veer-Zaara</t>
        </is>
      </c>
      <c r="D149" s="17" t="n">
        <v>2005</v>
      </c>
      <c r="E149" s="5" t="inlineStr">
        <is>
          <t>Screen Awards</t>
        </is>
      </c>
      <c r="F149" s="5" t="inlineStr">
        <is>
          <t>Jodi No. 1</t>
        </is>
      </c>
      <c r="G149" s="5" t="inlineStr">
        <is>
          <t>Shah Rukh Khan</t>
        </is>
      </c>
      <c r="H149" s="5" t="inlineStr">
        <is>
          <t>Actor</t>
        </is>
      </c>
      <c r="I149" s="5" t="inlineStr">
        <is>
          <t>Win</t>
        </is>
      </c>
      <c r="J149" s="5" t="inlineStr">
        <is>
          <t>Competitive</t>
        </is>
      </c>
      <c r="K149" s="5" t="n"/>
      <c r="L149" s="5" t="inlineStr">
        <is>
          <t>SOURCE-002; SOURCE-053</t>
        </is>
      </c>
      <c r="M149" s="5" t="inlineStr">
        <is>
          <t>Medium</t>
        </is>
      </c>
    </row>
    <row r="150" ht="19" customHeight="1">
      <c r="A150" s="15" t="inlineStr">
        <is>
          <t>AWARD-147</t>
        </is>
      </c>
      <c r="B150" s="20" t="inlineStr">
        <is>
          <t>FILM-050</t>
        </is>
      </c>
      <c r="C150" s="5" t="inlineStr">
        <is>
          <t>Veer-Zaara</t>
        </is>
      </c>
      <c r="D150" s="17" t="n">
        <v>2005</v>
      </c>
      <c r="E150" s="5" t="inlineStr">
        <is>
          <t>Zee Cine Awards</t>
        </is>
      </c>
      <c r="F150" s="5" t="inlineStr">
        <is>
          <t>Best Actor – Male</t>
        </is>
      </c>
      <c r="G150" s="5" t="inlineStr">
        <is>
          <t>Shah Rukh Khan</t>
        </is>
      </c>
      <c r="H150" s="5" t="inlineStr">
        <is>
          <t>Actor</t>
        </is>
      </c>
      <c r="I150" s="5" t="inlineStr">
        <is>
          <t>Win</t>
        </is>
      </c>
      <c r="J150" s="5" t="inlineStr">
        <is>
          <t>Competitive</t>
        </is>
      </c>
      <c r="K150" s="5" t="n"/>
      <c r="L150" s="5" t="inlineStr">
        <is>
          <t>SOURCE-002; SOURCE-053</t>
        </is>
      </c>
      <c r="M150" s="5" t="inlineStr">
        <is>
          <t>Medium</t>
        </is>
      </c>
    </row>
    <row r="151" ht="19" customHeight="1">
      <c r="A151" s="15" t="inlineStr">
        <is>
          <t>AWARD-148</t>
        </is>
      </c>
      <c r="B151" s="20" t="inlineStr">
        <is>
          <t>FILM-051</t>
        </is>
      </c>
      <c r="C151" s="5" t="inlineStr">
        <is>
          <t>Swades</t>
        </is>
      </c>
      <c r="D151" s="17" t="n">
        <v>2005</v>
      </c>
      <c r="E151" s="5" t="inlineStr">
        <is>
          <t>Filmfare Awards</t>
        </is>
      </c>
      <c r="F151" s="5" t="inlineStr">
        <is>
          <t>Best Actor</t>
        </is>
      </c>
      <c r="G151" s="5" t="inlineStr">
        <is>
          <t>Shah Rukh Khan</t>
        </is>
      </c>
      <c r="H151" s="5" t="inlineStr">
        <is>
          <t>Actor</t>
        </is>
      </c>
      <c r="I151" s="5" t="inlineStr">
        <is>
          <t>Win</t>
        </is>
      </c>
      <c r="J151" s="5" t="inlineStr">
        <is>
          <t>Competitive</t>
        </is>
      </c>
      <c r="K151" s="5" t="n"/>
      <c r="L151" s="5" t="inlineStr">
        <is>
          <t>SOURCE-002; SOURCE-054</t>
        </is>
      </c>
      <c r="M151" s="5" t="inlineStr">
        <is>
          <t>Medium</t>
        </is>
      </c>
    </row>
    <row r="152" ht="19" customHeight="1">
      <c r="A152" s="15" t="inlineStr">
        <is>
          <t>AWARD-149</t>
        </is>
      </c>
      <c r="B152" s="20" t="inlineStr">
        <is>
          <t>FILM-051</t>
        </is>
      </c>
      <c r="C152" s="5" t="inlineStr">
        <is>
          <t>Swades</t>
        </is>
      </c>
      <c r="D152" s="17" t="n">
        <v>2005</v>
      </c>
      <c r="E152" s="5" t="inlineStr">
        <is>
          <t>Filmfare Awards (50th)</t>
        </is>
      </c>
      <c r="F152" s="5" t="inlineStr">
        <is>
          <t>Best Background Score</t>
        </is>
      </c>
      <c r="G152" s="5" t="inlineStr">
        <is>
          <t>A. R. Rahman</t>
        </is>
      </c>
      <c r="H152" s="5" t="inlineStr">
        <is>
          <t>Music</t>
        </is>
      </c>
      <c r="I152" s="5" t="inlineStr">
        <is>
          <t>Win</t>
        </is>
      </c>
      <c r="J152" s="5" t="inlineStr">
        <is>
          <t>Competitive</t>
        </is>
      </c>
      <c r="K152" s="5" t="n"/>
      <c r="L152" s="5" t="inlineStr">
        <is>
          <t>SOURCE-054</t>
        </is>
      </c>
      <c r="M152" s="5" t="inlineStr">
        <is>
          <t>Medium</t>
        </is>
      </c>
    </row>
    <row r="153" ht="19" customHeight="1">
      <c r="A153" s="15" t="inlineStr">
        <is>
          <t>AWARD-150</t>
        </is>
      </c>
      <c r="B153" s="20" t="inlineStr">
        <is>
          <t>FILM-051</t>
        </is>
      </c>
      <c r="C153" s="5" t="inlineStr">
        <is>
          <t>Swades</t>
        </is>
      </c>
      <c r="D153" s="17" t="n">
        <v>2005</v>
      </c>
      <c r="E153" s="5" t="inlineStr">
        <is>
          <t>Global Indian Film Awards</t>
        </is>
      </c>
      <c r="F153" s="5" t="inlineStr">
        <is>
          <t>Best Actor</t>
        </is>
      </c>
      <c r="G153" s="5" t="inlineStr">
        <is>
          <t>Shah Rukh Khan</t>
        </is>
      </c>
      <c r="H153" s="5" t="inlineStr">
        <is>
          <t>Actor</t>
        </is>
      </c>
      <c r="I153" s="5" t="inlineStr">
        <is>
          <t>Win</t>
        </is>
      </c>
      <c r="J153" s="5" t="inlineStr">
        <is>
          <t>Competitive</t>
        </is>
      </c>
      <c r="K153" s="5" t="n"/>
      <c r="L153" s="5" t="inlineStr">
        <is>
          <t>SOURCE-002; SOURCE-054</t>
        </is>
      </c>
      <c r="M153" s="5" t="inlineStr">
        <is>
          <t>Medium</t>
        </is>
      </c>
    </row>
    <row r="154" ht="19" customHeight="1">
      <c r="A154" s="15" t="inlineStr">
        <is>
          <t>AWARD-151</t>
        </is>
      </c>
      <c r="B154" s="20" t="n"/>
      <c r="C154" s="5" t="n"/>
      <c r="D154" s="17" t="n">
        <v>2005</v>
      </c>
      <c r="E154" s="5" t="inlineStr">
        <is>
          <t>India</t>
        </is>
      </c>
      <c r="F154" s="5" t="inlineStr">
        <is>
          <t>Padma Shri</t>
        </is>
      </c>
      <c r="G154" s="5" t="inlineStr">
        <is>
          <t>Shah Rukh Khan</t>
        </is>
      </c>
      <c r="H154" s="5" t="inlineStr">
        <is>
          <t>Individual</t>
        </is>
      </c>
      <c r="I154" s="5" t="inlineStr">
        <is>
          <t>Win</t>
        </is>
      </c>
      <c r="J154" s="5" t="inlineStr">
        <is>
          <t>Honorary</t>
        </is>
      </c>
      <c r="K154" s="5" t="n"/>
      <c r="L154" s="5" t="inlineStr">
        <is>
          <t>SOURCE-002</t>
        </is>
      </c>
      <c r="M154" s="5" t="inlineStr">
        <is>
          <t>Medium</t>
        </is>
      </c>
    </row>
    <row r="155" ht="34" customHeight="1">
      <c r="A155" s="15" t="inlineStr">
        <is>
          <t>AWARD-290</t>
        </is>
      </c>
      <c r="B155" s="20" t="inlineStr">
        <is>
          <t>FILM-051</t>
        </is>
      </c>
      <c r="C155" s="5" t="inlineStr">
        <is>
          <t>Swades</t>
        </is>
      </c>
      <c r="D155" s="17" t="n">
        <v>2005</v>
      </c>
      <c r="E155" s="5" t="inlineStr">
        <is>
          <t>National Film Awards</t>
        </is>
      </c>
      <c r="F155" s="5" t="inlineStr">
        <is>
          <t>Best Cinematography</t>
        </is>
      </c>
      <c r="G155" s="5" t="inlineStr">
        <is>
          <t>Mahesh Aney</t>
        </is>
      </c>
      <c r="H155" s="5" t="inlineStr">
        <is>
          <t>Technician</t>
        </is>
      </c>
      <c r="I155" s="5" t="inlineStr">
        <is>
          <t>Win</t>
        </is>
      </c>
      <c r="J155" s="5" t="inlineStr">
        <is>
          <t>Competitive</t>
        </is>
      </c>
      <c r="K155" s="5" t="inlineStr">
        <is>
          <t>52nd National Film Awards, for films of 2004, presented 21 October 2005.</t>
        </is>
      </c>
      <c r="L155" s="5" t="inlineStr">
        <is>
          <t>SOURCE-054; SOURCE-344</t>
        </is>
      </c>
      <c r="M155" s="5" t="inlineStr">
        <is>
          <t>High</t>
        </is>
      </c>
    </row>
    <row r="156" ht="34" customHeight="1">
      <c r="A156" s="15" t="inlineStr">
        <is>
          <t>AWARD-291</t>
        </is>
      </c>
      <c r="B156" s="20" t="inlineStr">
        <is>
          <t>FILM-051</t>
        </is>
      </c>
      <c r="C156" s="5" t="inlineStr">
        <is>
          <t>Swades</t>
        </is>
      </c>
      <c r="D156" s="17" t="n">
        <v>2005</v>
      </c>
      <c r="E156" s="5" t="inlineStr">
        <is>
          <t>National Film Awards</t>
        </is>
      </c>
      <c r="F156" s="5" t="inlineStr">
        <is>
          <t>Best Male Playback Singer</t>
        </is>
      </c>
      <c r="G156" s="5" t="inlineStr">
        <is>
          <t>Udit Narayan ("Yeh Taara Woh Taara")</t>
        </is>
      </c>
      <c r="H156" s="5" t="inlineStr">
        <is>
          <t>Music</t>
        </is>
      </c>
      <c r="I156" s="5" t="inlineStr">
        <is>
          <t>Win</t>
        </is>
      </c>
      <c r="J156" s="5" t="inlineStr">
        <is>
          <t>Competitive</t>
        </is>
      </c>
      <c r="K156" s="5" t="inlineStr">
        <is>
          <t>52nd National Film Awards, for films of 2004, presented 21 October 2005.</t>
        </is>
      </c>
      <c r="L156" s="5" t="inlineStr">
        <is>
          <t>SOURCE-054; SOURCE-344</t>
        </is>
      </c>
      <c r="M156" s="5" t="inlineStr">
        <is>
          <t>High</t>
        </is>
      </c>
    </row>
    <row r="157" ht="34" customHeight="1">
      <c r="A157" s="15" t="inlineStr">
        <is>
          <t>AWARD-152</t>
        </is>
      </c>
      <c r="B157" s="20" t="inlineStr">
        <is>
          <t>FILM-055</t>
        </is>
      </c>
      <c r="C157" s="5" t="inlineStr">
        <is>
          <t>Paheli</t>
        </is>
      </c>
      <c r="D157" s="17" t="n">
        <v>2006</v>
      </c>
      <c r="E157" s="5" t="inlineStr">
        <is>
          <t>National Film Awards (53rd)</t>
        </is>
      </c>
      <c r="F157" s="5" t="inlineStr">
        <is>
          <t>Best Female Playback Singer</t>
        </is>
      </c>
      <c r="G157" s="5" t="inlineStr">
        <is>
          <t>Shreya Ghoshal for "Dheere Jalna"</t>
        </is>
      </c>
      <c r="H157" s="5" t="inlineStr">
        <is>
          <t>Music</t>
        </is>
      </c>
      <c r="I157" s="5" t="inlineStr">
        <is>
          <t>Win</t>
        </is>
      </c>
      <c r="J157" s="5" t="inlineStr">
        <is>
          <t>Competitive</t>
        </is>
      </c>
      <c r="K157" s="5" t="n"/>
      <c r="L157" s="5" t="inlineStr">
        <is>
          <t>SOURCE-058</t>
        </is>
      </c>
      <c r="M157" s="5" t="inlineStr">
        <is>
          <t>Medium</t>
        </is>
      </c>
    </row>
    <row r="158" ht="19" customHeight="1">
      <c r="A158" s="15" t="inlineStr">
        <is>
          <t>AWARD-153</t>
        </is>
      </c>
      <c r="B158" s="20" t="inlineStr">
        <is>
          <t>FILM-057</t>
        </is>
      </c>
      <c r="C158" s="5" t="inlineStr">
        <is>
          <t>Kabhi Alvida Naa Kehna</t>
        </is>
      </c>
      <c r="D158" s="17" t="n">
        <v>2007</v>
      </c>
      <c r="E158" s="5" t="inlineStr">
        <is>
          <t>Filmfare Awards</t>
        </is>
      </c>
      <c r="F158" s="5" t="inlineStr">
        <is>
          <t>Best Actor</t>
        </is>
      </c>
      <c r="G158" s="5" t="inlineStr">
        <is>
          <t>Shah Rukh Khan</t>
        </is>
      </c>
      <c r="H158" s="5" t="inlineStr">
        <is>
          <t>Actor</t>
        </is>
      </c>
      <c r="I158" s="5" t="inlineStr">
        <is>
          <t>Nomination</t>
        </is>
      </c>
      <c r="J158" s="5" t="inlineStr">
        <is>
          <t>Competitive</t>
        </is>
      </c>
      <c r="K158" s="5" t="n"/>
      <c r="L158" s="5" t="inlineStr">
        <is>
          <t>SOURCE-002; SOURCE-060</t>
        </is>
      </c>
      <c r="M158" s="5" t="inlineStr">
        <is>
          <t>Medium</t>
        </is>
      </c>
    </row>
    <row r="159" ht="19" customHeight="1">
      <c r="A159" s="15" t="inlineStr">
        <is>
          <t>AWARD-154</t>
        </is>
      </c>
      <c r="B159" s="20" t="inlineStr">
        <is>
          <t>FILM-057</t>
        </is>
      </c>
      <c r="C159" s="5" t="inlineStr">
        <is>
          <t>Kabhi Alvida Naa Kehna</t>
        </is>
      </c>
      <c r="D159" s="17" t="n">
        <v>2007</v>
      </c>
      <c r="E159" s="5" t="inlineStr">
        <is>
          <t>Filmfare Awards (52nd)</t>
        </is>
      </c>
      <c r="F159" s="5" t="inlineStr">
        <is>
          <t>Best Supporting Actor</t>
        </is>
      </c>
      <c r="G159" s="5" t="inlineStr">
        <is>
          <t>Abhishek Bachchan</t>
        </is>
      </c>
      <c r="H159" s="5" t="inlineStr">
        <is>
          <t>Performer</t>
        </is>
      </c>
      <c r="I159" s="5" t="inlineStr">
        <is>
          <t>Win</t>
        </is>
      </c>
      <c r="J159" s="5" t="inlineStr">
        <is>
          <t>Competitive</t>
        </is>
      </c>
      <c r="K159" s="5" t="n"/>
      <c r="L159" s="5" t="inlineStr">
        <is>
          <t>SOURCE-106</t>
        </is>
      </c>
      <c r="M159" s="5" t="inlineStr">
        <is>
          <t>Medium</t>
        </is>
      </c>
    </row>
    <row r="160" ht="19" customHeight="1">
      <c r="A160" s="15" t="inlineStr">
        <is>
          <t>AWARD-155</t>
        </is>
      </c>
      <c r="B160" s="20" t="inlineStr">
        <is>
          <t>FILM-057</t>
        </is>
      </c>
      <c r="C160" s="5" t="inlineStr">
        <is>
          <t>Kabhi Alvida Naa Kehna</t>
        </is>
      </c>
      <c r="D160" s="17" t="n">
        <v>2007</v>
      </c>
      <c r="E160" s="5" t="inlineStr">
        <is>
          <t>Screen Awards</t>
        </is>
      </c>
      <c r="F160" s="5" t="inlineStr">
        <is>
          <t>Jodi No. 1</t>
        </is>
      </c>
      <c r="G160" s="5" t="inlineStr">
        <is>
          <t>Shah Rukh Khan</t>
        </is>
      </c>
      <c r="H160" s="5" t="inlineStr">
        <is>
          <t>Actor</t>
        </is>
      </c>
      <c r="I160" s="5" t="inlineStr">
        <is>
          <t>Win</t>
        </is>
      </c>
      <c r="J160" s="5" t="inlineStr">
        <is>
          <t>Competitive</t>
        </is>
      </c>
      <c r="K160" s="5" t="n"/>
      <c r="L160" s="5" t="inlineStr">
        <is>
          <t>SOURCE-002; SOURCE-060</t>
        </is>
      </c>
      <c r="M160" s="5" t="inlineStr">
        <is>
          <t>Medium</t>
        </is>
      </c>
    </row>
    <row r="161" ht="19" customHeight="1">
      <c r="A161" s="15" t="inlineStr">
        <is>
          <t>AWARD-156</t>
        </is>
      </c>
      <c r="B161" s="20" t="inlineStr">
        <is>
          <t>FILM-058</t>
        </is>
      </c>
      <c r="C161" s="5" t="inlineStr">
        <is>
          <t>Don: The Chase Begins Again</t>
        </is>
      </c>
      <c r="D161" s="17" t="n">
        <v>2007</v>
      </c>
      <c r="E161" s="5" t="inlineStr">
        <is>
          <t>Filmfare Awards</t>
        </is>
      </c>
      <c r="F161" s="5" t="inlineStr">
        <is>
          <t>Best Actor</t>
        </is>
      </c>
      <c r="G161" s="5" t="inlineStr">
        <is>
          <t>Shah Rukh Khan</t>
        </is>
      </c>
      <c r="H161" s="5" t="inlineStr">
        <is>
          <t>Actor</t>
        </is>
      </c>
      <c r="I161" s="5" t="inlineStr">
        <is>
          <t>Nomination</t>
        </is>
      </c>
      <c r="J161" s="5" t="inlineStr">
        <is>
          <t>Competitive</t>
        </is>
      </c>
      <c r="K161" s="5" t="n"/>
      <c r="L161" s="5" t="inlineStr">
        <is>
          <t>SOURCE-002; SOURCE-061</t>
        </is>
      </c>
      <c r="M161" s="5" t="inlineStr">
        <is>
          <t>Medium</t>
        </is>
      </c>
    </row>
    <row r="162" ht="19" customHeight="1">
      <c r="A162" s="15" t="inlineStr">
        <is>
          <t>AWARD-157</t>
        </is>
      </c>
      <c r="B162" s="20" t="inlineStr">
        <is>
          <t>FILM-058</t>
        </is>
      </c>
      <c r="C162" s="5" t="inlineStr">
        <is>
          <t>Don: The Chase Begins Again</t>
        </is>
      </c>
      <c r="D162" s="17" t="n">
        <v>2007</v>
      </c>
      <c r="E162" s="5" t="inlineStr">
        <is>
          <t>Zee Cine Awards</t>
        </is>
      </c>
      <c r="F162" s="5" t="inlineStr">
        <is>
          <t>Fun Cinema Entertainer of the Year</t>
        </is>
      </c>
      <c r="G162" s="5" t="inlineStr">
        <is>
          <t>Shah Rukh Khan</t>
        </is>
      </c>
      <c r="H162" s="5" t="inlineStr">
        <is>
          <t>Actor</t>
        </is>
      </c>
      <c r="I162" s="5" t="inlineStr">
        <is>
          <t>Win</t>
        </is>
      </c>
      <c r="J162" s="5" t="inlineStr">
        <is>
          <t>Competitive</t>
        </is>
      </c>
      <c r="K162" s="5" t="n"/>
      <c r="L162" s="5" t="inlineStr">
        <is>
          <t>SOURCE-002; SOURCE-061</t>
        </is>
      </c>
      <c r="M162" s="5" t="inlineStr">
        <is>
          <t>Medium</t>
        </is>
      </c>
    </row>
    <row r="163" ht="19" customHeight="1">
      <c r="A163" s="15" t="inlineStr">
        <is>
          <t>AWARD-158</t>
        </is>
      </c>
      <c r="B163" s="20" t="n"/>
      <c r="C163" s="5" t="n"/>
      <c r="D163" s="17" t="n">
        <v>2007</v>
      </c>
      <c r="E163" s="5" t="inlineStr">
        <is>
          <t>France</t>
        </is>
      </c>
      <c r="F163" s="5" t="inlineStr">
        <is>
          <t>Ordre des Arts et des Lettres</t>
        </is>
      </c>
      <c r="G163" s="5" t="inlineStr">
        <is>
          <t>Shah Rukh Khan</t>
        </is>
      </c>
      <c r="H163" s="5" t="inlineStr">
        <is>
          <t>Individual</t>
        </is>
      </c>
      <c r="I163" s="5" t="inlineStr">
        <is>
          <t>Win</t>
        </is>
      </c>
      <c r="J163" s="5" t="inlineStr">
        <is>
          <t>Honorary</t>
        </is>
      </c>
      <c r="K163" s="5" t="n"/>
      <c r="L163" s="5" t="inlineStr">
        <is>
          <t>SOURCE-002</t>
        </is>
      </c>
      <c r="M163" s="5" t="inlineStr">
        <is>
          <t>Medium</t>
        </is>
      </c>
    </row>
    <row r="164" ht="19" customHeight="1">
      <c r="A164" s="15" t="inlineStr">
        <is>
          <t>AWARD-159</t>
        </is>
      </c>
      <c r="B164" s="20" t="n"/>
      <c r="C164" s="5" t="n"/>
      <c r="D164" s="17" t="n">
        <v>2007</v>
      </c>
      <c r="E164" s="5" t="inlineStr">
        <is>
          <t>Global Indian Film Awards</t>
        </is>
      </c>
      <c r="F164" s="5" t="inlineStr">
        <is>
          <t>Most Searched Actor on the internet</t>
        </is>
      </c>
      <c r="G164" s="5" t="inlineStr">
        <is>
          <t>Shah Rukh Khan</t>
        </is>
      </c>
      <c r="H164" s="5" t="inlineStr">
        <is>
          <t>Individual</t>
        </is>
      </c>
      <c r="I164" s="5" t="inlineStr">
        <is>
          <t>Win</t>
        </is>
      </c>
      <c r="J164" s="5" t="inlineStr">
        <is>
          <t>Honorary</t>
        </is>
      </c>
      <c r="K164" s="5" t="n"/>
      <c r="L164" s="5" t="inlineStr">
        <is>
          <t>SOURCE-002</t>
        </is>
      </c>
      <c r="M164" s="5" t="inlineStr">
        <is>
          <t>Medium</t>
        </is>
      </c>
    </row>
    <row r="165" ht="19" customHeight="1">
      <c r="A165" s="15" t="inlineStr">
        <is>
          <t>AWARD-160</t>
        </is>
      </c>
      <c r="B165" s="20" t="inlineStr">
        <is>
          <t>FILM-060</t>
        </is>
      </c>
      <c r="C165" s="5" t="inlineStr">
        <is>
          <t>Chak De! India</t>
        </is>
      </c>
      <c r="D165" s="17" t="n">
        <v>2008</v>
      </c>
      <c r="E165" s="5" t="inlineStr">
        <is>
          <t>Filmfare Awards</t>
        </is>
      </c>
      <c r="F165" s="5" t="inlineStr">
        <is>
          <t>Best Actor</t>
        </is>
      </c>
      <c r="G165" s="5" t="inlineStr">
        <is>
          <t>Shah Rukh Khan</t>
        </is>
      </c>
      <c r="H165" s="5" t="inlineStr">
        <is>
          <t>Actor</t>
        </is>
      </c>
      <c r="I165" s="5" t="inlineStr">
        <is>
          <t>Win</t>
        </is>
      </c>
      <c r="J165" s="5" t="inlineStr">
        <is>
          <t>Competitive</t>
        </is>
      </c>
      <c r="K165" s="5" t="n"/>
      <c r="L165" s="5" t="inlineStr">
        <is>
          <t>SOURCE-002; SOURCE-063</t>
        </is>
      </c>
      <c r="M165" s="5" t="inlineStr">
        <is>
          <t>Medium</t>
        </is>
      </c>
    </row>
    <row r="166" ht="19" customHeight="1">
      <c r="A166" s="15" t="inlineStr">
        <is>
          <t>AWARD-161</t>
        </is>
      </c>
      <c r="B166" s="20" t="inlineStr">
        <is>
          <t>FILM-060</t>
        </is>
      </c>
      <c r="C166" s="5" t="inlineStr">
        <is>
          <t>Chak De! India</t>
        </is>
      </c>
      <c r="D166" s="17" t="n">
        <v>2008</v>
      </c>
      <c r="E166" s="5" t="inlineStr">
        <is>
          <t>Filmfare Awards (53rd)</t>
        </is>
      </c>
      <c r="F166" s="5" t="inlineStr">
        <is>
          <t>Best Action</t>
        </is>
      </c>
      <c r="G166" s="5" t="inlineStr">
        <is>
          <t>Rob Miller</t>
        </is>
      </c>
      <c r="H166" s="5" t="inlineStr">
        <is>
          <t>Technician</t>
        </is>
      </c>
      <c r="I166" s="5" t="inlineStr">
        <is>
          <t>Win</t>
        </is>
      </c>
      <c r="J166" s="5" t="inlineStr">
        <is>
          <t>Competitive</t>
        </is>
      </c>
      <c r="K166" s="5" t="n"/>
      <c r="L166" s="5" t="inlineStr">
        <is>
          <t>SOURCE-107</t>
        </is>
      </c>
      <c r="M166" s="5" t="inlineStr">
        <is>
          <t>Medium</t>
        </is>
      </c>
    </row>
    <row r="167" ht="19" customHeight="1">
      <c r="A167" s="15" t="inlineStr">
        <is>
          <t>AWARD-162</t>
        </is>
      </c>
      <c r="B167" s="20" t="inlineStr">
        <is>
          <t>FILM-060</t>
        </is>
      </c>
      <c r="C167" s="5" t="inlineStr">
        <is>
          <t>Chak De! India</t>
        </is>
      </c>
      <c r="D167" s="17" t="n">
        <v>2008</v>
      </c>
      <c r="E167" s="5" t="inlineStr">
        <is>
          <t>Filmfare Awards (53rd)</t>
        </is>
      </c>
      <c r="F167" s="5" t="inlineStr">
        <is>
          <t>Best Cinematographer</t>
        </is>
      </c>
      <c r="G167" s="5" t="inlineStr">
        <is>
          <t>Sudeep Chatterjee</t>
        </is>
      </c>
      <c r="H167" s="5" t="inlineStr">
        <is>
          <t>Technician</t>
        </is>
      </c>
      <c r="I167" s="5" t="inlineStr">
        <is>
          <t>Win</t>
        </is>
      </c>
      <c r="J167" s="5" t="inlineStr">
        <is>
          <t>Competitive</t>
        </is>
      </c>
      <c r="K167" s="5" t="n"/>
      <c r="L167" s="5" t="inlineStr">
        <is>
          <t>SOURCE-107</t>
        </is>
      </c>
      <c r="M167" s="5" t="inlineStr">
        <is>
          <t>Medium</t>
        </is>
      </c>
    </row>
    <row r="168" ht="19" customHeight="1">
      <c r="A168" s="15" t="inlineStr">
        <is>
          <t>AWARD-163</t>
        </is>
      </c>
      <c r="B168" s="20" t="inlineStr">
        <is>
          <t>FILM-060</t>
        </is>
      </c>
      <c r="C168" s="5" t="inlineStr">
        <is>
          <t>Chak De! India</t>
        </is>
      </c>
      <c r="D168" s="17" t="n">
        <v>2008</v>
      </c>
      <c r="E168" s="5" t="inlineStr">
        <is>
          <t>Filmfare Awards (53rd)</t>
        </is>
      </c>
      <c r="F168" s="5" t="inlineStr">
        <is>
          <t>Best Editing</t>
        </is>
      </c>
      <c r="G168" s="5" t="inlineStr">
        <is>
          <t>Amitabh Shukla</t>
        </is>
      </c>
      <c r="H168" s="5" t="inlineStr">
        <is>
          <t>Technician</t>
        </is>
      </c>
      <c r="I168" s="5" t="inlineStr">
        <is>
          <t>Win</t>
        </is>
      </c>
      <c r="J168" s="5" t="inlineStr">
        <is>
          <t>Competitive</t>
        </is>
      </c>
      <c r="K168" s="5" t="n"/>
      <c r="L168" s="5" t="inlineStr">
        <is>
          <t>SOURCE-107</t>
        </is>
      </c>
      <c r="M168" s="5" t="inlineStr">
        <is>
          <t>Medium</t>
        </is>
      </c>
    </row>
    <row r="169" ht="19" customHeight="1">
      <c r="A169" s="15" t="inlineStr">
        <is>
          <t>AWARD-164</t>
        </is>
      </c>
      <c r="B169" s="20" t="inlineStr">
        <is>
          <t>FILM-060</t>
        </is>
      </c>
      <c r="C169" s="5" t="inlineStr">
        <is>
          <t>Chak De! India</t>
        </is>
      </c>
      <c r="D169" s="17" t="n">
        <v>2008</v>
      </c>
      <c r="E169" s="5" t="inlineStr">
        <is>
          <t>Filmfare Awards (53rd)</t>
        </is>
      </c>
      <c r="F169" s="5" t="inlineStr">
        <is>
          <t>Best Film (Critics)</t>
        </is>
      </c>
      <c r="G169" s="5" t="inlineStr">
        <is>
          <t>Chak De! India</t>
        </is>
      </c>
      <c r="H169" s="5" t="inlineStr">
        <is>
          <t>Film</t>
        </is>
      </c>
      <c r="I169" s="5" t="inlineStr">
        <is>
          <t>Win</t>
        </is>
      </c>
      <c r="J169" s="5" t="inlineStr">
        <is>
          <t>Competitive</t>
        </is>
      </c>
      <c r="K169" s="5" t="n"/>
      <c r="L169" s="5" t="inlineStr">
        <is>
          <t>SOURCE-107</t>
        </is>
      </c>
      <c r="M169" s="5" t="inlineStr">
        <is>
          <t>Medium</t>
        </is>
      </c>
    </row>
    <row r="170" ht="34" customHeight="1">
      <c r="A170" s="15" t="inlineStr">
        <is>
          <t>AWARD-165</t>
        </is>
      </c>
      <c r="B170" s="20" t="inlineStr">
        <is>
          <t>FILM-060</t>
        </is>
      </c>
      <c r="C170" s="5" t="inlineStr">
        <is>
          <t>Chak De! India</t>
        </is>
      </c>
      <c r="D170" s="17" t="n">
        <v>2008</v>
      </c>
      <c r="E170" s="5" t="inlineStr">
        <is>
          <t>International Indian Film Academy Awards</t>
        </is>
      </c>
      <c r="F170" s="5" t="inlineStr">
        <is>
          <t>Best Actor</t>
        </is>
      </c>
      <c r="G170" s="5" t="inlineStr">
        <is>
          <t>Shah Rukh Khan</t>
        </is>
      </c>
      <c r="H170" s="5" t="inlineStr">
        <is>
          <t>Actor</t>
        </is>
      </c>
      <c r="I170" s="5" t="inlineStr">
        <is>
          <t>Win</t>
        </is>
      </c>
      <c r="J170" s="5" t="inlineStr">
        <is>
          <t>Competitive</t>
        </is>
      </c>
      <c r="K170" s="5" t="n"/>
      <c r="L170" s="5" t="inlineStr">
        <is>
          <t>SOURCE-002; SOURCE-063</t>
        </is>
      </c>
      <c r="M170" s="5" t="inlineStr">
        <is>
          <t>Medium</t>
        </is>
      </c>
    </row>
    <row r="171" ht="19" customHeight="1">
      <c r="A171" s="15" t="inlineStr">
        <is>
          <t>AWARD-166</t>
        </is>
      </c>
      <c r="B171" s="20" t="inlineStr">
        <is>
          <t>FILM-060</t>
        </is>
      </c>
      <c r="C171" s="5" t="inlineStr">
        <is>
          <t>Chak De! India</t>
        </is>
      </c>
      <c r="D171" s="17" t="n">
        <v>2008</v>
      </c>
      <c r="E171" s="5" t="inlineStr">
        <is>
          <t>Producers Guild Film Awards</t>
        </is>
      </c>
      <c r="F171" s="5" t="inlineStr">
        <is>
          <t>Best Actor in a Leading Role</t>
        </is>
      </c>
      <c r="G171" s="5" t="inlineStr">
        <is>
          <t>Shah Rukh Khan</t>
        </is>
      </c>
      <c r="H171" s="5" t="inlineStr">
        <is>
          <t>Actor</t>
        </is>
      </c>
      <c r="I171" s="5" t="inlineStr">
        <is>
          <t>Win</t>
        </is>
      </c>
      <c r="J171" s="5" t="inlineStr">
        <is>
          <t>Competitive</t>
        </is>
      </c>
      <c r="K171" s="5" t="n"/>
      <c r="L171" s="5" t="inlineStr">
        <is>
          <t>SOURCE-002; SOURCE-063</t>
        </is>
      </c>
      <c r="M171" s="5" t="inlineStr">
        <is>
          <t>Medium</t>
        </is>
      </c>
    </row>
    <row r="172" ht="19" customHeight="1">
      <c r="A172" s="15" t="inlineStr">
        <is>
          <t>AWARD-167</t>
        </is>
      </c>
      <c r="B172" s="20" t="inlineStr">
        <is>
          <t>FILM-060</t>
        </is>
      </c>
      <c r="C172" s="5" t="inlineStr">
        <is>
          <t>Chak De! India</t>
        </is>
      </c>
      <c r="D172" s="17" t="n">
        <v>2008</v>
      </c>
      <c r="E172" s="5" t="inlineStr">
        <is>
          <t>Screen Awards</t>
        </is>
      </c>
      <c r="F172" s="5" t="inlineStr">
        <is>
          <t>Best Actor</t>
        </is>
      </c>
      <c r="G172" s="5" t="inlineStr">
        <is>
          <t>Shah Rukh Khan</t>
        </is>
      </c>
      <c r="H172" s="5" t="inlineStr">
        <is>
          <t>Actor</t>
        </is>
      </c>
      <c r="I172" s="5" t="inlineStr">
        <is>
          <t>Win</t>
        </is>
      </c>
      <c r="J172" s="5" t="inlineStr">
        <is>
          <t>Competitive</t>
        </is>
      </c>
      <c r="K172" s="5" t="n"/>
      <c r="L172" s="5" t="inlineStr">
        <is>
          <t>SOURCE-002; SOURCE-063</t>
        </is>
      </c>
      <c r="M172" s="5" t="inlineStr">
        <is>
          <t>Medium</t>
        </is>
      </c>
    </row>
    <row r="173" ht="19" customHeight="1">
      <c r="A173" s="15" t="inlineStr">
        <is>
          <t>AWARD-168</t>
        </is>
      </c>
      <c r="B173" s="20" t="inlineStr">
        <is>
          <t>FILM-060</t>
        </is>
      </c>
      <c r="C173" s="5" t="inlineStr">
        <is>
          <t>Chak De! India</t>
        </is>
      </c>
      <c r="D173" s="17" t="n">
        <v>2008</v>
      </c>
      <c r="E173" s="5" t="inlineStr">
        <is>
          <t>Zee Cine Awards</t>
        </is>
      </c>
      <c r="F173" s="5" t="inlineStr">
        <is>
          <t>Best Actor – Male</t>
        </is>
      </c>
      <c r="G173" s="5" t="inlineStr">
        <is>
          <t>Shah Rukh Khan</t>
        </is>
      </c>
      <c r="H173" s="5" t="inlineStr">
        <is>
          <t>Actor</t>
        </is>
      </c>
      <c r="I173" s="5" t="inlineStr">
        <is>
          <t>Win</t>
        </is>
      </c>
      <c r="J173" s="5" t="inlineStr">
        <is>
          <t>Competitive</t>
        </is>
      </c>
      <c r="K173" s="5" t="n"/>
      <c r="L173" s="5" t="inlineStr">
        <is>
          <t>SOURCE-002; SOURCE-063</t>
        </is>
      </c>
      <c r="M173" s="5" t="inlineStr">
        <is>
          <t>Medium</t>
        </is>
      </c>
    </row>
    <row r="174" ht="19" customHeight="1">
      <c r="A174" s="15" t="inlineStr">
        <is>
          <t>AWARD-169</t>
        </is>
      </c>
      <c r="B174" s="20" t="inlineStr">
        <is>
          <t>FILM-062</t>
        </is>
      </c>
      <c r="C174" s="5" t="inlineStr">
        <is>
          <t>Om Shanti Om</t>
        </is>
      </c>
      <c r="D174" s="17" t="n">
        <v>2008</v>
      </c>
      <c r="E174" s="5" t="inlineStr">
        <is>
          <t>Filmfare Awards</t>
        </is>
      </c>
      <c r="F174" s="5" t="inlineStr">
        <is>
          <t>Best Actor</t>
        </is>
      </c>
      <c r="G174" s="5" t="inlineStr">
        <is>
          <t>Shah Rukh Khan</t>
        </is>
      </c>
      <c r="H174" s="5" t="inlineStr">
        <is>
          <t>Actor</t>
        </is>
      </c>
      <c r="I174" s="5" t="inlineStr">
        <is>
          <t>Nomination</t>
        </is>
      </c>
      <c r="J174" s="5" t="inlineStr">
        <is>
          <t>Competitive</t>
        </is>
      </c>
      <c r="K174" s="5" t="n"/>
      <c r="L174" s="5" t="inlineStr">
        <is>
          <t>SOURCE-002; SOURCE-065</t>
        </is>
      </c>
      <c r="M174" s="5" t="inlineStr">
        <is>
          <t>Medium</t>
        </is>
      </c>
    </row>
    <row r="175" ht="19" customHeight="1">
      <c r="A175" s="15" t="inlineStr">
        <is>
          <t>AWARD-170</t>
        </is>
      </c>
      <c r="B175" s="20" t="inlineStr">
        <is>
          <t>FILM-062</t>
        </is>
      </c>
      <c r="C175" s="5" t="inlineStr">
        <is>
          <t>Om Shanti Om</t>
        </is>
      </c>
      <c r="D175" s="17" t="n">
        <v>2008</v>
      </c>
      <c r="E175" s="5" t="inlineStr">
        <is>
          <t>Filmfare Awards (53rd)</t>
        </is>
      </c>
      <c r="F175" s="5" t="inlineStr">
        <is>
          <t>Best Female Debut</t>
        </is>
      </c>
      <c r="G175" s="5" t="inlineStr">
        <is>
          <t>Deepika Padukone</t>
        </is>
      </c>
      <c r="H175" s="5" t="inlineStr">
        <is>
          <t>Performer</t>
        </is>
      </c>
      <c r="I175" s="5" t="inlineStr">
        <is>
          <t>Win</t>
        </is>
      </c>
      <c r="J175" s="5" t="inlineStr">
        <is>
          <t>Competitive</t>
        </is>
      </c>
      <c r="K175" s="5" t="n"/>
      <c r="L175" s="5" t="inlineStr">
        <is>
          <t>SOURCE-065</t>
        </is>
      </c>
      <c r="M175" s="5" t="inlineStr">
        <is>
          <t>Medium</t>
        </is>
      </c>
    </row>
    <row r="176" ht="19" customHeight="1">
      <c r="A176" s="15" t="inlineStr">
        <is>
          <t>AWARD-171</t>
        </is>
      </c>
      <c r="B176" s="20" t="inlineStr">
        <is>
          <t>FILM-062</t>
        </is>
      </c>
      <c r="C176" s="5" t="inlineStr">
        <is>
          <t>Om Shanti Om</t>
        </is>
      </c>
      <c r="D176" s="17" t="n">
        <v>2008</v>
      </c>
      <c r="E176" s="5" t="inlineStr">
        <is>
          <t>Filmfare Awards (53rd)</t>
        </is>
      </c>
      <c r="F176" s="5" t="inlineStr">
        <is>
          <t>Best Special Effects</t>
        </is>
      </c>
      <c r="G176" s="5" t="inlineStr">
        <is>
          <t>Red Chillies VFX</t>
        </is>
      </c>
      <c r="H176" s="5" t="inlineStr">
        <is>
          <t>Technician</t>
        </is>
      </c>
      <c r="I176" s="5" t="inlineStr">
        <is>
          <t>Win</t>
        </is>
      </c>
      <c r="J176" s="5" t="inlineStr">
        <is>
          <t>Competitive</t>
        </is>
      </c>
      <c r="K176" s="5" t="n"/>
      <c r="L176" s="5" t="inlineStr">
        <is>
          <t>SOURCE-065</t>
        </is>
      </c>
      <c r="M176" s="5" t="inlineStr">
        <is>
          <t>Medium</t>
        </is>
      </c>
    </row>
    <row r="177" ht="19" customHeight="1">
      <c r="A177" s="15" t="inlineStr">
        <is>
          <t>AWARD-172</t>
        </is>
      </c>
      <c r="B177" s="20" t="inlineStr">
        <is>
          <t>FILM-062</t>
        </is>
      </c>
      <c r="C177" s="5" t="inlineStr">
        <is>
          <t>Om Shanti Om</t>
        </is>
      </c>
      <c r="D177" s="17" t="n">
        <v>2008</v>
      </c>
      <c r="E177" s="5" t="inlineStr">
        <is>
          <t>Screen Awards</t>
        </is>
      </c>
      <c r="F177" s="5" t="inlineStr">
        <is>
          <t>Jodi No. 1</t>
        </is>
      </c>
      <c r="G177" s="5" t="inlineStr">
        <is>
          <t>Shah Rukh Khan</t>
        </is>
      </c>
      <c r="H177" s="5" t="inlineStr">
        <is>
          <t>Actor</t>
        </is>
      </c>
      <c r="I177" s="5" t="inlineStr">
        <is>
          <t>Win</t>
        </is>
      </c>
      <c r="J177" s="5" t="inlineStr">
        <is>
          <t>Competitive</t>
        </is>
      </c>
      <c r="K177" s="5" t="n"/>
      <c r="L177" s="5" t="inlineStr">
        <is>
          <t>SOURCE-002; SOURCE-065</t>
        </is>
      </c>
      <c r="M177" s="5" t="inlineStr">
        <is>
          <t>Medium</t>
        </is>
      </c>
    </row>
    <row r="178" ht="19" customHeight="1">
      <c r="A178" s="15" t="inlineStr">
        <is>
          <t>AWARD-173</t>
        </is>
      </c>
      <c r="B178" s="20" t="n"/>
      <c r="C178" s="5" t="n"/>
      <c r="D178" s="17" t="n">
        <v>2008</v>
      </c>
      <c r="E178" s="5" t="inlineStr">
        <is>
          <t>Malaysia</t>
        </is>
      </c>
      <c r="F178" s="5" t="inlineStr">
        <is>
          <t>Darjah Mulia Seri Melaka</t>
        </is>
      </c>
      <c r="G178" s="5" t="inlineStr">
        <is>
          <t>Shah Rukh Khan</t>
        </is>
      </c>
      <c r="H178" s="5" t="inlineStr">
        <is>
          <t>Individual</t>
        </is>
      </c>
      <c r="I178" s="5" t="inlineStr">
        <is>
          <t>Win</t>
        </is>
      </c>
      <c r="J178" s="5" t="inlineStr">
        <is>
          <t>Honorary</t>
        </is>
      </c>
      <c r="K178" s="5" t="n"/>
      <c r="L178" s="5" t="inlineStr">
        <is>
          <t>SOURCE-002</t>
        </is>
      </c>
      <c r="M178" s="5" t="inlineStr">
        <is>
          <t>Medium</t>
        </is>
      </c>
    </row>
    <row r="179" ht="19" customHeight="1">
      <c r="A179" s="15" t="inlineStr">
        <is>
          <t>AWARD-174</t>
        </is>
      </c>
      <c r="B179" s="20" t="n"/>
      <c r="C179" s="5" t="n"/>
      <c r="D179" s="17" t="n">
        <v>2008</v>
      </c>
      <c r="E179" s="5" t="inlineStr">
        <is>
          <t>NDTV Indian of the Year Awards</t>
        </is>
      </c>
      <c r="F179" s="5" t="inlineStr">
        <is>
          <t>NDTV Special Award</t>
        </is>
      </c>
      <c r="G179" s="5" t="inlineStr">
        <is>
          <t>Shah Rukh Khan</t>
        </is>
      </c>
      <c r="H179" s="5" t="inlineStr">
        <is>
          <t>Individual</t>
        </is>
      </c>
      <c r="I179" s="5" t="inlineStr">
        <is>
          <t>Win</t>
        </is>
      </c>
      <c r="J179" s="5" t="inlineStr">
        <is>
          <t>Honorary</t>
        </is>
      </c>
      <c r="K179" s="5" t="n"/>
      <c r="L179" s="5" t="inlineStr">
        <is>
          <t>SOURCE-002</t>
        </is>
      </c>
      <c r="M179" s="5" t="inlineStr">
        <is>
          <t>Medium</t>
        </is>
      </c>
    </row>
    <row r="180" ht="34" customHeight="1">
      <c r="A180" s="15" t="inlineStr">
        <is>
          <t>AWARD-175</t>
        </is>
      </c>
      <c r="B180" s="20" t="inlineStr">
        <is>
          <t>FILM-060</t>
        </is>
      </c>
      <c r="C180" s="5" t="inlineStr">
        <is>
          <t>Chak De! India</t>
        </is>
      </c>
      <c r="D180" s="17" t="n">
        <v>2009</v>
      </c>
      <c r="E180" s="5" t="inlineStr">
        <is>
          <t>National Film Awards</t>
        </is>
      </c>
      <c r="F180" s="5" t="inlineStr">
        <is>
          <t>Best Popular Film Providing Wholesome Entertainment</t>
        </is>
      </c>
      <c r="G180" s="5" t="inlineStr">
        <is>
          <t>Aditya Chopra, Shimit Amin</t>
        </is>
      </c>
      <c r="H180" s="5" t="inlineStr">
        <is>
          <t>Film</t>
        </is>
      </c>
      <c r="I180" s="5" t="inlineStr">
        <is>
          <t>Win</t>
        </is>
      </c>
      <c r="J180" s="5" t="inlineStr">
        <is>
          <t>Competitive</t>
        </is>
      </c>
      <c r="K180" s="5" t="n"/>
      <c r="L180" s="5" t="inlineStr">
        <is>
          <t>SOURCE-107</t>
        </is>
      </c>
      <c r="M180" s="5" t="inlineStr">
        <is>
          <t>Medium</t>
        </is>
      </c>
    </row>
    <row r="181" ht="19" customHeight="1">
      <c r="A181" s="15" t="inlineStr">
        <is>
          <t>AWARD-176</t>
        </is>
      </c>
      <c r="B181" s="20" t="inlineStr">
        <is>
          <t>FILM-062</t>
        </is>
      </c>
      <c r="C181" s="5" t="inlineStr">
        <is>
          <t>Om Shanti Om</t>
        </is>
      </c>
      <c r="D181" s="17" t="n">
        <v>2009</v>
      </c>
      <c r="E181" s="5" t="inlineStr">
        <is>
          <t>National Film Awards</t>
        </is>
      </c>
      <c r="F181" s="5" t="inlineStr">
        <is>
          <t>Best Art Direction</t>
        </is>
      </c>
      <c r="G181" s="5" t="inlineStr">
        <is>
          <t>Sabu Cyril</t>
        </is>
      </c>
      <c r="H181" s="5" t="inlineStr">
        <is>
          <t>Technician</t>
        </is>
      </c>
      <c r="I181" s="5" t="inlineStr">
        <is>
          <t>Win</t>
        </is>
      </c>
      <c r="J181" s="5" t="inlineStr">
        <is>
          <t>Competitive</t>
        </is>
      </c>
      <c r="K181" s="5" t="n"/>
      <c r="L181" s="5" t="inlineStr">
        <is>
          <t>SOURCE-065</t>
        </is>
      </c>
      <c r="M181" s="5" t="inlineStr">
        <is>
          <t>Medium</t>
        </is>
      </c>
    </row>
    <row r="182" ht="19" customHeight="1">
      <c r="A182" s="15" t="inlineStr">
        <is>
          <t>AWARD-177</t>
        </is>
      </c>
      <c r="B182" s="20" t="inlineStr">
        <is>
          <t>FILM-067</t>
        </is>
      </c>
      <c r="C182" s="5" t="inlineStr">
        <is>
          <t>Rab Ne Bana Di Jodi</t>
        </is>
      </c>
      <c r="D182" s="17" t="n">
        <v>2009</v>
      </c>
      <c r="E182" s="5" t="inlineStr">
        <is>
          <t>Filmfare Awards</t>
        </is>
      </c>
      <c r="F182" s="5" t="inlineStr">
        <is>
          <t>Best Actor</t>
        </is>
      </c>
      <c r="G182" s="5" t="inlineStr">
        <is>
          <t>Shah Rukh Khan</t>
        </is>
      </c>
      <c r="H182" s="5" t="inlineStr">
        <is>
          <t>Actor</t>
        </is>
      </c>
      <c r="I182" s="5" t="inlineStr">
        <is>
          <t>Nomination</t>
        </is>
      </c>
      <c r="J182" s="5" t="inlineStr">
        <is>
          <t>Competitive</t>
        </is>
      </c>
      <c r="K182" s="5" t="n"/>
      <c r="L182" s="5" t="inlineStr">
        <is>
          <t>SOURCE-002; SOURCE-070</t>
        </is>
      </c>
      <c r="M182" s="5" t="inlineStr">
        <is>
          <t>Medium</t>
        </is>
      </c>
    </row>
    <row r="183" ht="34" customHeight="1">
      <c r="A183" s="15" t="inlineStr">
        <is>
          <t>AWARD-178</t>
        </is>
      </c>
      <c r="B183" s="20" t="inlineStr">
        <is>
          <t>FILM-067</t>
        </is>
      </c>
      <c r="C183" s="5" t="inlineStr">
        <is>
          <t>Rab Ne Bana Di Jodi</t>
        </is>
      </c>
      <c r="D183" s="17" t="n">
        <v>2009</v>
      </c>
      <c r="E183" s="5" t="inlineStr">
        <is>
          <t>Filmfare Awards (54th)</t>
        </is>
      </c>
      <c r="F183" s="5" t="inlineStr">
        <is>
          <t>Best Male Playback Singer</t>
        </is>
      </c>
      <c r="G183" s="5" t="inlineStr">
        <is>
          <t>Sukhwinder Singh for "Haule Haule"</t>
        </is>
      </c>
      <c r="H183" s="5" t="inlineStr">
        <is>
          <t>Music</t>
        </is>
      </c>
      <c r="I183" s="5" t="inlineStr">
        <is>
          <t>Win</t>
        </is>
      </c>
      <c r="J183" s="5" t="inlineStr">
        <is>
          <t>Competitive</t>
        </is>
      </c>
      <c r="K183" s="5" t="n"/>
      <c r="L183" s="5" t="inlineStr">
        <is>
          <t>SOURCE-070</t>
        </is>
      </c>
      <c r="M183" s="5" t="inlineStr">
        <is>
          <t>Medium</t>
        </is>
      </c>
    </row>
    <row r="184" ht="19" customHeight="1">
      <c r="A184" s="15" t="inlineStr">
        <is>
          <t>AWARD-179</t>
        </is>
      </c>
      <c r="B184" s="20" t="inlineStr">
        <is>
          <t>FILM-067</t>
        </is>
      </c>
      <c r="C184" s="5" t="inlineStr">
        <is>
          <t>Rab Ne Bana Di Jodi</t>
        </is>
      </c>
      <c r="D184" s="17" t="n">
        <v>2009</v>
      </c>
      <c r="E184" s="5" t="inlineStr">
        <is>
          <t>Filmfare Awards (54th)</t>
        </is>
      </c>
      <c r="F184" s="5" t="inlineStr">
        <is>
          <t>Best Scene of the Year</t>
        </is>
      </c>
      <c r="G184" s="5" t="inlineStr">
        <is>
          <t>First breakfast flower scene</t>
        </is>
      </c>
      <c r="H184" s="5" t="inlineStr">
        <is>
          <t>Film</t>
        </is>
      </c>
      <c r="I184" s="5" t="inlineStr">
        <is>
          <t>Win</t>
        </is>
      </c>
      <c r="J184" s="5" t="inlineStr">
        <is>
          <t>Competitive</t>
        </is>
      </c>
      <c r="K184" s="5" t="n"/>
      <c r="L184" s="5" t="inlineStr">
        <is>
          <t>SOURCE-070</t>
        </is>
      </c>
      <c r="M184" s="5" t="inlineStr">
        <is>
          <t>Medium</t>
        </is>
      </c>
    </row>
    <row r="185" ht="34" customHeight="1">
      <c r="A185" s="15" t="inlineStr">
        <is>
          <t>AWARD-180</t>
        </is>
      </c>
      <c r="B185" s="20" t="n"/>
      <c r="C185" s="5" t="n"/>
      <c r="D185" s="17" t="n">
        <v>2009</v>
      </c>
      <c r="E185" s="5" t="inlineStr">
        <is>
          <t>FICCI Frames Excellence Honours</t>
        </is>
      </c>
      <c r="F185" s="5" t="inlineStr">
        <is>
          <t>Most Powerful Entertainer of the Decade</t>
        </is>
      </c>
      <c r="G185" s="5" t="inlineStr">
        <is>
          <t>Shah Rukh Khan</t>
        </is>
      </c>
      <c r="H185" s="5" t="inlineStr">
        <is>
          <t>Individual</t>
        </is>
      </c>
      <c r="I185" s="5" t="inlineStr">
        <is>
          <t>Win</t>
        </is>
      </c>
      <c r="J185" s="5" t="inlineStr">
        <is>
          <t>Honorary</t>
        </is>
      </c>
      <c r="K185" s="5" t="n"/>
      <c r="L185" s="5" t="inlineStr">
        <is>
          <t>SOURCE-002</t>
        </is>
      </c>
      <c r="M185" s="5" t="inlineStr">
        <is>
          <t>Medium</t>
        </is>
      </c>
    </row>
    <row r="186" ht="34" customHeight="1">
      <c r="A186" s="15" t="inlineStr">
        <is>
          <t>AWARD-181</t>
        </is>
      </c>
      <c r="B186" s="20" t="n"/>
      <c r="C186" s="5" t="n"/>
      <c r="D186" s="17" t="n">
        <v>2009</v>
      </c>
      <c r="E186" s="5" t="inlineStr">
        <is>
          <t>International Indian Film Academy Awards</t>
        </is>
      </c>
      <c r="F186" s="5" t="inlineStr">
        <is>
          <t>Star of the Decade – Male</t>
        </is>
      </c>
      <c r="G186" s="5" t="inlineStr">
        <is>
          <t>Shah Rukh Khan</t>
        </is>
      </c>
      <c r="H186" s="5" t="inlineStr">
        <is>
          <t>Individual</t>
        </is>
      </c>
      <c r="I186" s="5" t="inlineStr">
        <is>
          <t>Win</t>
        </is>
      </c>
      <c r="J186" s="5" t="inlineStr">
        <is>
          <t>Honorary</t>
        </is>
      </c>
      <c r="K186" s="5" t="n"/>
      <c r="L186" s="5" t="inlineStr">
        <is>
          <t>SOURCE-002</t>
        </is>
      </c>
      <c r="M186" s="5" t="inlineStr">
        <is>
          <t>Medium</t>
        </is>
      </c>
    </row>
    <row r="187" ht="19" customHeight="1">
      <c r="A187" s="15" t="inlineStr">
        <is>
          <t>AWARD-182</t>
        </is>
      </c>
      <c r="B187" s="20" t="n"/>
      <c r="C187" s="5" t="n"/>
      <c r="D187" s="17" t="n">
        <v>2009</v>
      </c>
      <c r="E187" s="5" t="inlineStr">
        <is>
          <t>South Korea</t>
        </is>
      </c>
      <c r="F187" s="5" t="inlineStr">
        <is>
          <t>Honorary Black Belt of Taekwondo</t>
        </is>
      </c>
      <c r="G187" s="5" t="inlineStr">
        <is>
          <t>Shah Rukh Khan</t>
        </is>
      </c>
      <c r="H187" s="5" t="inlineStr">
        <is>
          <t>Individual</t>
        </is>
      </c>
      <c r="I187" s="5" t="inlineStr">
        <is>
          <t>Win</t>
        </is>
      </c>
      <c r="J187" s="5" t="inlineStr">
        <is>
          <t>Honorary</t>
        </is>
      </c>
      <c r="K187" s="5" t="n"/>
      <c r="L187" s="5" t="inlineStr">
        <is>
          <t>SOURCE-002</t>
        </is>
      </c>
      <c r="M187" s="5" t="inlineStr">
        <is>
          <t>Medium</t>
        </is>
      </c>
    </row>
    <row r="188" ht="19" customHeight="1">
      <c r="A188" s="15" t="inlineStr">
        <is>
          <t>AWARD-183</t>
        </is>
      </c>
      <c r="B188" s="20" t="n"/>
      <c r="C188" s="5" t="n"/>
      <c r="D188" s="17" t="n">
        <v>2009</v>
      </c>
      <c r="E188" s="5" t="inlineStr">
        <is>
          <t>University of Bedfordshire</t>
        </is>
      </c>
      <c r="F188" s="5" t="inlineStr">
        <is>
          <t>Honorary Doctorate</t>
        </is>
      </c>
      <c r="G188" s="5" t="inlineStr">
        <is>
          <t>Shah Rukh Khan</t>
        </is>
      </c>
      <c r="H188" s="5" t="inlineStr">
        <is>
          <t>Individual</t>
        </is>
      </c>
      <c r="I188" s="5" t="inlineStr">
        <is>
          <t>Win</t>
        </is>
      </c>
      <c r="J188" s="5" t="inlineStr">
        <is>
          <t>Honorary</t>
        </is>
      </c>
      <c r="K188" s="5" t="n"/>
      <c r="L188" s="5" t="inlineStr">
        <is>
          <t>SOURCE-002</t>
        </is>
      </c>
      <c r="M188" s="5" t="inlineStr">
        <is>
          <t>Medium</t>
        </is>
      </c>
    </row>
    <row r="189" ht="19" customHeight="1">
      <c r="A189" s="15" t="inlineStr">
        <is>
          <t>AWARD-184</t>
        </is>
      </c>
      <c r="B189" s="20" t="inlineStr">
        <is>
          <t>FILM-067</t>
        </is>
      </c>
      <c r="C189" s="5" t="inlineStr">
        <is>
          <t>Rab Ne Bana Di Jodi</t>
        </is>
      </c>
      <c r="D189" s="17" t="n">
        <v>2010</v>
      </c>
      <c r="E189" s="5" t="inlineStr">
        <is>
          <t>Producers Guild Film Awards</t>
        </is>
      </c>
      <c r="F189" s="5" t="inlineStr">
        <is>
          <t>Best Actor in a Leading Role</t>
        </is>
      </c>
      <c r="G189" s="5" t="inlineStr">
        <is>
          <t>Shah Rukh Khan</t>
        </is>
      </c>
      <c r="H189" s="5" t="inlineStr">
        <is>
          <t>Actor</t>
        </is>
      </c>
      <c r="I189" s="5" t="inlineStr">
        <is>
          <t>Win</t>
        </is>
      </c>
      <c r="J189" s="5" t="inlineStr">
        <is>
          <t>Competitive</t>
        </is>
      </c>
      <c r="K189" s="5" t="n"/>
      <c r="L189" s="5" t="inlineStr">
        <is>
          <t>SOURCE-002; SOURCE-070</t>
        </is>
      </c>
      <c r="M189" s="5" t="inlineStr">
        <is>
          <t>Medium</t>
        </is>
      </c>
    </row>
    <row r="190" ht="19" customHeight="1">
      <c r="A190" s="15" t="inlineStr">
        <is>
          <t>AWARD-185</t>
        </is>
      </c>
      <c r="B190" s="20" t="n"/>
      <c r="C190" s="5" t="n"/>
      <c r="D190" s="17" t="n">
        <v>2010</v>
      </c>
      <c r="E190" s="5" t="inlineStr">
        <is>
          <t>BIG Star Entertainment Awards</t>
        </is>
      </c>
      <c r="F190" s="5" t="inlineStr">
        <is>
          <t>Film Actor of the Decade – Male</t>
        </is>
      </c>
      <c r="G190" s="5" t="inlineStr">
        <is>
          <t>Shah Rukh Khan</t>
        </is>
      </c>
      <c r="H190" s="5" t="inlineStr">
        <is>
          <t>Individual</t>
        </is>
      </c>
      <c r="I190" s="5" t="inlineStr">
        <is>
          <t>Win</t>
        </is>
      </c>
      <c r="J190" s="5" t="inlineStr">
        <is>
          <t>Honorary</t>
        </is>
      </c>
      <c r="K190" s="5" t="n"/>
      <c r="L190" s="5" t="inlineStr">
        <is>
          <t>SOURCE-002</t>
        </is>
      </c>
      <c r="M190" s="5" t="inlineStr">
        <is>
          <t>Medium</t>
        </is>
      </c>
    </row>
    <row r="191" ht="19" customHeight="1">
      <c r="A191" s="15" t="inlineStr">
        <is>
          <t>AWARD-186</t>
        </is>
      </c>
      <c r="B191" s="20" t="n"/>
      <c r="C191" s="5" t="n"/>
      <c r="D191" s="17" t="n">
        <v>2010</v>
      </c>
      <c r="E191" s="5" t="inlineStr">
        <is>
          <t>FICCI Frames Excellence Honours</t>
        </is>
      </c>
      <c r="F191" s="5" t="inlineStr">
        <is>
          <t>Global Entertainer of the Year</t>
        </is>
      </c>
      <c r="G191" s="5" t="inlineStr">
        <is>
          <t>Shah Rukh Khan</t>
        </is>
      </c>
      <c r="H191" s="5" t="inlineStr">
        <is>
          <t>Individual</t>
        </is>
      </c>
      <c r="I191" s="5" t="inlineStr">
        <is>
          <t>Win</t>
        </is>
      </c>
      <c r="J191" s="5" t="inlineStr">
        <is>
          <t>Honorary</t>
        </is>
      </c>
      <c r="K191" s="5" t="n"/>
      <c r="L191" s="5" t="inlineStr">
        <is>
          <t>SOURCE-002</t>
        </is>
      </c>
      <c r="M191" s="5" t="inlineStr">
        <is>
          <t>Medium</t>
        </is>
      </c>
    </row>
    <row r="192" ht="34" customHeight="1">
      <c r="A192" s="15" t="inlineStr">
        <is>
          <t>AWARD-187</t>
        </is>
      </c>
      <c r="B192" s="20" t="n"/>
      <c r="C192" s="5" t="n"/>
      <c r="D192" s="17" t="n">
        <v>2010</v>
      </c>
      <c r="E192" s="5" t="inlineStr">
        <is>
          <t>NDTV Indian of the Year Awards</t>
        </is>
      </c>
      <c r="F192" s="5" t="inlineStr">
        <is>
          <t>India's Icon of Last 21 Years in Entertainment</t>
        </is>
      </c>
      <c r="G192" s="5" t="inlineStr">
        <is>
          <t>Shah Rukh Khan</t>
        </is>
      </c>
      <c r="H192" s="5" t="inlineStr">
        <is>
          <t>Individual</t>
        </is>
      </c>
      <c r="I192" s="5" t="inlineStr">
        <is>
          <t>Win</t>
        </is>
      </c>
      <c r="J192" s="5" t="inlineStr">
        <is>
          <t>Honorary</t>
        </is>
      </c>
      <c r="K192" s="5" t="n"/>
      <c r="L192" s="5" t="inlineStr">
        <is>
          <t>SOURCE-002</t>
        </is>
      </c>
      <c r="M192" s="5" t="inlineStr">
        <is>
          <t>Medium</t>
        </is>
      </c>
    </row>
    <row r="193" ht="19" customHeight="1">
      <c r="A193" s="15" t="inlineStr">
        <is>
          <t>AWARD-188</t>
        </is>
      </c>
      <c r="B193" s="20" t="n"/>
      <c r="C193" s="5" t="n"/>
      <c r="D193" s="17" t="n">
        <v>2010</v>
      </c>
      <c r="E193" s="5" t="inlineStr">
        <is>
          <t>Screen Awards</t>
        </is>
      </c>
      <c r="F193" s="5" t="inlineStr">
        <is>
          <t>Jodi of the Decade</t>
        </is>
      </c>
      <c r="G193" s="5" t="inlineStr">
        <is>
          <t>Shah Rukh Khan</t>
        </is>
      </c>
      <c r="H193" s="5" t="inlineStr">
        <is>
          <t>Individual</t>
        </is>
      </c>
      <c r="I193" s="5" t="inlineStr">
        <is>
          <t>Win</t>
        </is>
      </c>
      <c r="J193" s="5" t="inlineStr">
        <is>
          <t>Honorary</t>
        </is>
      </c>
      <c r="K193" s="5" t="n"/>
      <c r="L193" s="5" t="inlineStr">
        <is>
          <t>SOURCE-002</t>
        </is>
      </c>
      <c r="M193" s="5" t="inlineStr">
        <is>
          <t>Medium</t>
        </is>
      </c>
    </row>
    <row r="194" ht="19" customHeight="1">
      <c r="A194" s="15" t="inlineStr">
        <is>
          <t>AWARD-189</t>
        </is>
      </c>
      <c r="B194" s="20" t="inlineStr">
        <is>
          <t>FILM-071</t>
        </is>
      </c>
      <c r="C194" s="5" t="inlineStr">
        <is>
          <t>My Name Is Khan</t>
        </is>
      </c>
      <c r="D194" s="17" t="n">
        <v>2011</v>
      </c>
      <c r="E194" s="5" t="inlineStr">
        <is>
          <t>FICCI Frames Excellence Honours</t>
        </is>
      </c>
      <c r="F194" s="5" t="inlineStr">
        <is>
          <t>Best Actor</t>
        </is>
      </c>
      <c r="G194" s="5" t="inlineStr">
        <is>
          <t>Shah Rukh Khan</t>
        </is>
      </c>
      <c r="H194" s="5" t="inlineStr">
        <is>
          <t>Actor</t>
        </is>
      </c>
      <c r="I194" s="5" t="inlineStr">
        <is>
          <t>Win</t>
        </is>
      </c>
      <c r="J194" s="5" t="inlineStr">
        <is>
          <t>Competitive</t>
        </is>
      </c>
      <c r="K194" s="5" t="n"/>
      <c r="L194" s="5" t="inlineStr">
        <is>
          <t>SOURCE-002; SOURCE-074</t>
        </is>
      </c>
      <c r="M194" s="5" t="inlineStr">
        <is>
          <t>Medium</t>
        </is>
      </c>
    </row>
    <row r="195" ht="19" customHeight="1">
      <c r="A195" s="15" t="inlineStr">
        <is>
          <t>AWARD-190</t>
        </is>
      </c>
      <c r="B195" s="20" t="inlineStr">
        <is>
          <t>FILM-071</t>
        </is>
      </c>
      <c r="C195" s="5" t="inlineStr">
        <is>
          <t>My Name Is Khan</t>
        </is>
      </c>
      <c r="D195" s="17" t="n">
        <v>2011</v>
      </c>
      <c r="E195" s="5" t="inlineStr">
        <is>
          <t>Filmfare Awards</t>
        </is>
      </c>
      <c r="F195" s="5" t="inlineStr">
        <is>
          <t>Best Actor</t>
        </is>
      </c>
      <c r="G195" s="5" t="inlineStr">
        <is>
          <t>Shah Rukh Khan</t>
        </is>
      </c>
      <c r="H195" s="5" t="inlineStr">
        <is>
          <t>Actor</t>
        </is>
      </c>
      <c r="I195" s="5" t="inlineStr">
        <is>
          <t>Win</t>
        </is>
      </c>
      <c r="J195" s="5" t="inlineStr">
        <is>
          <t>Competitive</t>
        </is>
      </c>
      <c r="K195" s="5" t="n"/>
      <c r="L195" s="5" t="inlineStr">
        <is>
          <t>SOURCE-002; SOURCE-074</t>
        </is>
      </c>
      <c r="M195" s="5" t="inlineStr">
        <is>
          <t>Medium</t>
        </is>
      </c>
    </row>
    <row r="196" ht="19" customHeight="1">
      <c r="A196" s="15" t="inlineStr">
        <is>
          <t>AWARD-191</t>
        </is>
      </c>
      <c r="B196" s="20" t="inlineStr">
        <is>
          <t>FILM-071</t>
        </is>
      </c>
      <c r="C196" s="5" t="inlineStr">
        <is>
          <t>My Name Is Khan</t>
        </is>
      </c>
      <c r="D196" s="17" t="n">
        <v>2011</v>
      </c>
      <c r="E196" s="5" t="inlineStr">
        <is>
          <t>Filmfare Awards (56th)</t>
        </is>
      </c>
      <c r="F196" s="5" t="inlineStr">
        <is>
          <t>Best Actress</t>
        </is>
      </c>
      <c r="G196" s="5" t="inlineStr">
        <is>
          <t>Kajol</t>
        </is>
      </c>
      <c r="H196" s="5" t="inlineStr">
        <is>
          <t>Performer</t>
        </is>
      </c>
      <c r="I196" s="5" t="inlineStr">
        <is>
          <t>Win</t>
        </is>
      </c>
      <c r="J196" s="5" t="inlineStr">
        <is>
          <t>Competitive</t>
        </is>
      </c>
      <c r="K196" s="5" t="n"/>
      <c r="L196" s="5" t="inlineStr">
        <is>
          <t>SOURCE-108</t>
        </is>
      </c>
      <c r="M196" s="5" t="inlineStr">
        <is>
          <t>Medium</t>
        </is>
      </c>
    </row>
    <row r="197" ht="19" customHeight="1">
      <c r="A197" s="15" t="inlineStr">
        <is>
          <t>AWARD-192</t>
        </is>
      </c>
      <c r="B197" s="20" t="inlineStr">
        <is>
          <t>FILM-071</t>
        </is>
      </c>
      <c r="C197" s="5" t="inlineStr">
        <is>
          <t>My Name Is Khan</t>
        </is>
      </c>
      <c r="D197" s="17" t="n">
        <v>2011</v>
      </c>
      <c r="E197" s="5" t="inlineStr">
        <is>
          <t>Filmfare Awards (56th)</t>
        </is>
      </c>
      <c r="F197" s="5" t="inlineStr">
        <is>
          <t>Best Director</t>
        </is>
      </c>
      <c r="G197" s="5" t="inlineStr">
        <is>
          <t>Karan Johar</t>
        </is>
      </c>
      <c r="H197" s="5" t="inlineStr">
        <is>
          <t>Director</t>
        </is>
      </c>
      <c r="I197" s="5" t="inlineStr">
        <is>
          <t>Win</t>
        </is>
      </c>
      <c r="J197" s="5" t="inlineStr">
        <is>
          <t>Competitive</t>
        </is>
      </c>
      <c r="K197" s="5" t="n"/>
      <c r="L197" s="5" t="inlineStr">
        <is>
          <t>SOURCE-108</t>
        </is>
      </c>
      <c r="M197" s="5" t="inlineStr">
        <is>
          <t>Medium</t>
        </is>
      </c>
    </row>
    <row r="198" ht="34" customHeight="1">
      <c r="A198" s="15" t="inlineStr">
        <is>
          <t>AWARD-193</t>
        </is>
      </c>
      <c r="B198" s="20" t="inlineStr">
        <is>
          <t>FILM-071</t>
        </is>
      </c>
      <c r="C198" s="5" t="inlineStr">
        <is>
          <t>My Name Is Khan</t>
        </is>
      </c>
      <c r="D198" s="17" t="n">
        <v>2011</v>
      </c>
      <c r="E198" s="5" t="inlineStr">
        <is>
          <t>International Indian Film Academy Awards</t>
        </is>
      </c>
      <c r="F198" s="5" t="inlineStr">
        <is>
          <t>Best Actor</t>
        </is>
      </c>
      <c r="G198" s="5" t="inlineStr">
        <is>
          <t>Shah Rukh Khan</t>
        </is>
      </c>
      <c r="H198" s="5" t="inlineStr">
        <is>
          <t>Actor</t>
        </is>
      </c>
      <c r="I198" s="5" t="inlineStr">
        <is>
          <t>Win</t>
        </is>
      </c>
      <c r="J198" s="5" t="inlineStr">
        <is>
          <t>Competitive</t>
        </is>
      </c>
      <c r="K198" s="5" t="n"/>
      <c r="L198" s="5" t="inlineStr">
        <is>
          <t>SOURCE-002; SOURCE-074</t>
        </is>
      </c>
      <c r="M198" s="5" t="inlineStr">
        <is>
          <t>Medium</t>
        </is>
      </c>
    </row>
    <row r="199" ht="19" customHeight="1">
      <c r="A199" s="15" t="inlineStr">
        <is>
          <t>AWARD-194</t>
        </is>
      </c>
      <c r="B199" s="20" t="inlineStr">
        <is>
          <t>FILM-071</t>
        </is>
      </c>
      <c r="C199" s="5" t="inlineStr">
        <is>
          <t>My Name Is Khan</t>
        </is>
      </c>
      <c r="D199" s="17" t="n">
        <v>2011</v>
      </c>
      <c r="E199" s="5" t="inlineStr">
        <is>
          <t>Screen Awards</t>
        </is>
      </c>
      <c r="F199" s="5" t="inlineStr">
        <is>
          <t>Best Actor (Popular Choice)</t>
        </is>
      </c>
      <c r="G199" s="5" t="inlineStr">
        <is>
          <t>Shah Rukh Khan</t>
        </is>
      </c>
      <c r="H199" s="5" t="inlineStr">
        <is>
          <t>Actor</t>
        </is>
      </c>
      <c r="I199" s="5" t="inlineStr">
        <is>
          <t>Win</t>
        </is>
      </c>
      <c r="J199" s="5" t="inlineStr">
        <is>
          <t>Competitive</t>
        </is>
      </c>
      <c r="K199" s="5" t="n"/>
      <c r="L199" s="5" t="inlineStr">
        <is>
          <t>SOURCE-002; SOURCE-074</t>
        </is>
      </c>
      <c r="M199" s="5" t="inlineStr">
        <is>
          <t>Medium</t>
        </is>
      </c>
    </row>
    <row r="200" ht="49" customHeight="1">
      <c r="A200" s="15" t="inlineStr">
        <is>
          <t>AWARD-195</t>
        </is>
      </c>
      <c r="B200" s="20" t="inlineStr">
        <is>
          <t>FILM-071</t>
        </is>
      </c>
      <c r="C200" s="5" t="inlineStr">
        <is>
          <t>My Name Is Khan</t>
        </is>
      </c>
      <c r="D200" s="17" t="n">
        <v>2011</v>
      </c>
      <c r="E200" s="5" t="inlineStr">
        <is>
          <t>Stardust Awards</t>
        </is>
      </c>
      <c r="F200" s="5" t="inlineStr">
        <is>
          <t>Best Film – Drama</t>
        </is>
      </c>
      <c r="G200" s="5" t="inlineStr">
        <is>
          <t>Shah Rukh Khan</t>
        </is>
      </c>
      <c r="H200" s="5" t="inlineStr">
        <is>
          <t>Film</t>
        </is>
      </c>
      <c r="I200" s="5" t="inlineStr">
        <is>
          <t>Win</t>
        </is>
      </c>
      <c r="J200" s="5" t="inlineStr">
        <is>
          <t>Competitive</t>
        </is>
      </c>
      <c r="K200" s="5" t="inlineStr">
        <is>
          <t>Listed among Khan's awards; the film category is credited on his awards page without naming the recipient.</t>
        </is>
      </c>
      <c r="L200" s="5" t="inlineStr">
        <is>
          <t>SOURCE-002; SOURCE-074</t>
        </is>
      </c>
      <c r="M200" s="5" t="inlineStr">
        <is>
          <t>Medium</t>
        </is>
      </c>
    </row>
    <row r="201" ht="19" customHeight="1">
      <c r="A201" s="15" t="inlineStr">
        <is>
          <t>AWARD-196</t>
        </is>
      </c>
      <c r="B201" s="20" t="inlineStr">
        <is>
          <t>FILM-071</t>
        </is>
      </c>
      <c r="C201" s="5" t="inlineStr">
        <is>
          <t>My Name Is Khan</t>
        </is>
      </c>
      <c r="D201" s="17" t="n">
        <v>2011</v>
      </c>
      <c r="E201" s="5" t="inlineStr">
        <is>
          <t>Zee Cine Awards</t>
        </is>
      </c>
      <c r="F201" s="5" t="inlineStr">
        <is>
          <t>Best Actor – Male</t>
        </is>
      </c>
      <c r="G201" s="5" t="inlineStr">
        <is>
          <t>Shah Rukh Khan</t>
        </is>
      </c>
      <c r="H201" s="5" t="inlineStr">
        <is>
          <t>Actor</t>
        </is>
      </c>
      <c r="I201" s="5" t="inlineStr">
        <is>
          <t>Win</t>
        </is>
      </c>
      <c r="J201" s="5" t="inlineStr">
        <is>
          <t>Competitive</t>
        </is>
      </c>
      <c r="K201" s="5" t="n"/>
      <c r="L201" s="5" t="inlineStr">
        <is>
          <t>SOURCE-002; SOURCE-074</t>
        </is>
      </c>
      <c r="M201" s="5" t="inlineStr">
        <is>
          <t>Medium</t>
        </is>
      </c>
    </row>
    <row r="202" ht="19" customHeight="1">
      <c r="A202" s="15" t="inlineStr">
        <is>
          <t>AWARD-197</t>
        </is>
      </c>
      <c r="B202" s="20" t="n"/>
      <c r="C202" s="5" t="n"/>
      <c r="D202" s="17" t="n">
        <v>2011</v>
      </c>
      <c r="E202" s="5" t="inlineStr">
        <is>
          <t>Morocco</t>
        </is>
      </c>
      <c r="F202" s="5" t="inlineStr">
        <is>
          <t>L'Étoile d'Or</t>
        </is>
      </c>
      <c r="G202" s="5" t="inlineStr">
        <is>
          <t>Shah Rukh Khan</t>
        </is>
      </c>
      <c r="H202" s="5" t="inlineStr">
        <is>
          <t>Individual</t>
        </is>
      </c>
      <c r="I202" s="5" t="inlineStr">
        <is>
          <t>Win</t>
        </is>
      </c>
      <c r="J202" s="5" t="inlineStr">
        <is>
          <t>Honorary</t>
        </is>
      </c>
      <c r="K202" s="5" t="n"/>
      <c r="L202" s="5" t="inlineStr">
        <is>
          <t>SOURCE-002</t>
        </is>
      </c>
      <c r="M202" s="5" t="inlineStr">
        <is>
          <t>Medium</t>
        </is>
      </c>
    </row>
    <row r="203" ht="34" customHeight="1">
      <c r="A203" s="15" t="inlineStr">
        <is>
          <t>AWARD-198</t>
        </is>
      </c>
      <c r="B203" s="20" t="n"/>
      <c r="C203" s="5" t="n"/>
      <c r="D203" s="17" t="n">
        <v>2011</v>
      </c>
      <c r="E203" s="5" t="inlineStr">
        <is>
          <t>Producers Guild Film Awards</t>
        </is>
      </c>
      <c r="F203" s="5" t="inlineStr">
        <is>
          <t>Hindustan Times Reader's Choice Entertainer of the Year – Male</t>
        </is>
      </c>
      <c r="G203" s="5" t="inlineStr">
        <is>
          <t>Shah Rukh Khan</t>
        </is>
      </c>
      <c r="H203" s="5" t="inlineStr">
        <is>
          <t>Individual</t>
        </is>
      </c>
      <c r="I203" s="5" t="inlineStr">
        <is>
          <t>Win</t>
        </is>
      </c>
      <c r="J203" s="5" t="inlineStr">
        <is>
          <t>Honorary</t>
        </is>
      </c>
      <c r="K203" s="5" t="n"/>
      <c r="L203" s="5" t="inlineStr">
        <is>
          <t>SOURCE-002</t>
        </is>
      </c>
      <c r="M203" s="5" t="inlineStr">
        <is>
          <t>Medium</t>
        </is>
      </c>
    </row>
    <row r="204" ht="19" customHeight="1">
      <c r="A204" s="15" t="inlineStr">
        <is>
          <t>AWARD-199</t>
        </is>
      </c>
      <c r="B204" s="20" t="n"/>
      <c r="C204" s="5" t="n"/>
      <c r="D204" s="17" t="n">
        <v>2011</v>
      </c>
      <c r="E204" s="5" t="inlineStr">
        <is>
          <t>UNESCO</t>
        </is>
      </c>
      <c r="F204" s="5" t="inlineStr">
        <is>
          <t>Pyramide con Marni Award</t>
        </is>
      </c>
      <c r="G204" s="5" t="inlineStr">
        <is>
          <t>Shah Rukh Khan</t>
        </is>
      </c>
      <c r="H204" s="5" t="inlineStr">
        <is>
          <t>Individual</t>
        </is>
      </c>
      <c r="I204" s="5" t="inlineStr">
        <is>
          <t>Win</t>
        </is>
      </c>
      <c r="J204" s="5" t="inlineStr">
        <is>
          <t>Honorary</t>
        </is>
      </c>
      <c r="K204" s="5" t="n"/>
      <c r="L204" s="5" t="inlineStr">
        <is>
          <t>SOURCE-002</t>
        </is>
      </c>
      <c r="M204" s="5" t="inlineStr">
        <is>
          <t>Medium</t>
        </is>
      </c>
    </row>
    <row r="205" ht="19" customHeight="1">
      <c r="A205" s="15" t="inlineStr">
        <is>
          <t>AWARD-200</t>
        </is>
      </c>
      <c r="B205" s="20" t="inlineStr">
        <is>
          <t>FILM-075</t>
        </is>
      </c>
      <c r="C205" s="5" t="inlineStr">
        <is>
          <t>Ra.One</t>
        </is>
      </c>
      <c r="D205" s="17" t="n">
        <v>2012</v>
      </c>
      <c r="E205" s="5" t="inlineStr">
        <is>
          <t>Filmfare Awards (57th)</t>
        </is>
      </c>
      <c r="F205" s="5" t="inlineStr">
        <is>
          <t>Best Special Effects</t>
        </is>
      </c>
      <c r="G205" s="5" t="inlineStr">
        <is>
          <t>Red Chillies VFX</t>
        </is>
      </c>
      <c r="H205" s="5" t="inlineStr">
        <is>
          <t>Technician</t>
        </is>
      </c>
      <c r="I205" s="5" t="inlineStr">
        <is>
          <t>Win</t>
        </is>
      </c>
      <c r="J205" s="5" t="inlineStr">
        <is>
          <t>Competitive</t>
        </is>
      </c>
      <c r="K205" s="5" t="n"/>
      <c r="L205" s="5" t="inlineStr">
        <is>
          <t>SOURCE-109</t>
        </is>
      </c>
      <c r="M205" s="5" t="inlineStr">
        <is>
          <t>Medium</t>
        </is>
      </c>
    </row>
    <row r="206" ht="34" customHeight="1">
      <c r="A206" s="15" t="inlineStr">
        <is>
          <t>AWARD-201</t>
        </is>
      </c>
      <c r="B206" s="20" t="inlineStr">
        <is>
          <t>FILM-075</t>
        </is>
      </c>
      <c r="C206" s="5" t="inlineStr">
        <is>
          <t>Ra.One</t>
        </is>
      </c>
      <c r="D206" s="17" t="n">
        <v>2012</v>
      </c>
      <c r="E206" s="5" t="inlineStr">
        <is>
          <t>National Film Awards</t>
        </is>
      </c>
      <c r="F206" s="5" t="inlineStr">
        <is>
          <t>Best Special Effects</t>
        </is>
      </c>
      <c r="G206" s="5" t="inlineStr">
        <is>
          <t>Harry Hingorani, Keitan Yadav</t>
        </is>
      </c>
      <c r="H206" s="5" t="inlineStr">
        <is>
          <t>Technician</t>
        </is>
      </c>
      <c r="I206" s="5" t="inlineStr">
        <is>
          <t>Win</t>
        </is>
      </c>
      <c r="J206" s="5" t="inlineStr">
        <is>
          <t>Competitive</t>
        </is>
      </c>
      <c r="K206" s="5" t="n"/>
      <c r="L206" s="5" t="inlineStr">
        <is>
          <t>SOURCE-109</t>
        </is>
      </c>
      <c r="M206" s="5" t="inlineStr">
        <is>
          <t>Medium</t>
        </is>
      </c>
    </row>
    <row r="207" ht="19" customHeight="1">
      <c r="A207" s="15" t="inlineStr">
        <is>
          <t>AWARD-202</t>
        </is>
      </c>
      <c r="B207" s="20" t="inlineStr">
        <is>
          <t>FILM-076</t>
        </is>
      </c>
      <c r="C207" s="5" t="inlineStr">
        <is>
          <t>Don 2</t>
        </is>
      </c>
      <c r="D207" s="17" t="n">
        <v>2012</v>
      </c>
      <c r="E207" s="5" t="inlineStr">
        <is>
          <t>Filmfare Awards</t>
        </is>
      </c>
      <c r="F207" s="5" t="inlineStr">
        <is>
          <t>Best Actor</t>
        </is>
      </c>
      <c r="G207" s="5" t="inlineStr">
        <is>
          <t>Shah Rukh Khan</t>
        </is>
      </c>
      <c r="H207" s="5" t="inlineStr">
        <is>
          <t>Actor</t>
        </is>
      </c>
      <c r="I207" s="5" t="inlineStr">
        <is>
          <t>Nomination</t>
        </is>
      </c>
      <c r="J207" s="5" t="inlineStr">
        <is>
          <t>Competitive</t>
        </is>
      </c>
      <c r="K207" s="5" t="n"/>
      <c r="L207" s="5" t="inlineStr">
        <is>
          <t>SOURCE-002; SOURCE-079</t>
        </is>
      </c>
      <c r="M207" s="5" t="inlineStr">
        <is>
          <t>Medium</t>
        </is>
      </c>
    </row>
    <row r="208" ht="19" customHeight="1">
      <c r="A208" s="15" t="inlineStr">
        <is>
          <t>AWARD-203</t>
        </is>
      </c>
      <c r="B208" s="20" t="inlineStr">
        <is>
          <t>FILM-076</t>
        </is>
      </c>
      <c r="C208" s="5" t="inlineStr">
        <is>
          <t>Don 2</t>
        </is>
      </c>
      <c r="D208" s="17" t="n">
        <v>2012</v>
      </c>
      <c r="E208" s="5" t="inlineStr">
        <is>
          <t>Filmfare Awards</t>
        </is>
      </c>
      <c r="F208" s="5" t="inlineStr">
        <is>
          <t>Best Film</t>
        </is>
      </c>
      <c r="G208" s="5" t="inlineStr">
        <is>
          <t>Shah Rukh Khan</t>
        </is>
      </c>
      <c r="H208" s="5" t="inlineStr">
        <is>
          <t>Producer</t>
        </is>
      </c>
      <c r="I208" s="5" t="inlineStr">
        <is>
          <t>Nomination</t>
        </is>
      </c>
      <c r="J208" s="5" t="inlineStr">
        <is>
          <t>Competitive</t>
        </is>
      </c>
      <c r="K208" s="5" t="n"/>
      <c r="L208" s="5" t="inlineStr">
        <is>
          <t>SOURCE-002; SOURCE-079</t>
        </is>
      </c>
      <c r="M208" s="5" t="inlineStr">
        <is>
          <t>Medium</t>
        </is>
      </c>
    </row>
    <row r="209" ht="19" customHeight="1">
      <c r="A209" s="15" t="inlineStr">
        <is>
          <t>AWARD-204</t>
        </is>
      </c>
      <c r="B209" s="20" t="inlineStr">
        <is>
          <t>FILM-076</t>
        </is>
      </c>
      <c r="C209" s="5" t="inlineStr">
        <is>
          <t>Don 2</t>
        </is>
      </c>
      <c r="D209" s="17" t="n">
        <v>2012</v>
      </c>
      <c r="E209" s="5" t="inlineStr">
        <is>
          <t>Filmfare Awards (57th)</t>
        </is>
      </c>
      <c r="F209" s="5" t="inlineStr">
        <is>
          <t>Best Action</t>
        </is>
      </c>
      <c r="G209" s="5" t="inlineStr">
        <is>
          <t>Matthias Barsch</t>
        </is>
      </c>
      <c r="H209" s="5" t="inlineStr">
        <is>
          <t>Technician</t>
        </is>
      </c>
      <c r="I209" s="5" t="inlineStr">
        <is>
          <t>Win</t>
        </is>
      </c>
      <c r="J209" s="5" t="inlineStr">
        <is>
          <t>Competitive</t>
        </is>
      </c>
      <c r="K209" s="5" t="n"/>
      <c r="L209" s="5" t="inlineStr">
        <is>
          <t>SOURCE-079</t>
        </is>
      </c>
      <c r="M209" s="5" t="inlineStr">
        <is>
          <t>Medium</t>
        </is>
      </c>
    </row>
    <row r="210" ht="19" customHeight="1">
      <c r="A210" s="15" t="inlineStr">
        <is>
          <t>AWARD-205</t>
        </is>
      </c>
      <c r="B210" s="20" t="inlineStr">
        <is>
          <t>FILM-076</t>
        </is>
      </c>
      <c r="C210" s="5" t="inlineStr">
        <is>
          <t>Don 2</t>
        </is>
      </c>
      <c r="D210" s="17" t="n">
        <v>2012</v>
      </c>
      <c r="E210" s="5" t="inlineStr">
        <is>
          <t>Filmfare Awards (57th)</t>
        </is>
      </c>
      <c r="F210" s="5" t="inlineStr">
        <is>
          <t>Best Sound Design</t>
        </is>
      </c>
      <c r="G210" s="5" t="inlineStr">
        <is>
          <t>Nakul Kamte</t>
        </is>
      </c>
      <c r="H210" s="5" t="inlineStr">
        <is>
          <t>Technician</t>
        </is>
      </c>
      <c r="I210" s="5" t="inlineStr">
        <is>
          <t>Win</t>
        </is>
      </c>
      <c r="J210" s="5" t="inlineStr">
        <is>
          <t>Competitive</t>
        </is>
      </c>
      <c r="K210" s="5" t="n"/>
      <c r="L210" s="5" t="inlineStr">
        <is>
          <t>SOURCE-079</t>
        </is>
      </c>
      <c r="M210" s="5" t="inlineStr">
        <is>
          <t>Medium</t>
        </is>
      </c>
    </row>
    <row r="211" ht="19" customHeight="1">
      <c r="A211" s="15" t="inlineStr">
        <is>
          <t>AWARD-206</t>
        </is>
      </c>
      <c r="B211" s="20" t="inlineStr">
        <is>
          <t>FILM-076</t>
        </is>
      </c>
      <c r="C211" s="5" t="inlineStr">
        <is>
          <t>Don 2</t>
        </is>
      </c>
      <c r="D211" s="17" t="n">
        <v>2012</v>
      </c>
      <c r="E211" s="5" t="inlineStr">
        <is>
          <t>Screen Awards</t>
        </is>
      </c>
      <c r="F211" s="5" t="inlineStr">
        <is>
          <t>Best Actor (Popular Choice)</t>
        </is>
      </c>
      <c r="G211" s="5" t="inlineStr">
        <is>
          <t>Shah Rukh Khan</t>
        </is>
      </c>
      <c r="H211" s="5" t="inlineStr">
        <is>
          <t>Actor</t>
        </is>
      </c>
      <c r="I211" s="5" t="inlineStr">
        <is>
          <t>Win</t>
        </is>
      </c>
      <c r="J211" s="5" t="inlineStr">
        <is>
          <t>Competitive</t>
        </is>
      </c>
      <c r="K211" s="5" t="n"/>
      <c r="L211" s="5" t="inlineStr">
        <is>
          <t>SOURCE-002; SOURCE-079</t>
        </is>
      </c>
      <c r="M211" s="5" t="inlineStr">
        <is>
          <t>Medium</t>
        </is>
      </c>
    </row>
    <row r="212" ht="19" customHeight="1">
      <c r="A212" s="15" t="inlineStr">
        <is>
          <t>AWARD-207</t>
        </is>
      </c>
      <c r="B212" s="20" t="inlineStr">
        <is>
          <t>FILM-076</t>
        </is>
      </c>
      <c r="C212" s="5" t="inlineStr">
        <is>
          <t>Don 2</t>
        </is>
      </c>
      <c r="D212" s="17" t="n">
        <v>2012</v>
      </c>
      <c r="E212" s="5" t="inlineStr">
        <is>
          <t>Screen Awards</t>
        </is>
      </c>
      <c r="F212" s="5" t="inlineStr">
        <is>
          <t>Jodi No. 1</t>
        </is>
      </c>
      <c r="G212" s="5" t="inlineStr">
        <is>
          <t>Shah Rukh Khan</t>
        </is>
      </c>
      <c r="H212" s="5" t="inlineStr">
        <is>
          <t>Actor</t>
        </is>
      </c>
      <c r="I212" s="5" t="inlineStr">
        <is>
          <t>Win</t>
        </is>
      </c>
      <c r="J212" s="5" t="inlineStr">
        <is>
          <t>Competitive</t>
        </is>
      </c>
      <c r="K212" s="5" t="n"/>
      <c r="L212" s="5" t="inlineStr">
        <is>
          <t>SOURCE-002; SOURCE-079</t>
        </is>
      </c>
      <c r="M212" s="5" t="inlineStr">
        <is>
          <t>Medium</t>
        </is>
      </c>
    </row>
    <row r="213" ht="19" customHeight="1">
      <c r="A213" s="15" t="inlineStr">
        <is>
          <t>AWARD-208</t>
        </is>
      </c>
      <c r="B213" s="20" t="inlineStr">
        <is>
          <t>FILM-076</t>
        </is>
      </c>
      <c r="C213" s="5" t="inlineStr">
        <is>
          <t>Don 2</t>
        </is>
      </c>
      <c r="D213" s="17" t="n">
        <v>2012</v>
      </c>
      <c r="E213" s="5" t="inlineStr">
        <is>
          <t>Zee Cine Awards</t>
        </is>
      </c>
      <c r="F213" s="5" t="inlineStr">
        <is>
          <t>Critics Award for Best Actor – Male</t>
        </is>
      </c>
      <c r="G213" s="5" t="inlineStr">
        <is>
          <t>Shah Rukh Khan</t>
        </is>
      </c>
      <c r="H213" s="5" t="inlineStr">
        <is>
          <t>Actor</t>
        </is>
      </c>
      <c r="I213" s="5" t="inlineStr">
        <is>
          <t>Win</t>
        </is>
      </c>
      <c r="J213" s="5" t="inlineStr">
        <is>
          <t>Competitive</t>
        </is>
      </c>
      <c r="K213" s="5" t="n"/>
      <c r="L213" s="5" t="inlineStr">
        <is>
          <t>SOURCE-002; SOURCE-079</t>
        </is>
      </c>
      <c r="M213" s="5" t="inlineStr">
        <is>
          <t>Medium</t>
        </is>
      </c>
    </row>
    <row r="214" ht="34" customHeight="1">
      <c r="A214" s="15" t="inlineStr">
        <is>
          <t>AWARD-209</t>
        </is>
      </c>
      <c r="B214" s="20" t="inlineStr">
        <is>
          <t>FILM-077</t>
        </is>
      </c>
      <c r="C214" s="5" t="inlineStr">
        <is>
          <t>Jab Tak Hai Jaan</t>
        </is>
      </c>
      <c r="D214" s="17" t="n">
        <v>2012</v>
      </c>
      <c r="E214" s="5" t="inlineStr">
        <is>
          <t>BIG Star Entertainment Awards</t>
        </is>
      </c>
      <c r="F214" s="5" t="inlineStr">
        <is>
          <t>Most Entertaining Actor in a Romantic Film – Male</t>
        </is>
      </c>
      <c r="G214" s="5" t="inlineStr">
        <is>
          <t>Shah Rukh Khan</t>
        </is>
      </c>
      <c r="H214" s="5" t="inlineStr">
        <is>
          <t>Actor</t>
        </is>
      </c>
      <c r="I214" s="5" t="inlineStr">
        <is>
          <t>Win</t>
        </is>
      </c>
      <c r="J214" s="5" t="inlineStr">
        <is>
          <t>Competitive</t>
        </is>
      </c>
      <c r="K214" s="5" t="n"/>
      <c r="L214" s="5" t="inlineStr">
        <is>
          <t>SOURCE-002; SOURCE-080</t>
        </is>
      </c>
      <c r="M214" s="5" t="inlineStr">
        <is>
          <t>Medium</t>
        </is>
      </c>
    </row>
    <row r="215" ht="19" customHeight="1">
      <c r="A215" s="15" t="inlineStr">
        <is>
          <t>AWARD-210</t>
        </is>
      </c>
      <c r="B215" s="20" t="inlineStr">
        <is>
          <t>FILM-077</t>
        </is>
      </c>
      <c r="C215" s="5" t="inlineStr">
        <is>
          <t>Jab Tak Hai Jaan</t>
        </is>
      </c>
      <c r="D215" s="17" t="n">
        <v>2012</v>
      </c>
      <c r="E215" s="5" t="inlineStr">
        <is>
          <t>BIG Star Entertainment Awards</t>
        </is>
      </c>
      <c r="F215" s="5" t="inlineStr">
        <is>
          <t>Most Entertaining Film Actor – Male</t>
        </is>
      </c>
      <c r="G215" s="5" t="inlineStr">
        <is>
          <t>Shah Rukh Khan</t>
        </is>
      </c>
      <c r="H215" s="5" t="inlineStr">
        <is>
          <t>Actor</t>
        </is>
      </c>
      <c r="I215" s="5" t="inlineStr">
        <is>
          <t>Win</t>
        </is>
      </c>
      <c r="J215" s="5" t="inlineStr">
        <is>
          <t>Competitive</t>
        </is>
      </c>
      <c r="K215" s="5" t="n"/>
      <c r="L215" s="5" t="inlineStr">
        <is>
          <t>SOURCE-002; SOURCE-080</t>
        </is>
      </c>
      <c r="M215" s="5" t="inlineStr">
        <is>
          <t>Medium</t>
        </is>
      </c>
    </row>
    <row r="216" ht="19" customHeight="1">
      <c r="A216" s="15" t="inlineStr">
        <is>
          <t>AWARD-211</t>
        </is>
      </c>
      <c r="B216" s="20" t="inlineStr">
        <is>
          <t>FILM-077</t>
        </is>
      </c>
      <c r="C216" s="5" t="inlineStr">
        <is>
          <t>Jab Tak Hai Jaan</t>
        </is>
      </c>
      <c r="D216" s="17" t="n">
        <v>2012</v>
      </c>
      <c r="E216" s="5" t="inlineStr">
        <is>
          <t>BIG Star Entertainment Awards</t>
        </is>
      </c>
      <c r="F216" s="5" t="inlineStr">
        <is>
          <t>Most Entertaining On-screen Couple</t>
        </is>
      </c>
      <c r="G216" s="5" t="inlineStr">
        <is>
          <t>Shah Rukh Khan</t>
        </is>
      </c>
      <c r="H216" s="5" t="inlineStr">
        <is>
          <t>Actor</t>
        </is>
      </c>
      <c r="I216" s="5" t="inlineStr">
        <is>
          <t>Win</t>
        </is>
      </c>
      <c r="J216" s="5" t="inlineStr">
        <is>
          <t>Competitive</t>
        </is>
      </c>
      <c r="K216" s="5" t="n"/>
      <c r="L216" s="5" t="inlineStr">
        <is>
          <t>SOURCE-002; SOURCE-080</t>
        </is>
      </c>
      <c r="M216" s="5" t="inlineStr">
        <is>
          <t>Medium</t>
        </is>
      </c>
    </row>
    <row r="217" ht="19" customHeight="1">
      <c r="A217" s="15" t="inlineStr">
        <is>
          <t>AWARD-212</t>
        </is>
      </c>
      <c r="B217" s="20" t="n"/>
      <c r="C217" s="5" t="n"/>
      <c r="D217" s="17" t="n">
        <v>2012</v>
      </c>
      <c r="E217" s="5" t="inlineStr">
        <is>
          <t>Asianet Film Awards</t>
        </is>
      </c>
      <c r="F217" s="5" t="inlineStr">
        <is>
          <t>Lifetime Achievement Award</t>
        </is>
      </c>
      <c r="G217" s="5" t="inlineStr">
        <is>
          <t>Shah Rukh Khan</t>
        </is>
      </c>
      <c r="H217" s="5" t="inlineStr">
        <is>
          <t>Individual</t>
        </is>
      </c>
      <c r="I217" s="5" t="inlineStr">
        <is>
          <t>Win</t>
        </is>
      </c>
      <c r="J217" s="5" t="inlineStr">
        <is>
          <t>Honorary</t>
        </is>
      </c>
      <c r="K217" s="5" t="n"/>
      <c r="L217" s="5" t="inlineStr">
        <is>
          <t>SOURCE-002</t>
        </is>
      </c>
      <c r="M217" s="5" t="inlineStr">
        <is>
          <t>Medium</t>
        </is>
      </c>
    </row>
    <row r="218" ht="19" customHeight="1">
      <c r="A218" s="15" t="inlineStr">
        <is>
          <t>AWARD-213</t>
        </is>
      </c>
      <c r="B218" s="20" t="n"/>
      <c r="C218" s="5" t="n"/>
      <c r="D218" s="17" t="n">
        <v>2012</v>
      </c>
      <c r="E218" s="5" t="inlineStr">
        <is>
          <t>ETC Bollywood Business Awards</t>
        </is>
      </c>
      <c r="F218" s="5" t="inlineStr">
        <is>
          <t>Most Profitable Actor – Male</t>
        </is>
      </c>
      <c r="G218" s="5" t="inlineStr">
        <is>
          <t>Shah Rukh Khan</t>
        </is>
      </c>
      <c r="H218" s="5" t="inlineStr">
        <is>
          <t>Individual</t>
        </is>
      </c>
      <c r="I218" s="5" t="inlineStr">
        <is>
          <t>Win</t>
        </is>
      </c>
      <c r="J218" s="5" t="inlineStr">
        <is>
          <t>Honorary</t>
        </is>
      </c>
      <c r="K218" s="5" t="n"/>
      <c r="L218" s="5" t="inlineStr">
        <is>
          <t>SOURCE-002</t>
        </is>
      </c>
      <c r="M218" s="5" t="inlineStr">
        <is>
          <t>Medium</t>
        </is>
      </c>
    </row>
    <row r="219" ht="19" customHeight="1">
      <c r="A219" s="15" t="inlineStr">
        <is>
          <t>AWARD-214</t>
        </is>
      </c>
      <c r="B219" s="20" t="n"/>
      <c r="C219" s="5" t="n"/>
      <c r="D219" s="17" t="n">
        <v>2012</v>
      </c>
      <c r="E219" s="5" t="inlineStr">
        <is>
          <t>Malaysia</t>
        </is>
      </c>
      <c r="F219" s="5" t="inlineStr">
        <is>
          <t>BrandLaureate Legendary Award</t>
        </is>
      </c>
      <c r="G219" s="5" t="inlineStr">
        <is>
          <t>Shah Rukh Khan</t>
        </is>
      </c>
      <c r="H219" s="5" t="inlineStr">
        <is>
          <t>Individual</t>
        </is>
      </c>
      <c r="I219" s="5" t="inlineStr">
        <is>
          <t>Win</t>
        </is>
      </c>
      <c r="J219" s="5" t="inlineStr">
        <is>
          <t>Honorary</t>
        </is>
      </c>
      <c r="K219" s="5" t="n"/>
      <c r="L219" s="5" t="inlineStr">
        <is>
          <t>SOURCE-002</t>
        </is>
      </c>
      <c r="M219" s="5" t="inlineStr">
        <is>
          <t>Medium</t>
        </is>
      </c>
    </row>
    <row r="220" ht="19" customHeight="1">
      <c r="A220" s="15" t="inlineStr">
        <is>
          <t>AWARD-215</t>
        </is>
      </c>
      <c r="B220" s="20" t="n"/>
      <c r="C220" s="5" t="n"/>
      <c r="D220" s="17" t="n">
        <v>2012</v>
      </c>
      <c r="E220" s="5" t="inlineStr">
        <is>
          <t>Morocco</t>
        </is>
      </c>
      <c r="F220" s="5" t="inlineStr">
        <is>
          <t>Wissame al-Kafaa al-Fikria</t>
        </is>
      </c>
      <c r="G220" s="5" t="inlineStr">
        <is>
          <t>Shah Rukh Khan</t>
        </is>
      </c>
      <c r="H220" s="5" t="inlineStr">
        <is>
          <t>Individual</t>
        </is>
      </c>
      <c r="I220" s="5" t="inlineStr">
        <is>
          <t>Win</t>
        </is>
      </c>
      <c r="J220" s="5" t="inlineStr">
        <is>
          <t>Honorary</t>
        </is>
      </c>
      <c r="K220" s="5" t="n"/>
      <c r="L220" s="5" t="inlineStr">
        <is>
          <t>SOURCE-002</t>
        </is>
      </c>
      <c r="M220" s="5" t="inlineStr">
        <is>
          <t>Medium</t>
        </is>
      </c>
    </row>
    <row r="221" ht="34" customHeight="1">
      <c r="A221" s="15" t="inlineStr">
        <is>
          <t>AWARD-216</t>
        </is>
      </c>
      <c r="B221" s="20" t="n"/>
      <c r="C221" s="5" t="n"/>
      <c r="D221" s="17" t="n">
        <v>2012</v>
      </c>
      <c r="E221" s="5" t="inlineStr">
        <is>
          <t>NDTV Profit Business Leadership Awards</t>
        </is>
      </c>
      <c r="F221" s="5" t="inlineStr">
        <is>
          <t>Creative Entrepreneur of the Year</t>
        </is>
      </c>
      <c r="G221" s="5" t="inlineStr">
        <is>
          <t>Shah Rukh Khan</t>
        </is>
      </c>
      <c r="H221" s="5" t="inlineStr">
        <is>
          <t>Individual</t>
        </is>
      </c>
      <c r="I221" s="5" t="inlineStr">
        <is>
          <t>Win</t>
        </is>
      </c>
      <c r="J221" s="5" t="inlineStr">
        <is>
          <t>Honorary</t>
        </is>
      </c>
      <c r="K221" s="5" t="n"/>
      <c r="L221" s="5" t="inlineStr">
        <is>
          <t>SOURCE-002</t>
        </is>
      </c>
      <c r="M221" s="5" t="inlineStr">
        <is>
          <t>Medium</t>
        </is>
      </c>
    </row>
    <row r="222" ht="19" customHeight="1">
      <c r="A222" s="15" t="inlineStr">
        <is>
          <t>AWARD-217</t>
        </is>
      </c>
      <c r="B222" s="20" t="n"/>
      <c r="C222" s="5" t="n"/>
      <c r="D222" s="17" t="n">
        <v>2012</v>
      </c>
      <c r="E222" s="5" t="inlineStr">
        <is>
          <t>Yale University</t>
        </is>
      </c>
      <c r="F222" s="5" t="inlineStr">
        <is>
          <t>Chubb Fellowship</t>
        </is>
      </c>
      <c r="G222" s="5" t="inlineStr">
        <is>
          <t>Shah Rukh Khan</t>
        </is>
      </c>
      <c r="H222" s="5" t="inlineStr">
        <is>
          <t>Individual</t>
        </is>
      </c>
      <c r="I222" s="5" t="inlineStr">
        <is>
          <t>Win</t>
        </is>
      </c>
      <c r="J222" s="5" t="inlineStr">
        <is>
          <t>Honorary</t>
        </is>
      </c>
      <c r="K222" s="5" t="n"/>
      <c r="L222" s="5" t="inlineStr">
        <is>
          <t>SOURCE-002</t>
        </is>
      </c>
      <c r="M222" s="5" t="inlineStr">
        <is>
          <t>Medium</t>
        </is>
      </c>
    </row>
    <row r="223" ht="19" customHeight="1">
      <c r="A223" s="15" t="inlineStr">
        <is>
          <t>AWARD-218</t>
        </is>
      </c>
      <c r="B223" s="20" t="inlineStr">
        <is>
          <t>FILM-077</t>
        </is>
      </c>
      <c r="C223" s="5" t="inlineStr">
        <is>
          <t>Jab Tak Hai Jaan</t>
        </is>
      </c>
      <c r="D223" s="17" t="n">
        <v>2013</v>
      </c>
      <c r="E223" s="5" t="inlineStr">
        <is>
          <t>Filmfare Awards</t>
        </is>
      </c>
      <c r="F223" s="5" t="inlineStr">
        <is>
          <t>Best Actor</t>
        </is>
      </c>
      <c r="G223" s="5" t="inlineStr">
        <is>
          <t>Shah Rukh Khan</t>
        </is>
      </c>
      <c r="H223" s="5" t="inlineStr">
        <is>
          <t>Actor</t>
        </is>
      </c>
      <c r="I223" s="5" t="inlineStr">
        <is>
          <t>Nomination</t>
        </is>
      </c>
      <c r="J223" s="5" t="inlineStr">
        <is>
          <t>Competitive</t>
        </is>
      </c>
      <c r="K223" s="5" t="n"/>
      <c r="L223" s="5" t="inlineStr">
        <is>
          <t>SOURCE-002; SOURCE-080</t>
        </is>
      </c>
      <c r="M223" s="5" t="inlineStr">
        <is>
          <t>Medium</t>
        </is>
      </c>
    </row>
    <row r="224" ht="19" customHeight="1">
      <c r="A224" s="15" t="inlineStr">
        <is>
          <t>AWARD-219</t>
        </is>
      </c>
      <c r="B224" s="20" t="inlineStr">
        <is>
          <t>FILM-077</t>
        </is>
      </c>
      <c r="C224" s="5" t="inlineStr">
        <is>
          <t>Jab Tak Hai Jaan</t>
        </is>
      </c>
      <c r="D224" s="17" t="n">
        <v>2013</v>
      </c>
      <c r="E224" s="5" t="inlineStr">
        <is>
          <t>Filmfare Awards (58th)</t>
        </is>
      </c>
      <c r="F224" s="5" t="inlineStr">
        <is>
          <t>Best Lyricist</t>
        </is>
      </c>
      <c r="G224" s="5" t="inlineStr">
        <is>
          <t>Gulzar for "Challa"</t>
        </is>
      </c>
      <c r="H224" s="5" t="inlineStr">
        <is>
          <t>Music</t>
        </is>
      </c>
      <c r="I224" s="5" t="inlineStr">
        <is>
          <t>Win</t>
        </is>
      </c>
      <c r="J224" s="5" t="inlineStr">
        <is>
          <t>Competitive</t>
        </is>
      </c>
      <c r="K224" s="5" t="n"/>
      <c r="L224" s="5" t="inlineStr">
        <is>
          <t>SOURCE-080</t>
        </is>
      </c>
      <c r="M224" s="5" t="inlineStr">
        <is>
          <t>Medium</t>
        </is>
      </c>
    </row>
    <row r="225" ht="19" customHeight="1">
      <c r="A225" s="15" t="inlineStr">
        <is>
          <t>AWARD-220</t>
        </is>
      </c>
      <c r="B225" s="20" t="inlineStr">
        <is>
          <t>FILM-077</t>
        </is>
      </c>
      <c r="C225" s="5" t="inlineStr">
        <is>
          <t>Jab Tak Hai Jaan</t>
        </is>
      </c>
      <c r="D225" s="17" t="n">
        <v>2013</v>
      </c>
      <c r="E225" s="5" t="inlineStr">
        <is>
          <t>Filmfare Awards (58th)</t>
        </is>
      </c>
      <c r="F225" s="5" t="inlineStr">
        <is>
          <t>Best Supporting Actress</t>
        </is>
      </c>
      <c r="G225" s="5" t="inlineStr">
        <is>
          <t>Anushka Sharma</t>
        </is>
      </c>
      <c r="H225" s="5" t="inlineStr">
        <is>
          <t>Performer</t>
        </is>
      </c>
      <c r="I225" s="5" t="inlineStr">
        <is>
          <t>Win</t>
        </is>
      </c>
      <c r="J225" s="5" t="inlineStr">
        <is>
          <t>Competitive</t>
        </is>
      </c>
      <c r="K225" s="5" t="n"/>
      <c r="L225" s="5" t="inlineStr">
        <is>
          <t>SOURCE-080</t>
        </is>
      </c>
      <c r="M225" s="5" t="inlineStr">
        <is>
          <t>Medium</t>
        </is>
      </c>
    </row>
    <row r="226" ht="34" customHeight="1">
      <c r="A226" s="15" t="inlineStr">
        <is>
          <t>AWARD-221</t>
        </is>
      </c>
      <c r="B226" s="20" t="inlineStr">
        <is>
          <t>FILM-077</t>
        </is>
      </c>
      <c r="C226" s="5" t="inlineStr">
        <is>
          <t>Jab Tak Hai Jaan</t>
        </is>
      </c>
      <c r="D226" s="17" t="n">
        <v>2013</v>
      </c>
      <c r="E226" s="5" t="inlineStr">
        <is>
          <t>Filmfare Awards (58th)</t>
        </is>
      </c>
      <c r="F226" s="5" t="inlineStr">
        <is>
          <t>Lifetime Achievement Award</t>
        </is>
      </c>
      <c r="G226" s="5" t="inlineStr">
        <is>
          <t>Yash Chopra (for all his films)</t>
        </is>
      </c>
      <c r="H226" s="5" t="inlineStr">
        <is>
          <t>Individual</t>
        </is>
      </c>
      <c r="I226" s="5" t="inlineStr">
        <is>
          <t>Win</t>
        </is>
      </c>
      <c r="J226" s="5" t="inlineStr">
        <is>
          <t>Honorary</t>
        </is>
      </c>
      <c r="K226" s="5" t="n"/>
      <c r="L226" s="5" t="inlineStr">
        <is>
          <t>SOURCE-080</t>
        </is>
      </c>
      <c r="M226" s="5" t="inlineStr">
        <is>
          <t>Medium</t>
        </is>
      </c>
    </row>
    <row r="227" ht="19" customHeight="1">
      <c r="A227" s="15" t="inlineStr">
        <is>
          <t>AWARD-222</t>
        </is>
      </c>
      <c r="B227" s="20" t="inlineStr">
        <is>
          <t>FILM-077</t>
        </is>
      </c>
      <c r="C227" s="5" t="inlineStr">
        <is>
          <t>Jab Tak Hai Jaan</t>
        </is>
      </c>
      <c r="D227" s="17" t="n">
        <v>2013</v>
      </c>
      <c r="E227" s="5" t="inlineStr">
        <is>
          <t>Filmfare Awards (58th)</t>
        </is>
      </c>
      <c r="F227" s="5" t="inlineStr">
        <is>
          <t>R. D. Burman Award</t>
        </is>
      </c>
      <c r="G227" s="5" t="inlineStr">
        <is>
          <t>Neeti Mohan for "Jiya Re"</t>
        </is>
      </c>
      <c r="H227" s="5" t="inlineStr">
        <is>
          <t>Music</t>
        </is>
      </c>
      <c r="I227" s="5" t="inlineStr">
        <is>
          <t>Win</t>
        </is>
      </c>
      <c r="J227" s="5" t="inlineStr">
        <is>
          <t>Honorary</t>
        </is>
      </c>
      <c r="K227" s="5" t="n"/>
      <c r="L227" s="5" t="inlineStr">
        <is>
          <t>SOURCE-080</t>
        </is>
      </c>
      <c r="M227" s="5" t="inlineStr">
        <is>
          <t>Medium</t>
        </is>
      </c>
    </row>
    <row r="228" ht="19" customHeight="1">
      <c r="A228" s="15" t="inlineStr">
        <is>
          <t>AWARD-223</t>
        </is>
      </c>
      <c r="B228" s="20" t="inlineStr">
        <is>
          <t>FILM-077</t>
        </is>
      </c>
      <c r="C228" s="5" t="inlineStr">
        <is>
          <t>Jab Tak Hai Jaan</t>
        </is>
      </c>
      <c r="D228" s="17" t="n">
        <v>2013</v>
      </c>
      <c r="E228" s="5" t="inlineStr">
        <is>
          <t>Stardust Awards</t>
        </is>
      </c>
      <c r="F228" s="5" t="inlineStr">
        <is>
          <t>Actor of the Year – Male</t>
        </is>
      </c>
      <c r="G228" s="5" t="inlineStr">
        <is>
          <t>Shah Rukh Khan</t>
        </is>
      </c>
      <c r="H228" s="5" t="inlineStr">
        <is>
          <t>Actor</t>
        </is>
      </c>
      <c r="I228" s="5" t="inlineStr">
        <is>
          <t>Win</t>
        </is>
      </c>
      <c r="J228" s="5" t="inlineStr">
        <is>
          <t>Competitive</t>
        </is>
      </c>
      <c r="K228" s="5" t="n"/>
      <c r="L228" s="5" t="inlineStr">
        <is>
          <t>SOURCE-002; SOURCE-080</t>
        </is>
      </c>
      <c r="M228" s="5" t="inlineStr">
        <is>
          <t>Medium</t>
        </is>
      </c>
    </row>
    <row r="229" ht="19" customHeight="1">
      <c r="A229" s="15" t="inlineStr">
        <is>
          <t>AWARD-224</t>
        </is>
      </c>
      <c r="B229" s="20" t="inlineStr">
        <is>
          <t>FILM-077</t>
        </is>
      </c>
      <c r="C229" s="5" t="inlineStr">
        <is>
          <t>Jab Tak Hai Jaan</t>
        </is>
      </c>
      <c r="D229" s="17" t="n">
        <v>2013</v>
      </c>
      <c r="E229" s="5" t="inlineStr">
        <is>
          <t>Stardust Awards</t>
        </is>
      </c>
      <c r="F229" s="5" t="inlineStr">
        <is>
          <t>Best Actor (Editor's Choice)</t>
        </is>
      </c>
      <c r="G229" s="5" t="inlineStr">
        <is>
          <t>Shah Rukh Khan</t>
        </is>
      </c>
      <c r="H229" s="5" t="inlineStr">
        <is>
          <t>Actor</t>
        </is>
      </c>
      <c r="I229" s="5" t="inlineStr">
        <is>
          <t>Win</t>
        </is>
      </c>
      <c r="J229" s="5" t="inlineStr">
        <is>
          <t>Competitive</t>
        </is>
      </c>
      <c r="K229" s="5" t="n"/>
      <c r="L229" s="5" t="inlineStr">
        <is>
          <t>SOURCE-002; SOURCE-080</t>
        </is>
      </c>
      <c r="M229" s="5" t="inlineStr">
        <is>
          <t>Medium</t>
        </is>
      </c>
    </row>
    <row r="230" ht="19" customHeight="1">
      <c r="A230" s="15" t="inlineStr">
        <is>
          <t>AWARD-225</t>
        </is>
      </c>
      <c r="B230" s="20" t="inlineStr">
        <is>
          <t>FILM-079</t>
        </is>
      </c>
      <c r="C230" s="5" t="inlineStr">
        <is>
          <t>Chennai Express</t>
        </is>
      </c>
      <c r="D230" s="17" t="n">
        <v>2013</v>
      </c>
      <c r="E230" s="5" t="inlineStr">
        <is>
          <t>BIG Star Entertainment Awards</t>
        </is>
      </c>
      <c r="F230" s="5" t="inlineStr">
        <is>
          <t>Most Entertaining Film Actor – Male</t>
        </is>
      </c>
      <c r="G230" s="5" t="inlineStr">
        <is>
          <t>Shah Rukh Khan</t>
        </is>
      </c>
      <c r="H230" s="5" t="inlineStr">
        <is>
          <t>Actor</t>
        </is>
      </c>
      <c r="I230" s="5" t="inlineStr">
        <is>
          <t>Win</t>
        </is>
      </c>
      <c r="J230" s="5" t="inlineStr">
        <is>
          <t>Competitive</t>
        </is>
      </c>
      <c r="K230" s="5" t="n"/>
      <c r="L230" s="5" t="inlineStr">
        <is>
          <t>SOURCE-002; SOURCE-082</t>
        </is>
      </c>
      <c r="M230" s="5" t="inlineStr">
        <is>
          <t>Medium</t>
        </is>
      </c>
    </row>
    <row r="231" ht="19" customHeight="1">
      <c r="A231" s="15" t="inlineStr">
        <is>
          <t>AWARD-226</t>
        </is>
      </c>
      <c r="B231" s="20" t="inlineStr">
        <is>
          <t>FILM-079</t>
        </is>
      </c>
      <c r="C231" s="5" t="inlineStr">
        <is>
          <t>Chennai Express</t>
        </is>
      </c>
      <c r="D231" s="17" t="n">
        <v>2013</v>
      </c>
      <c r="E231" s="5" t="inlineStr">
        <is>
          <t>BIG Star Entertainment Awards</t>
        </is>
      </c>
      <c r="F231" s="5" t="inlineStr">
        <is>
          <t>Most Entertaining On-screen Couple</t>
        </is>
      </c>
      <c r="G231" s="5" t="inlineStr">
        <is>
          <t>Shah Rukh Khan</t>
        </is>
      </c>
      <c r="H231" s="5" t="inlineStr">
        <is>
          <t>Actor</t>
        </is>
      </c>
      <c r="I231" s="5" t="inlineStr">
        <is>
          <t>Win</t>
        </is>
      </c>
      <c r="J231" s="5" t="inlineStr">
        <is>
          <t>Competitive</t>
        </is>
      </c>
      <c r="K231" s="5" t="n"/>
      <c r="L231" s="5" t="inlineStr">
        <is>
          <t>SOURCE-002; SOURCE-082</t>
        </is>
      </c>
      <c r="M231" s="5" t="inlineStr">
        <is>
          <t>Medium</t>
        </is>
      </c>
    </row>
    <row r="232" ht="34" customHeight="1">
      <c r="A232" s="15" t="inlineStr">
        <is>
          <t>AWARD-227</t>
        </is>
      </c>
      <c r="B232" s="20" t="inlineStr">
        <is>
          <t>FILM-079</t>
        </is>
      </c>
      <c r="C232" s="5" t="inlineStr">
        <is>
          <t>Chennai Express</t>
        </is>
      </c>
      <c r="D232" s="17" t="n">
        <v>2013</v>
      </c>
      <c r="E232" s="5" t="inlineStr">
        <is>
          <t>Nickelodeon Kids' Choice Awards India</t>
        </is>
      </c>
      <c r="F232" s="5" t="inlineStr">
        <is>
          <t>Best Actor</t>
        </is>
      </c>
      <c r="G232" s="5" t="inlineStr">
        <is>
          <t>Shah Rukh Khan</t>
        </is>
      </c>
      <c r="H232" s="5" t="inlineStr">
        <is>
          <t>Actor</t>
        </is>
      </c>
      <c r="I232" s="5" t="inlineStr">
        <is>
          <t>Win</t>
        </is>
      </c>
      <c r="J232" s="5" t="inlineStr">
        <is>
          <t>Competitive</t>
        </is>
      </c>
      <c r="K232" s="5" t="n"/>
      <c r="L232" s="5" t="inlineStr">
        <is>
          <t>SOURCE-002; SOURCE-082</t>
        </is>
      </c>
      <c r="M232" s="5" t="inlineStr">
        <is>
          <t>Medium</t>
        </is>
      </c>
    </row>
    <row r="233" ht="34" customHeight="1">
      <c r="A233" s="15" t="inlineStr">
        <is>
          <t>AWARD-228</t>
        </is>
      </c>
      <c r="B233" s="20" t="n"/>
      <c r="C233" s="5" t="n"/>
      <c r="D233" s="17" t="n">
        <v>2013</v>
      </c>
      <c r="E233" s="5" t="inlineStr">
        <is>
          <t>International Indian Film Academy Awards</t>
        </is>
      </c>
      <c r="F233" s="5" t="inlineStr">
        <is>
          <t>Digital Star of the Year</t>
        </is>
      </c>
      <c r="G233" s="5" t="inlineStr">
        <is>
          <t>Shah Rukh Khan</t>
        </is>
      </c>
      <c r="H233" s="5" t="inlineStr">
        <is>
          <t>Individual</t>
        </is>
      </c>
      <c r="I233" s="5" t="inlineStr">
        <is>
          <t>Win</t>
        </is>
      </c>
      <c r="J233" s="5" t="inlineStr">
        <is>
          <t>Honorary</t>
        </is>
      </c>
      <c r="K233" s="5" t="n"/>
      <c r="L233" s="5" t="inlineStr">
        <is>
          <t>SOURCE-002</t>
        </is>
      </c>
      <c r="M233" s="5" t="inlineStr">
        <is>
          <t>Medium</t>
        </is>
      </c>
    </row>
    <row r="234" ht="34" customHeight="1">
      <c r="A234" s="15" t="inlineStr">
        <is>
          <t>AWARD-229</t>
        </is>
      </c>
      <c r="B234" s="20" t="n"/>
      <c r="C234" s="5" t="n"/>
      <c r="D234" s="17" t="n">
        <v>2013</v>
      </c>
      <c r="E234" s="5" t="inlineStr">
        <is>
          <t>Vijay Awards</t>
        </is>
      </c>
      <c r="F234" s="5" t="inlineStr">
        <is>
          <t>Chevalier Sivaji Ganesan Award for Excellence in Indian Cinema</t>
        </is>
      </c>
      <c r="G234" s="5" t="inlineStr">
        <is>
          <t>Shah Rukh Khan</t>
        </is>
      </c>
      <c r="H234" s="5" t="inlineStr">
        <is>
          <t>Individual</t>
        </is>
      </c>
      <c r="I234" s="5" t="inlineStr">
        <is>
          <t>Win</t>
        </is>
      </c>
      <c r="J234" s="5" t="inlineStr">
        <is>
          <t>Honorary</t>
        </is>
      </c>
      <c r="K234" s="5" t="n"/>
      <c r="L234" s="5" t="inlineStr">
        <is>
          <t>SOURCE-002</t>
        </is>
      </c>
      <c r="M234" s="5" t="inlineStr">
        <is>
          <t>Medium</t>
        </is>
      </c>
    </row>
    <row r="235" ht="19" customHeight="1">
      <c r="A235" s="15" t="inlineStr">
        <is>
          <t>AWARD-230</t>
        </is>
      </c>
      <c r="B235" s="20" t="n"/>
      <c r="C235" s="5" t="n"/>
      <c r="D235" s="17" t="n">
        <v>2013</v>
      </c>
      <c r="E235" s="5" t="inlineStr">
        <is>
          <t>Zee Cine Awards</t>
        </is>
      </c>
      <c r="F235" s="5" t="inlineStr">
        <is>
          <t>International Male Icon</t>
        </is>
      </c>
      <c r="G235" s="5" t="inlineStr">
        <is>
          <t>Shah Rukh Khan</t>
        </is>
      </c>
      <c r="H235" s="5" t="inlineStr">
        <is>
          <t>Individual</t>
        </is>
      </c>
      <c r="I235" s="5" t="inlineStr">
        <is>
          <t>Win</t>
        </is>
      </c>
      <c r="J235" s="5" t="inlineStr">
        <is>
          <t>Honorary</t>
        </is>
      </c>
      <c r="K235" s="5" t="n"/>
      <c r="L235" s="5" t="inlineStr">
        <is>
          <t>SOURCE-002</t>
        </is>
      </c>
      <c r="M235" s="5" t="inlineStr">
        <is>
          <t>Medium</t>
        </is>
      </c>
    </row>
    <row r="236" ht="19" customHeight="1">
      <c r="A236" s="15" t="inlineStr">
        <is>
          <t>AWARD-231</t>
        </is>
      </c>
      <c r="B236" s="20" t="inlineStr">
        <is>
          <t>FILM-079</t>
        </is>
      </c>
      <c r="C236" s="5" t="inlineStr">
        <is>
          <t>Chennai Express</t>
        </is>
      </c>
      <c r="D236" s="17" t="n">
        <v>2014</v>
      </c>
      <c r="E236" s="5" t="inlineStr">
        <is>
          <t>Filmfare Awards</t>
        </is>
      </c>
      <c r="F236" s="5" t="inlineStr">
        <is>
          <t>Best Actor</t>
        </is>
      </c>
      <c r="G236" s="5" t="inlineStr">
        <is>
          <t>Shah Rukh Khan</t>
        </is>
      </c>
      <c r="H236" s="5" t="inlineStr">
        <is>
          <t>Actor</t>
        </is>
      </c>
      <c r="I236" s="5" t="inlineStr">
        <is>
          <t>Nomination</t>
        </is>
      </c>
      <c r="J236" s="5" t="inlineStr">
        <is>
          <t>Competitive</t>
        </is>
      </c>
      <c r="K236" s="5" t="n"/>
      <c r="L236" s="5" t="inlineStr">
        <is>
          <t>SOURCE-002; SOURCE-082</t>
        </is>
      </c>
      <c r="M236" s="5" t="inlineStr">
        <is>
          <t>Medium</t>
        </is>
      </c>
    </row>
    <row r="237" ht="19" customHeight="1">
      <c r="A237" s="15" t="inlineStr">
        <is>
          <t>AWARD-232</t>
        </is>
      </c>
      <c r="B237" s="20" t="inlineStr">
        <is>
          <t>FILM-079</t>
        </is>
      </c>
      <c r="C237" s="5" t="inlineStr">
        <is>
          <t>Chennai Express</t>
        </is>
      </c>
      <c r="D237" s="17" t="n">
        <v>2014</v>
      </c>
      <c r="E237" s="5" t="inlineStr">
        <is>
          <t>Filmfare Awards (59th)</t>
        </is>
      </c>
      <c r="F237" s="5" t="inlineStr">
        <is>
          <t>Sony Trendsetter of the Year</t>
        </is>
      </c>
      <c r="G237" s="5" t="inlineStr">
        <is>
          <t>Chennai Express</t>
        </is>
      </c>
      <c r="H237" s="5" t="inlineStr">
        <is>
          <t>Film</t>
        </is>
      </c>
      <c r="I237" s="5" t="inlineStr">
        <is>
          <t>Win</t>
        </is>
      </c>
      <c r="J237" s="5" t="inlineStr">
        <is>
          <t>Honorary</t>
        </is>
      </c>
      <c r="K237" s="5" t="n"/>
      <c r="L237" s="5" t="inlineStr">
        <is>
          <t>SOURCE-110</t>
        </is>
      </c>
      <c r="M237" s="5" t="inlineStr">
        <is>
          <t>Medium</t>
        </is>
      </c>
    </row>
    <row r="238" ht="19" customHeight="1">
      <c r="A238" s="15" t="inlineStr">
        <is>
          <t>AWARD-233</t>
        </is>
      </c>
      <c r="B238" s="20" t="inlineStr">
        <is>
          <t>FILM-079</t>
        </is>
      </c>
      <c r="C238" s="5" t="inlineStr">
        <is>
          <t>Chennai Express</t>
        </is>
      </c>
      <c r="D238" s="17" t="n">
        <v>2014</v>
      </c>
      <c r="E238" s="5" t="inlineStr">
        <is>
          <t>Screen Awards</t>
        </is>
      </c>
      <c r="F238" s="5" t="inlineStr">
        <is>
          <t>Best Actor (Popular Choice)</t>
        </is>
      </c>
      <c r="G238" s="5" t="inlineStr">
        <is>
          <t>Shah Rukh Khan</t>
        </is>
      </c>
      <c r="H238" s="5" t="inlineStr">
        <is>
          <t>Actor</t>
        </is>
      </c>
      <c r="I238" s="5" t="inlineStr">
        <is>
          <t>Win</t>
        </is>
      </c>
      <c r="J238" s="5" t="inlineStr">
        <is>
          <t>Competitive</t>
        </is>
      </c>
      <c r="K238" s="5" t="n"/>
      <c r="L238" s="5" t="inlineStr">
        <is>
          <t>SOURCE-002; SOURCE-082</t>
        </is>
      </c>
      <c r="M238" s="5" t="inlineStr">
        <is>
          <t>Medium</t>
        </is>
      </c>
    </row>
    <row r="239" ht="19" customHeight="1">
      <c r="A239" s="15" t="inlineStr">
        <is>
          <t>AWARD-234</t>
        </is>
      </c>
      <c r="B239" s="20" t="inlineStr">
        <is>
          <t>FILM-079</t>
        </is>
      </c>
      <c r="C239" s="5" t="inlineStr">
        <is>
          <t>Chennai Express</t>
        </is>
      </c>
      <c r="D239" s="17" t="n">
        <v>2014</v>
      </c>
      <c r="E239" s="5" t="inlineStr">
        <is>
          <t>Zee Cine Awards</t>
        </is>
      </c>
      <c r="F239" s="5" t="inlineStr">
        <is>
          <t>Best Actor – Male</t>
        </is>
      </c>
      <c r="G239" s="5" t="inlineStr">
        <is>
          <t>Shah Rukh Khan</t>
        </is>
      </c>
      <c r="H239" s="5" t="inlineStr">
        <is>
          <t>Actor</t>
        </is>
      </c>
      <c r="I239" s="5" t="inlineStr">
        <is>
          <t>Win</t>
        </is>
      </c>
      <c r="J239" s="5" t="inlineStr">
        <is>
          <t>Competitive</t>
        </is>
      </c>
      <c r="K239" s="5" t="n"/>
      <c r="L239" s="5" t="inlineStr">
        <is>
          <t>SOURCE-002; SOURCE-082</t>
        </is>
      </c>
      <c r="M239" s="5" t="inlineStr">
        <is>
          <t>Medium</t>
        </is>
      </c>
    </row>
    <row r="240" ht="19" customHeight="1">
      <c r="A240" s="15" t="inlineStr">
        <is>
          <t>AWARD-235</t>
        </is>
      </c>
      <c r="B240" s="20" t="inlineStr">
        <is>
          <t>FILM-081</t>
        </is>
      </c>
      <c r="C240" s="5" t="inlineStr">
        <is>
          <t>Happy New Year</t>
        </is>
      </c>
      <c r="D240" s="17" t="n">
        <v>2014</v>
      </c>
      <c r="E240" s="5" t="inlineStr">
        <is>
          <t>BIG Star Entertainment Awards</t>
        </is>
      </c>
      <c r="F240" s="5" t="inlineStr">
        <is>
          <t>Most Entertaining Film Actor – Male</t>
        </is>
      </c>
      <c r="G240" s="5" t="inlineStr">
        <is>
          <t>Shah Rukh Khan</t>
        </is>
      </c>
      <c r="H240" s="5" t="inlineStr">
        <is>
          <t>Actor</t>
        </is>
      </c>
      <c r="I240" s="5" t="inlineStr">
        <is>
          <t>Win</t>
        </is>
      </c>
      <c r="J240" s="5" t="inlineStr">
        <is>
          <t>Competitive</t>
        </is>
      </c>
      <c r="K240" s="5" t="n"/>
      <c r="L240" s="5" t="inlineStr">
        <is>
          <t>SOURCE-002; SOURCE-084</t>
        </is>
      </c>
      <c r="M240" s="5" t="inlineStr">
        <is>
          <t>Medium</t>
        </is>
      </c>
    </row>
    <row r="241" ht="19" customHeight="1">
      <c r="A241" s="15" t="inlineStr">
        <is>
          <t>AWARD-236</t>
        </is>
      </c>
      <c r="B241" s="20" t="inlineStr">
        <is>
          <t>FILM-081</t>
        </is>
      </c>
      <c r="C241" s="5" t="inlineStr">
        <is>
          <t>Happy New Year</t>
        </is>
      </c>
      <c r="D241" s="17" t="n">
        <v>2014</v>
      </c>
      <c r="E241" s="5" t="inlineStr">
        <is>
          <t>Stardust Awards</t>
        </is>
      </c>
      <c r="F241" s="5" t="inlineStr">
        <is>
          <t>Actor of the Year – Male</t>
        </is>
      </c>
      <c r="G241" s="5" t="inlineStr">
        <is>
          <t>Shah Rukh Khan</t>
        </is>
      </c>
      <c r="H241" s="5" t="inlineStr">
        <is>
          <t>Actor</t>
        </is>
      </c>
      <c r="I241" s="5" t="inlineStr">
        <is>
          <t>Win</t>
        </is>
      </c>
      <c r="J241" s="5" t="inlineStr">
        <is>
          <t>Competitive</t>
        </is>
      </c>
      <c r="K241" s="5" t="n"/>
      <c r="L241" s="5" t="inlineStr">
        <is>
          <t>SOURCE-002; SOURCE-084</t>
        </is>
      </c>
      <c r="M241" s="5" t="inlineStr">
        <is>
          <t>Medium</t>
        </is>
      </c>
    </row>
    <row r="242" ht="19" customHeight="1">
      <c r="A242" s="15" t="inlineStr">
        <is>
          <t>AWARD-237</t>
        </is>
      </c>
      <c r="B242" s="20" t="inlineStr">
        <is>
          <t>FILM-081</t>
        </is>
      </c>
      <c r="C242" s="5" t="inlineStr">
        <is>
          <t>Happy New Year</t>
        </is>
      </c>
      <c r="D242" s="17" t="n">
        <v>2014</v>
      </c>
      <c r="E242" s="5" t="inlineStr">
        <is>
          <t>Stardust Awards</t>
        </is>
      </c>
      <c r="F242" s="5" t="inlineStr">
        <is>
          <t>Best Actor in a Thriller or Action</t>
        </is>
      </c>
      <c r="G242" s="5" t="inlineStr">
        <is>
          <t>Shah Rukh Khan</t>
        </is>
      </c>
      <c r="H242" s="5" t="inlineStr">
        <is>
          <t>Actor</t>
        </is>
      </c>
      <c r="I242" s="5" t="inlineStr">
        <is>
          <t>Win</t>
        </is>
      </c>
      <c r="J242" s="5" t="inlineStr">
        <is>
          <t>Competitive</t>
        </is>
      </c>
      <c r="K242" s="5" t="n"/>
      <c r="L242" s="5" t="inlineStr">
        <is>
          <t>SOURCE-002; SOURCE-084</t>
        </is>
      </c>
      <c r="M242" s="5" t="inlineStr">
        <is>
          <t>Medium</t>
        </is>
      </c>
    </row>
    <row r="243" ht="49" customHeight="1">
      <c r="A243" s="15" t="inlineStr">
        <is>
          <t>AWARD-238</t>
        </is>
      </c>
      <c r="B243" s="20" t="inlineStr">
        <is>
          <t>FILM-081</t>
        </is>
      </c>
      <c r="C243" s="5" t="inlineStr">
        <is>
          <t>Happy New Year</t>
        </is>
      </c>
      <c r="D243" s="17" t="n">
        <v>2014</v>
      </c>
      <c r="E243" s="5" t="inlineStr">
        <is>
          <t>Stardust Awards</t>
        </is>
      </c>
      <c r="F243" s="5" t="inlineStr">
        <is>
          <t>Best Film of the Year</t>
        </is>
      </c>
      <c r="G243" s="5" t="inlineStr">
        <is>
          <t>Shah Rukh Khan</t>
        </is>
      </c>
      <c r="H243" s="5" t="inlineStr">
        <is>
          <t>Film</t>
        </is>
      </c>
      <c r="I243" s="5" t="inlineStr">
        <is>
          <t>Win</t>
        </is>
      </c>
      <c r="J243" s="5" t="inlineStr">
        <is>
          <t>Competitive</t>
        </is>
      </c>
      <c r="K243" s="5" t="inlineStr">
        <is>
          <t>Listed among Khan's awards; the film category is credited on his awards page without naming the recipient.</t>
        </is>
      </c>
      <c r="L243" s="5" t="inlineStr">
        <is>
          <t>SOURCE-002; SOURCE-084</t>
        </is>
      </c>
      <c r="M243" s="5" t="inlineStr">
        <is>
          <t>Medium</t>
        </is>
      </c>
    </row>
    <row r="244" ht="19" customHeight="1">
      <c r="A244" s="15" t="inlineStr">
        <is>
          <t>AWARD-239</t>
        </is>
      </c>
      <c r="B244" s="20" t="n"/>
      <c r="C244" s="5" t="n"/>
      <c r="D244" s="17" t="n">
        <v>2014</v>
      </c>
      <c r="E244" s="5" t="inlineStr">
        <is>
          <t>Asianet Film Awards</t>
        </is>
      </c>
      <c r="F244" s="5" t="inlineStr">
        <is>
          <t>International Icon of Indian Cinema</t>
        </is>
      </c>
      <c r="G244" s="5" t="inlineStr">
        <is>
          <t>Shah Rukh Khan</t>
        </is>
      </c>
      <c r="H244" s="5" t="inlineStr">
        <is>
          <t>Individual</t>
        </is>
      </c>
      <c r="I244" s="5" t="inlineStr">
        <is>
          <t>Win</t>
        </is>
      </c>
      <c r="J244" s="5" t="inlineStr">
        <is>
          <t>Honorary</t>
        </is>
      </c>
      <c r="K244" s="5" t="n"/>
      <c r="L244" s="5" t="inlineStr">
        <is>
          <t>SOURCE-002</t>
        </is>
      </c>
      <c r="M244" s="5" t="inlineStr">
        <is>
          <t>Medium</t>
        </is>
      </c>
    </row>
    <row r="245" ht="19" customHeight="1">
      <c r="A245" s="15" t="inlineStr">
        <is>
          <t>AWARD-240</t>
        </is>
      </c>
      <c r="B245" s="20" t="n"/>
      <c r="C245" s="5" t="n"/>
      <c r="D245" s="17" t="n">
        <v>2014</v>
      </c>
      <c r="E245" s="5" t="inlineStr">
        <is>
          <t>France</t>
        </is>
      </c>
      <c r="F245" s="5" t="inlineStr">
        <is>
          <t>Legion of Honour</t>
        </is>
      </c>
      <c r="G245" s="5" t="inlineStr">
        <is>
          <t>Shah Rukh Khan</t>
        </is>
      </c>
      <c r="H245" s="5" t="inlineStr">
        <is>
          <t>Individual</t>
        </is>
      </c>
      <c r="I245" s="5" t="inlineStr">
        <is>
          <t>Win</t>
        </is>
      </c>
      <c r="J245" s="5" t="inlineStr">
        <is>
          <t>Honorary</t>
        </is>
      </c>
      <c r="K245" s="5" t="n"/>
      <c r="L245" s="5" t="inlineStr">
        <is>
          <t>SOURCE-002</t>
        </is>
      </c>
      <c r="M245" s="5" t="inlineStr">
        <is>
          <t>Medium</t>
        </is>
      </c>
    </row>
    <row r="246" ht="19" customHeight="1">
      <c r="A246" s="15" t="inlineStr">
        <is>
          <t>AWARD-241</t>
        </is>
      </c>
      <c r="B246" s="20" t="n"/>
      <c r="C246" s="5" t="n"/>
      <c r="D246" s="17" t="n">
        <v>2014</v>
      </c>
      <c r="E246" s="5" t="inlineStr">
        <is>
          <t>Mirchi Music Awards</t>
        </is>
      </c>
      <c r="F246" s="5" t="inlineStr">
        <is>
          <t>Face of Romantic Music</t>
        </is>
      </c>
      <c r="G246" s="5" t="inlineStr">
        <is>
          <t>Shah Rukh Khan</t>
        </is>
      </c>
      <c r="H246" s="5" t="inlineStr">
        <is>
          <t>Individual</t>
        </is>
      </c>
      <c r="I246" s="5" t="inlineStr">
        <is>
          <t>Win</t>
        </is>
      </c>
      <c r="J246" s="5" t="inlineStr">
        <is>
          <t>Honorary</t>
        </is>
      </c>
      <c r="K246" s="5" t="n"/>
      <c r="L246" s="5" t="inlineStr">
        <is>
          <t>SOURCE-002</t>
        </is>
      </c>
      <c r="M246" s="5" t="inlineStr">
        <is>
          <t>Medium</t>
        </is>
      </c>
    </row>
    <row r="247" ht="34" customHeight="1">
      <c r="A247" s="15" t="inlineStr">
        <is>
          <t>AWARD-242</t>
        </is>
      </c>
      <c r="B247" s="20" t="n"/>
      <c r="C247" s="5" t="n"/>
      <c r="D247" s="17" t="n">
        <v>2014</v>
      </c>
      <c r="E247" s="5" t="inlineStr">
        <is>
          <t>Producers Guild Film Awards</t>
        </is>
      </c>
      <c r="F247" s="5" t="inlineStr">
        <is>
          <t>Renault Star Guild Entertainer of the Year</t>
        </is>
      </c>
      <c r="G247" s="5" t="inlineStr">
        <is>
          <t>Shah Rukh Khan</t>
        </is>
      </c>
      <c r="H247" s="5" t="inlineStr">
        <is>
          <t>Individual</t>
        </is>
      </c>
      <c r="I247" s="5" t="inlineStr">
        <is>
          <t>Win</t>
        </is>
      </c>
      <c r="J247" s="5" t="inlineStr">
        <is>
          <t>Honorary</t>
        </is>
      </c>
      <c r="K247" s="5" t="n"/>
      <c r="L247" s="5" t="inlineStr">
        <is>
          <t>SOURCE-002</t>
        </is>
      </c>
      <c r="M247" s="5" t="inlineStr">
        <is>
          <t>Medium</t>
        </is>
      </c>
    </row>
    <row r="248" ht="19" customHeight="1">
      <c r="A248" s="15" t="inlineStr">
        <is>
          <t>AWARD-243</t>
        </is>
      </c>
      <c r="B248" s="20" t="n"/>
      <c r="C248" s="5" t="n"/>
      <c r="D248" s="17" t="n">
        <v>2014</v>
      </c>
      <c r="E248" s="5" t="inlineStr">
        <is>
          <t>United Kingdom</t>
        </is>
      </c>
      <c r="F248" s="5" t="inlineStr">
        <is>
          <t>Global Diversity Award</t>
        </is>
      </c>
      <c r="G248" s="5" t="inlineStr">
        <is>
          <t>Shah Rukh Khan</t>
        </is>
      </c>
      <c r="H248" s="5" t="inlineStr">
        <is>
          <t>Individual</t>
        </is>
      </c>
      <c r="I248" s="5" t="inlineStr">
        <is>
          <t>Win</t>
        </is>
      </c>
      <c r="J248" s="5" t="inlineStr">
        <is>
          <t>Honorary</t>
        </is>
      </c>
      <c r="K248" s="5" t="n"/>
      <c r="L248" s="5" t="inlineStr">
        <is>
          <t>SOURCE-002</t>
        </is>
      </c>
      <c r="M248" s="5" t="inlineStr">
        <is>
          <t>Medium</t>
        </is>
      </c>
    </row>
    <row r="249" ht="19" customHeight="1">
      <c r="A249" s="15" t="inlineStr">
        <is>
          <t>AWARD-244</t>
        </is>
      </c>
      <c r="B249" s="20" t="n"/>
      <c r="C249" s="5" t="n"/>
      <c r="D249" s="17" t="n">
        <v>2014</v>
      </c>
      <c r="E249" s="5" t="inlineStr">
        <is>
          <t>Vijay Awards</t>
        </is>
      </c>
      <c r="F249" s="5" t="inlineStr">
        <is>
          <t>Entertainer of Indian Cinema</t>
        </is>
      </c>
      <c r="G249" s="5" t="inlineStr">
        <is>
          <t>Shah Rukh Khan</t>
        </is>
      </c>
      <c r="H249" s="5" t="inlineStr">
        <is>
          <t>Individual</t>
        </is>
      </c>
      <c r="I249" s="5" t="inlineStr">
        <is>
          <t>Win</t>
        </is>
      </c>
      <c r="J249" s="5" t="inlineStr">
        <is>
          <t>Honorary</t>
        </is>
      </c>
      <c r="K249" s="5" t="n"/>
      <c r="L249" s="5" t="inlineStr">
        <is>
          <t>SOURCE-002</t>
        </is>
      </c>
      <c r="M249" s="5" t="inlineStr">
        <is>
          <t>Medium</t>
        </is>
      </c>
    </row>
    <row r="250" ht="19" customHeight="1">
      <c r="A250" s="15" t="inlineStr">
        <is>
          <t>AWARD-245</t>
        </is>
      </c>
      <c r="B250" s="20" t="inlineStr">
        <is>
          <t>FILM-081</t>
        </is>
      </c>
      <c r="C250" s="5" t="inlineStr">
        <is>
          <t>Happy New Year</t>
        </is>
      </c>
      <c r="D250" s="17" t="n">
        <v>2015</v>
      </c>
      <c r="E250" s="5" t="inlineStr">
        <is>
          <t>Screen Awards</t>
        </is>
      </c>
      <c r="F250" s="5" t="inlineStr">
        <is>
          <t>Best Actor (Popular Choice)</t>
        </is>
      </c>
      <c r="G250" s="5" t="inlineStr">
        <is>
          <t>Shah Rukh Khan</t>
        </is>
      </c>
      <c r="H250" s="5" t="inlineStr">
        <is>
          <t>Actor</t>
        </is>
      </c>
      <c r="I250" s="5" t="inlineStr">
        <is>
          <t>Win</t>
        </is>
      </c>
      <c r="J250" s="5" t="inlineStr">
        <is>
          <t>Competitive</t>
        </is>
      </c>
      <c r="K250" s="5" t="n"/>
      <c r="L250" s="5" t="inlineStr">
        <is>
          <t>SOURCE-002; SOURCE-084</t>
        </is>
      </c>
      <c r="M250" s="5" t="inlineStr">
        <is>
          <t>Medium</t>
        </is>
      </c>
    </row>
    <row r="251" ht="19" customHeight="1">
      <c r="A251" s="15" t="inlineStr">
        <is>
          <t>AWARD-246</t>
        </is>
      </c>
      <c r="B251" s="20" t="n"/>
      <c r="C251" s="5" t="n"/>
      <c r="D251" s="17" t="n">
        <v>2015</v>
      </c>
      <c r="E251" s="5" t="inlineStr">
        <is>
          <t>The Asian Awards</t>
        </is>
      </c>
      <c r="F251" s="5" t="inlineStr">
        <is>
          <t>Outstanding Contribution to Cinema</t>
        </is>
      </c>
      <c r="G251" s="5" t="inlineStr">
        <is>
          <t>Shah Rukh Khan</t>
        </is>
      </c>
      <c r="H251" s="5" t="inlineStr">
        <is>
          <t>Individual</t>
        </is>
      </c>
      <c r="I251" s="5" t="inlineStr">
        <is>
          <t>Win</t>
        </is>
      </c>
      <c r="J251" s="5" t="inlineStr">
        <is>
          <t>Honorary</t>
        </is>
      </c>
      <c r="K251" s="5" t="n"/>
      <c r="L251" s="5" t="inlineStr">
        <is>
          <t>SOURCE-002</t>
        </is>
      </c>
      <c r="M251" s="5" t="inlineStr">
        <is>
          <t>Medium</t>
        </is>
      </c>
    </row>
    <row r="252" ht="19" customHeight="1">
      <c r="A252" s="15" t="inlineStr">
        <is>
          <t>AWARD-247</t>
        </is>
      </c>
      <c r="B252" s="20" t="n"/>
      <c r="C252" s="5" t="n"/>
      <c r="D252" s="17" t="n">
        <v>2015</v>
      </c>
      <c r="E252" s="5" t="inlineStr">
        <is>
          <t>University of Edinburgh</t>
        </is>
      </c>
      <c r="F252" s="5" t="inlineStr">
        <is>
          <t>Honorary Doctorate</t>
        </is>
      </c>
      <c r="G252" s="5" t="inlineStr">
        <is>
          <t>Shah Rukh Khan</t>
        </is>
      </c>
      <c r="H252" s="5" t="inlineStr">
        <is>
          <t>Individual</t>
        </is>
      </c>
      <c r="I252" s="5" t="inlineStr">
        <is>
          <t>Win</t>
        </is>
      </c>
      <c r="J252" s="5" t="inlineStr">
        <is>
          <t>Honorary</t>
        </is>
      </c>
      <c r="K252" s="5" t="n"/>
      <c r="L252" s="5" t="inlineStr">
        <is>
          <t>SOURCE-002</t>
        </is>
      </c>
      <c r="M252" s="5" t="inlineStr">
        <is>
          <t>Medium</t>
        </is>
      </c>
    </row>
    <row r="253" ht="19" customHeight="1">
      <c r="A253" s="15" t="inlineStr">
        <is>
          <t>AWARD-248</t>
        </is>
      </c>
      <c r="B253" s="20" t="inlineStr">
        <is>
          <t>FILM-082</t>
        </is>
      </c>
      <c r="C253" s="5" t="inlineStr">
        <is>
          <t>Dilwale</t>
        </is>
      </c>
      <c r="D253" s="17" t="n">
        <v>2016</v>
      </c>
      <c r="E253" s="5" t="inlineStr">
        <is>
          <t>Filmfare Awards</t>
        </is>
      </c>
      <c r="F253" s="5" t="inlineStr">
        <is>
          <t>Best Actor</t>
        </is>
      </c>
      <c r="G253" s="5" t="inlineStr">
        <is>
          <t>Shah Rukh Khan</t>
        </is>
      </c>
      <c r="H253" s="5" t="inlineStr">
        <is>
          <t>Actor</t>
        </is>
      </c>
      <c r="I253" s="5" t="inlineStr">
        <is>
          <t>Nomination</t>
        </is>
      </c>
      <c r="J253" s="5" t="inlineStr">
        <is>
          <t>Competitive</t>
        </is>
      </c>
      <c r="K253" s="5" t="n"/>
      <c r="L253" s="5" t="inlineStr">
        <is>
          <t>SOURCE-002; SOURCE-085</t>
        </is>
      </c>
      <c r="M253" s="5" t="inlineStr">
        <is>
          <t>Medium</t>
        </is>
      </c>
    </row>
    <row r="254" ht="19" customHeight="1">
      <c r="A254" s="15" t="inlineStr">
        <is>
          <t>AWARD-249</t>
        </is>
      </c>
      <c r="B254" s="20" t="inlineStr">
        <is>
          <t>FILM-082</t>
        </is>
      </c>
      <c r="C254" s="5" t="inlineStr">
        <is>
          <t>Dilwale</t>
        </is>
      </c>
      <c r="D254" s="17" t="n">
        <v>2016</v>
      </c>
      <c r="E254" s="5" t="inlineStr">
        <is>
          <t>Screen Awards</t>
        </is>
      </c>
      <c r="F254" s="5" t="inlineStr">
        <is>
          <t>Best Actor (Popular Choice)</t>
        </is>
      </c>
      <c r="G254" s="5" t="inlineStr">
        <is>
          <t>Shah Rukh Khan</t>
        </is>
      </c>
      <c r="H254" s="5" t="inlineStr">
        <is>
          <t>Actor</t>
        </is>
      </c>
      <c r="I254" s="5" t="inlineStr">
        <is>
          <t>Win</t>
        </is>
      </c>
      <c r="J254" s="5" t="inlineStr">
        <is>
          <t>Competitive</t>
        </is>
      </c>
      <c r="K254" s="5" t="n"/>
      <c r="L254" s="5" t="inlineStr">
        <is>
          <t>SOURCE-002; SOURCE-085</t>
        </is>
      </c>
      <c r="M254" s="5" t="inlineStr">
        <is>
          <t>Medium</t>
        </is>
      </c>
    </row>
    <row r="255" ht="19" customHeight="1">
      <c r="A255" s="15" t="inlineStr">
        <is>
          <t>AWARD-250</t>
        </is>
      </c>
      <c r="B255" s="20" t="inlineStr">
        <is>
          <t>FILM-082</t>
        </is>
      </c>
      <c r="C255" s="5" t="inlineStr">
        <is>
          <t>Dilwale</t>
        </is>
      </c>
      <c r="D255" s="17" t="n">
        <v>2016</v>
      </c>
      <c r="E255" s="5" t="inlineStr">
        <is>
          <t>Screen Awards</t>
        </is>
      </c>
      <c r="F255" s="5" t="inlineStr">
        <is>
          <t>Jodi No. 1</t>
        </is>
      </c>
      <c r="G255" s="5" t="inlineStr">
        <is>
          <t>Shah Rukh Khan</t>
        </is>
      </c>
      <c r="H255" s="5" t="inlineStr">
        <is>
          <t>Actor</t>
        </is>
      </c>
      <c r="I255" s="5" t="inlineStr">
        <is>
          <t>Win</t>
        </is>
      </c>
      <c r="J255" s="5" t="inlineStr">
        <is>
          <t>Competitive</t>
        </is>
      </c>
      <c r="K255" s="5" t="n"/>
      <c r="L255" s="5" t="inlineStr">
        <is>
          <t>SOURCE-002; SOURCE-085</t>
        </is>
      </c>
      <c r="M255" s="5" t="inlineStr">
        <is>
          <t>Medium</t>
        </is>
      </c>
    </row>
    <row r="256" ht="19" customHeight="1">
      <c r="A256" s="15" t="inlineStr">
        <is>
          <t>AWARD-251</t>
        </is>
      </c>
      <c r="B256" s="20" t="inlineStr">
        <is>
          <t>FILM-083</t>
        </is>
      </c>
      <c r="C256" s="5" t="inlineStr">
        <is>
          <t>Fan</t>
        </is>
      </c>
      <c r="D256" s="17" t="n">
        <v>2016</v>
      </c>
      <c r="E256" s="5" t="inlineStr">
        <is>
          <t>Stardust Awards</t>
        </is>
      </c>
      <c r="F256" s="5" t="inlineStr">
        <is>
          <t>Best Actor (Editor's Choice)</t>
        </is>
      </c>
      <c r="G256" s="5" t="inlineStr">
        <is>
          <t>Shah Rukh Khan</t>
        </is>
      </c>
      <c r="H256" s="5" t="inlineStr">
        <is>
          <t>Actor</t>
        </is>
      </c>
      <c r="I256" s="5" t="inlineStr">
        <is>
          <t>Win</t>
        </is>
      </c>
      <c r="J256" s="5" t="inlineStr">
        <is>
          <t>Competitive</t>
        </is>
      </c>
      <c r="K256" s="5" t="n"/>
      <c r="L256" s="5" t="inlineStr">
        <is>
          <t>SOURCE-002; SOURCE-086</t>
        </is>
      </c>
      <c r="M256" s="5" t="inlineStr">
        <is>
          <t>Medium</t>
        </is>
      </c>
    </row>
    <row r="257" ht="19" customHeight="1">
      <c r="A257" s="15" t="inlineStr">
        <is>
          <t>AWARD-252</t>
        </is>
      </c>
      <c r="B257" s="20" t="inlineStr">
        <is>
          <t>FILM-083</t>
        </is>
      </c>
      <c r="C257" s="5" t="inlineStr">
        <is>
          <t>Fan</t>
        </is>
      </c>
      <c r="D257" s="17" t="n">
        <v>2016</v>
      </c>
      <c r="E257" s="5" t="inlineStr">
        <is>
          <t>Stardust Awards</t>
        </is>
      </c>
      <c r="F257" s="5" t="inlineStr">
        <is>
          <t>Best Actor in a Thriller or Action</t>
        </is>
      </c>
      <c r="G257" s="5" t="inlineStr">
        <is>
          <t>Shah Rukh Khan</t>
        </is>
      </c>
      <c r="H257" s="5" t="inlineStr">
        <is>
          <t>Actor</t>
        </is>
      </c>
      <c r="I257" s="5" t="inlineStr">
        <is>
          <t>Win</t>
        </is>
      </c>
      <c r="J257" s="5" t="inlineStr">
        <is>
          <t>Competitive</t>
        </is>
      </c>
      <c r="K257" s="5" t="n"/>
      <c r="L257" s="5" t="inlineStr">
        <is>
          <t>SOURCE-002; SOURCE-086</t>
        </is>
      </c>
      <c r="M257" s="5" t="inlineStr">
        <is>
          <t>Medium</t>
        </is>
      </c>
    </row>
    <row r="258" ht="34" customHeight="1">
      <c r="A258" s="15" t="inlineStr">
        <is>
          <t>AWARD-253</t>
        </is>
      </c>
      <c r="B258" s="20" t="n"/>
      <c r="C258" s="5" t="n"/>
      <c r="D258" s="17" t="n">
        <v>2016</v>
      </c>
      <c r="E258" s="5" t="inlineStr">
        <is>
          <t>Maulana Azad National Urdu University</t>
        </is>
      </c>
      <c r="F258" s="5" t="inlineStr">
        <is>
          <t>Honorary Doctorate</t>
        </is>
      </c>
      <c r="G258" s="5" t="inlineStr">
        <is>
          <t>Shah Rukh Khan</t>
        </is>
      </c>
      <c r="H258" s="5" t="inlineStr">
        <is>
          <t>Individual</t>
        </is>
      </c>
      <c r="I258" s="5" t="inlineStr">
        <is>
          <t>Win</t>
        </is>
      </c>
      <c r="J258" s="5" t="inlineStr">
        <is>
          <t>Honorary</t>
        </is>
      </c>
      <c r="K258" s="5" t="n"/>
      <c r="L258" s="5" t="inlineStr">
        <is>
          <t>SOURCE-002</t>
        </is>
      </c>
      <c r="M258" s="5" t="inlineStr">
        <is>
          <t>Medium</t>
        </is>
      </c>
    </row>
    <row r="259" ht="34" customHeight="1">
      <c r="A259" s="15" t="inlineStr">
        <is>
          <t>AWARD-254</t>
        </is>
      </c>
      <c r="B259" s="20" t="n"/>
      <c r="C259" s="5" t="n"/>
      <c r="D259" s="17" t="n">
        <v>2016</v>
      </c>
      <c r="E259" s="5" t="inlineStr">
        <is>
          <t>Nickelodeon Kids' Choice Awards India</t>
        </is>
      </c>
      <c r="F259" s="5" t="inlineStr">
        <is>
          <t>Kids' Icon of The Year</t>
        </is>
      </c>
      <c r="G259" s="5" t="inlineStr">
        <is>
          <t>Shah Rukh Khan</t>
        </is>
      </c>
      <c r="H259" s="5" t="inlineStr">
        <is>
          <t>Individual</t>
        </is>
      </c>
      <c r="I259" s="5" t="inlineStr">
        <is>
          <t>Win</t>
        </is>
      </c>
      <c r="J259" s="5" t="inlineStr">
        <is>
          <t>Honorary</t>
        </is>
      </c>
      <c r="K259" s="5" t="n"/>
      <c r="L259" s="5" t="inlineStr">
        <is>
          <t>SOURCE-002</t>
        </is>
      </c>
      <c r="M259" s="5" t="inlineStr">
        <is>
          <t>Medium</t>
        </is>
      </c>
    </row>
    <row r="260" ht="19" customHeight="1">
      <c r="A260" s="15" t="inlineStr">
        <is>
          <t>AWARD-255</t>
        </is>
      </c>
      <c r="B260" s="20" t="inlineStr">
        <is>
          <t>FILM-083</t>
        </is>
      </c>
      <c r="C260" s="5" t="inlineStr">
        <is>
          <t>Fan</t>
        </is>
      </c>
      <c r="D260" s="17" t="n">
        <v>2017</v>
      </c>
      <c r="E260" s="5" t="inlineStr">
        <is>
          <t>Filmfare Awards</t>
        </is>
      </c>
      <c r="F260" s="5" t="inlineStr">
        <is>
          <t>Best Actor</t>
        </is>
      </c>
      <c r="G260" s="5" t="inlineStr">
        <is>
          <t>Shah Rukh Khan</t>
        </is>
      </c>
      <c r="H260" s="5" t="inlineStr">
        <is>
          <t>Actor</t>
        </is>
      </c>
      <c r="I260" s="5" t="inlineStr">
        <is>
          <t>Nomination</t>
        </is>
      </c>
      <c r="J260" s="5" t="inlineStr">
        <is>
          <t>Competitive</t>
        </is>
      </c>
      <c r="K260" s="5" t="n"/>
      <c r="L260" s="5" t="inlineStr">
        <is>
          <t>SOURCE-002; SOURCE-086</t>
        </is>
      </c>
      <c r="M260" s="5" t="inlineStr">
        <is>
          <t>Medium</t>
        </is>
      </c>
    </row>
    <row r="261" ht="19" customHeight="1">
      <c r="A261" s="15" t="inlineStr">
        <is>
          <t>AWARD-256</t>
        </is>
      </c>
      <c r="B261" s="20" t="inlineStr">
        <is>
          <t>FILM-083</t>
        </is>
      </c>
      <c r="C261" s="5" t="inlineStr">
        <is>
          <t>Fan</t>
        </is>
      </c>
      <c r="D261" s="17" t="n">
        <v>2017</v>
      </c>
      <c r="E261" s="5" t="inlineStr">
        <is>
          <t>Filmfare Awards (62nd)</t>
        </is>
      </c>
      <c r="F261" s="5" t="inlineStr">
        <is>
          <t>Best Special Effects</t>
        </is>
      </c>
      <c r="G261" s="5" t="inlineStr">
        <is>
          <t>Red Chillies VFX</t>
        </is>
      </c>
      <c r="H261" s="5" t="inlineStr">
        <is>
          <t>Technician</t>
        </is>
      </c>
      <c r="I261" s="5" t="inlineStr">
        <is>
          <t>Win</t>
        </is>
      </c>
      <c r="J261" s="5" t="inlineStr">
        <is>
          <t>Competitive</t>
        </is>
      </c>
      <c r="K261" s="5" t="n"/>
      <c r="L261" s="5" t="inlineStr">
        <is>
          <t>SOURCE-086</t>
        </is>
      </c>
      <c r="M261" s="5" t="inlineStr">
        <is>
          <t>Medium</t>
        </is>
      </c>
    </row>
    <row r="262" ht="19" customHeight="1">
      <c r="A262" s="15" t="inlineStr">
        <is>
          <t>AWARD-257</t>
        </is>
      </c>
      <c r="B262" s="20" t="inlineStr">
        <is>
          <t>FILM-086</t>
        </is>
      </c>
      <c r="C262" s="5" t="inlineStr">
        <is>
          <t>Raees</t>
        </is>
      </c>
      <c r="D262" s="17" t="n">
        <v>2017</v>
      </c>
      <c r="E262" s="5" t="inlineStr">
        <is>
          <t>Stardust Awards</t>
        </is>
      </c>
      <c r="F262" s="5" t="inlineStr">
        <is>
          <t>Best Actor</t>
        </is>
      </c>
      <c r="G262" s="5" t="inlineStr">
        <is>
          <t>Shah Rukh Khan</t>
        </is>
      </c>
      <c r="H262" s="5" t="inlineStr">
        <is>
          <t>Actor</t>
        </is>
      </c>
      <c r="I262" s="5" t="inlineStr">
        <is>
          <t>Win</t>
        </is>
      </c>
      <c r="J262" s="5" t="inlineStr">
        <is>
          <t>Competitive</t>
        </is>
      </c>
      <c r="K262" s="5" t="n"/>
      <c r="L262" s="5" t="inlineStr">
        <is>
          <t>SOURCE-002; SOURCE-089</t>
        </is>
      </c>
      <c r="M262" s="5" t="inlineStr">
        <is>
          <t>Medium</t>
        </is>
      </c>
    </row>
    <row r="263" ht="19" customHeight="1">
      <c r="A263" s="15" t="inlineStr">
        <is>
          <t>AWARD-258</t>
        </is>
      </c>
      <c r="B263" s="20" t="n"/>
      <c r="C263" s="5" t="n"/>
      <c r="D263" s="17" t="n">
        <v>2017</v>
      </c>
      <c r="E263" s="5" t="inlineStr">
        <is>
          <t>Indian Television Academy</t>
        </is>
      </c>
      <c r="F263" s="5" t="inlineStr">
        <is>
          <t>Yash Chopra National Memorial Award</t>
        </is>
      </c>
      <c r="G263" s="5" t="inlineStr">
        <is>
          <t>Shah Rukh Khan</t>
        </is>
      </c>
      <c r="H263" s="5" t="inlineStr">
        <is>
          <t>Individual</t>
        </is>
      </c>
      <c r="I263" s="5" t="inlineStr">
        <is>
          <t>Win</t>
        </is>
      </c>
      <c r="J263" s="5" t="inlineStr">
        <is>
          <t>Honorary</t>
        </is>
      </c>
      <c r="K263" s="5" t="n"/>
      <c r="L263" s="5" t="inlineStr">
        <is>
          <t>SOURCE-002</t>
        </is>
      </c>
      <c r="M263" s="5" t="inlineStr">
        <is>
          <t>Medium</t>
        </is>
      </c>
    </row>
    <row r="264" ht="19" customHeight="1">
      <c r="A264" s="15" t="inlineStr">
        <is>
          <t>AWARD-259</t>
        </is>
      </c>
      <c r="B264" s="20" t="inlineStr">
        <is>
          <t>FILM-086</t>
        </is>
      </c>
      <c r="C264" s="5" t="inlineStr">
        <is>
          <t>Raees</t>
        </is>
      </c>
      <c r="D264" s="17" t="n">
        <v>2018</v>
      </c>
      <c r="E264" s="5" t="inlineStr">
        <is>
          <t>Filmfare Awards</t>
        </is>
      </c>
      <c r="F264" s="5" t="inlineStr">
        <is>
          <t>Best Actor</t>
        </is>
      </c>
      <c r="G264" s="5" t="inlineStr">
        <is>
          <t>Shah Rukh Khan</t>
        </is>
      </c>
      <c r="H264" s="5" t="inlineStr">
        <is>
          <t>Actor</t>
        </is>
      </c>
      <c r="I264" s="5" t="inlineStr">
        <is>
          <t>Nomination</t>
        </is>
      </c>
      <c r="J264" s="5" t="inlineStr">
        <is>
          <t>Competitive</t>
        </is>
      </c>
      <c r="K264" s="5" t="n"/>
      <c r="L264" s="5" t="inlineStr">
        <is>
          <t>SOURCE-002; SOURCE-089</t>
        </is>
      </c>
      <c r="M264" s="5" t="inlineStr">
        <is>
          <t>Medium</t>
        </is>
      </c>
    </row>
    <row r="265" ht="19" customHeight="1">
      <c r="A265" s="15" t="inlineStr">
        <is>
          <t>AWARD-260</t>
        </is>
      </c>
      <c r="B265" s="20" t="n"/>
      <c r="C265" s="5" t="n"/>
      <c r="D265" s="17" t="n">
        <v>2018</v>
      </c>
      <c r="E265" s="5" t="inlineStr">
        <is>
          <t>World Economic Forum</t>
        </is>
      </c>
      <c r="F265" s="5" t="inlineStr">
        <is>
          <t>Crystal Award</t>
        </is>
      </c>
      <c r="G265" s="5" t="inlineStr">
        <is>
          <t>Shah Rukh Khan</t>
        </is>
      </c>
      <c r="H265" s="5" t="inlineStr">
        <is>
          <t>Individual</t>
        </is>
      </c>
      <c r="I265" s="5" t="inlineStr">
        <is>
          <t>Win</t>
        </is>
      </c>
      <c r="J265" s="5" t="inlineStr">
        <is>
          <t>Honorary</t>
        </is>
      </c>
      <c r="K265" s="5" t="n"/>
      <c r="L265" s="5" t="inlineStr">
        <is>
          <t>SOURCE-002</t>
        </is>
      </c>
      <c r="M265" s="5" t="inlineStr">
        <is>
          <t>Medium</t>
        </is>
      </c>
    </row>
    <row r="266" ht="34" customHeight="1">
      <c r="A266" s="15" t="inlineStr">
        <is>
          <t>AWARD-261</t>
        </is>
      </c>
      <c r="B266" s="20" t="n"/>
      <c r="C266" s="5" t="n"/>
      <c r="D266" s="17" t="n">
        <v>2018</v>
      </c>
      <c r="E266" s="5" t="inlineStr">
        <is>
          <t>Zee Cine Awards</t>
        </is>
      </c>
      <c r="F266" s="5" t="inlineStr">
        <is>
          <t>Special Honour for Contribution to Cinema and TV over the Last 25 Years</t>
        </is>
      </c>
      <c r="G266" s="5" t="inlineStr">
        <is>
          <t>Shah Rukh Khan</t>
        </is>
      </c>
      <c r="H266" s="5" t="inlineStr">
        <is>
          <t>Individual</t>
        </is>
      </c>
      <c r="I266" s="5" t="inlineStr">
        <is>
          <t>Win</t>
        </is>
      </c>
      <c r="J266" s="5" t="inlineStr">
        <is>
          <t>Honorary</t>
        </is>
      </c>
      <c r="K266" s="5" t="n"/>
      <c r="L266" s="5" t="inlineStr">
        <is>
          <t>SOURCE-002</t>
        </is>
      </c>
      <c r="M266" s="5" t="inlineStr">
        <is>
          <t>Medium</t>
        </is>
      </c>
    </row>
    <row r="267" ht="19" customHeight="1">
      <c r="A267" s="15" t="inlineStr">
        <is>
          <t>AWARD-262</t>
        </is>
      </c>
      <c r="B267" s="20" t="inlineStr">
        <is>
          <t>FILM-089</t>
        </is>
      </c>
      <c r="C267" s="5" t="inlineStr">
        <is>
          <t>Zero</t>
        </is>
      </c>
      <c r="D267" s="17" t="n">
        <v>2019</v>
      </c>
      <c r="E267" s="5" t="inlineStr">
        <is>
          <t>Filmfare Awards</t>
        </is>
      </c>
      <c r="F267" s="5" t="inlineStr">
        <is>
          <t>Best Actor</t>
        </is>
      </c>
      <c r="G267" s="5" t="inlineStr">
        <is>
          <t>Shah Rukh Khan</t>
        </is>
      </c>
      <c r="H267" s="5" t="inlineStr">
        <is>
          <t>Actor</t>
        </is>
      </c>
      <c r="I267" s="5" t="inlineStr">
        <is>
          <t>Nomination</t>
        </is>
      </c>
      <c r="J267" s="5" t="inlineStr">
        <is>
          <t>Competitive</t>
        </is>
      </c>
      <c r="K267" s="5" t="n"/>
      <c r="L267" s="5" t="inlineStr">
        <is>
          <t>SOURCE-002; SOURCE-092</t>
        </is>
      </c>
      <c r="M267" s="5" t="inlineStr">
        <is>
          <t>Medium</t>
        </is>
      </c>
    </row>
    <row r="268" ht="19" customHeight="1">
      <c r="A268" s="15" t="inlineStr">
        <is>
          <t>AWARD-263</t>
        </is>
      </c>
      <c r="B268" s="20" t="inlineStr">
        <is>
          <t>FILM-089</t>
        </is>
      </c>
      <c r="C268" s="5" t="inlineStr">
        <is>
          <t>Zero</t>
        </is>
      </c>
      <c r="D268" s="17" t="n">
        <v>2019</v>
      </c>
      <c r="E268" s="5" t="inlineStr">
        <is>
          <t>Filmfare Awards (64th)</t>
        </is>
      </c>
      <c r="F268" s="5" t="inlineStr">
        <is>
          <t>Best Special Effects</t>
        </is>
      </c>
      <c r="G268" s="5" t="inlineStr">
        <is>
          <t>Red Chillies VFX</t>
        </is>
      </c>
      <c r="H268" s="5" t="inlineStr">
        <is>
          <t>Technician</t>
        </is>
      </c>
      <c r="I268" s="5" t="inlineStr">
        <is>
          <t>Win</t>
        </is>
      </c>
      <c r="J268" s="5" t="inlineStr">
        <is>
          <t>Competitive</t>
        </is>
      </c>
      <c r="K268" s="5" t="n"/>
      <c r="L268" s="5" t="inlineStr">
        <is>
          <t>SOURCE-092</t>
        </is>
      </c>
      <c r="M268" s="5" t="inlineStr">
        <is>
          <t>Medium</t>
        </is>
      </c>
    </row>
    <row r="269" ht="19" customHeight="1">
      <c r="A269" s="15" t="inlineStr">
        <is>
          <t>AWARD-264</t>
        </is>
      </c>
      <c r="B269" s="20" t="n"/>
      <c r="C269" s="5" t="n"/>
      <c r="D269" s="17" t="n">
        <v>2019</v>
      </c>
      <c r="E269" s="5" t="inlineStr">
        <is>
          <t>La Trobe University</t>
        </is>
      </c>
      <c r="F269" s="5" t="inlineStr">
        <is>
          <t>Honorary Doctorate</t>
        </is>
      </c>
      <c r="G269" s="5" t="inlineStr">
        <is>
          <t>Shah Rukh Khan</t>
        </is>
      </c>
      <c r="H269" s="5" t="inlineStr">
        <is>
          <t>Individual</t>
        </is>
      </c>
      <c r="I269" s="5" t="inlineStr">
        <is>
          <t>Win</t>
        </is>
      </c>
      <c r="J269" s="5" t="inlineStr">
        <is>
          <t>Honorary</t>
        </is>
      </c>
      <c r="K269" s="5" t="n"/>
      <c r="L269" s="5" t="inlineStr">
        <is>
          <t>SOURCE-002</t>
        </is>
      </c>
      <c r="M269" s="5" t="inlineStr">
        <is>
          <t>Medium</t>
        </is>
      </c>
    </row>
    <row r="270" ht="19" customHeight="1">
      <c r="A270" s="15" t="inlineStr">
        <is>
          <t>AWARD-265</t>
        </is>
      </c>
      <c r="B270" s="20" t="n"/>
      <c r="C270" s="5" t="n"/>
      <c r="D270" s="17" t="n">
        <v>2019</v>
      </c>
      <c r="E270" s="5" t="inlineStr">
        <is>
          <t>University of Law</t>
        </is>
      </c>
      <c r="F270" s="5" t="inlineStr">
        <is>
          <t>Honorary Doctorate</t>
        </is>
      </c>
      <c r="G270" s="5" t="inlineStr">
        <is>
          <t>Shah Rukh Khan</t>
        </is>
      </c>
      <c r="H270" s="5" t="inlineStr">
        <is>
          <t>Individual</t>
        </is>
      </c>
      <c r="I270" s="5" t="inlineStr">
        <is>
          <t>Win</t>
        </is>
      </c>
      <c r="J270" s="5" t="inlineStr">
        <is>
          <t>Honorary</t>
        </is>
      </c>
      <c r="K270" s="5" t="n"/>
      <c r="L270" s="5" t="inlineStr">
        <is>
          <t>SOURCE-002</t>
        </is>
      </c>
      <c r="M270" s="5" t="inlineStr">
        <is>
          <t>Medium</t>
        </is>
      </c>
    </row>
    <row r="271" ht="64" customHeight="1">
      <c r="A271" s="15" t="inlineStr">
        <is>
          <t>AWARD-266</t>
        </is>
      </c>
      <c r="B271" s="20" t="n"/>
      <c r="C271" s="5" t="n"/>
      <c r="D271" s="17" t="n">
        <v>2022</v>
      </c>
      <c r="E271" s="5" t="inlineStr">
        <is>
          <t>Sharjah International Book Fair</t>
        </is>
      </c>
      <c r="F271" s="5" t="inlineStr">
        <is>
          <t>Special Honoured with Global Icon of Cinema and Cultural Narrative Award for his Contribution as the International Icon of Cinema and Culture</t>
        </is>
      </c>
      <c r="G271" s="5" t="inlineStr">
        <is>
          <t>Shah Rukh Khan</t>
        </is>
      </c>
      <c r="H271" s="5" t="inlineStr">
        <is>
          <t>Individual</t>
        </is>
      </c>
      <c r="I271" s="5" t="inlineStr">
        <is>
          <t>Win</t>
        </is>
      </c>
      <c r="J271" s="5" t="inlineStr">
        <is>
          <t>Honorary</t>
        </is>
      </c>
      <c r="K271" s="5" t="n"/>
      <c r="L271" s="5" t="inlineStr">
        <is>
          <t>SOURCE-002</t>
        </is>
      </c>
      <c r="M271" s="5" t="inlineStr">
        <is>
          <t>Medium</t>
        </is>
      </c>
    </row>
    <row r="272" ht="34" customHeight="1">
      <c r="A272" s="15" t="inlineStr">
        <is>
          <t>AWARD-267</t>
        </is>
      </c>
      <c r="B272" s="20" t="inlineStr">
        <is>
          <t>FILM-093</t>
        </is>
      </c>
      <c r="C272" s="5" t="inlineStr">
        <is>
          <t>Brahmāstra: Part One – Shiva</t>
        </is>
      </c>
      <c r="D272" s="17" t="n">
        <v>2023</v>
      </c>
      <c r="E272" s="5" t="inlineStr">
        <is>
          <t>Filmfare Awards (68th)</t>
        </is>
      </c>
      <c r="F272" s="5" t="inlineStr">
        <is>
          <t>Best Lyricist</t>
        </is>
      </c>
      <c r="G272" s="5" t="inlineStr">
        <is>
          <t>Amitabh Bhattacharya for "Kesariya"</t>
        </is>
      </c>
      <c r="H272" s="5" t="inlineStr">
        <is>
          <t>Music</t>
        </is>
      </c>
      <c r="I272" s="5" t="inlineStr">
        <is>
          <t>Win</t>
        </is>
      </c>
      <c r="J272" s="5" t="inlineStr">
        <is>
          <t>Competitive</t>
        </is>
      </c>
      <c r="K272" s="5" t="n"/>
      <c r="L272" s="5" t="inlineStr">
        <is>
          <t>SOURCE-096</t>
        </is>
      </c>
      <c r="M272" s="5" t="inlineStr">
        <is>
          <t>Medium</t>
        </is>
      </c>
    </row>
    <row r="273" ht="19" customHeight="1">
      <c r="A273" s="15" t="inlineStr">
        <is>
          <t>AWARD-268</t>
        </is>
      </c>
      <c r="B273" s="20" t="inlineStr">
        <is>
          <t>FILM-093</t>
        </is>
      </c>
      <c r="C273" s="5" t="inlineStr">
        <is>
          <t>Brahmāstra: Part One – Shiva</t>
        </is>
      </c>
      <c r="D273" s="17" t="n">
        <v>2023</v>
      </c>
      <c r="E273" s="5" t="inlineStr">
        <is>
          <t>Filmfare Awards (68th)</t>
        </is>
      </c>
      <c r="F273" s="5" t="inlineStr">
        <is>
          <t>Best Male Playback Singer</t>
        </is>
      </c>
      <c r="G273" s="5" t="inlineStr">
        <is>
          <t>Arijit Singh for "Kesariya"</t>
        </is>
      </c>
      <c r="H273" s="5" t="inlineStr">
        <is>
          <t>Music</t>
        </is>
      </c>
      <c r="I273" s="5" t="inlineStr">
        <is>
          <t>Win</t>
        </is>
      </c>
      <c r="J273" s="5" t="inlineStr">
        <is>
          <t>Competitive</t>
        </is>
      </c>
      <c r="K273" s="5" t="n"/>
      <c r="L273" s="5" t="inlineStr">
        <is>
          <t>SOURCE-096</t>
        </is>
      </c>
      <c r="M273" s="5" t="inlineStr">
        <is>
          <t>Medium</t>
        </is>
      </c>
    </row>
    <row r="274" ht="19" customHeight="1">
      <c r="A274" s="15" t="inlineStr">
        <is>
          <t>AWARD-269</t>
        </is>
      </c>
      <c r="B274" s="20" t="inlineStr">
        <is>
          <t>FILM-093</t>
        </is>
      </c>
      <c r="C274" s="5" t="inlineStr">
        <is>
          <t>Brahmāstra: Part One – Shiva</t>
        </is>
      </c>
      <c r="D274" s="17" t="n">
        <v>2023</v>
      </c>
      <c r="E274" s="5" t="inlineStr">
        <is>
          <t>Filmfare Awards (68th)</t>
        </is>
      </c>
      <c r="F274" s="5" t="inlineStr">
        <is>
          <t>Best Music Director</t>
        </is>
      </c>
      <c r="G274" s="5" t="inlineStr">
        <is>
          <t>Pritam</t>
        </is>
      </c>
      <c r="H274" s="5" t="inlineStr">
        <is>
          <t>Music</t>
        </is>
      </c>
      <c r="I274" s="5" t="inlineStr">
        <is>
          <t>Win</t>
        </is>
      </c>
      <c r="J274" s="5" t="inlineStr">
        <is>
          <t>Competitive</t>
        </is>
      </c>
      <c r="K274" s="5" t="n"/>
      <c r="L274" s="5" t="inlineStr">
        <is>
          <t>SOURCE-096</t>
        </is>
      </c>
      <c r="M274" s="5" t="inlineStr">
        <is>
          <t>Medium</t>
        </is>
      </c>
    </row>
    <row r="275" ht="19" customHeight="1">
      <c r="A275" s="15" t="inlineStr">
        <is>
          <t>AWARD-270</t>
        </is>
      </c>
      <c r="B275" s="20" t="inlineStr">
        <is>
          <t>FILM-093</t>
        </is>
      </c>
      <c r="C275" s="5" t="inlineStr">
        <is>
          <t>Brahmāstra: Part One – Shiva</t>
        </is>
      </c>
      <c r="D275" s="17" t="n">
        <v>2023</v>
      </c>
      <c r="E275" s="5" t="inlineStr">
        <is>
          <t>Filmfare Awards (68th)</t>
        </is>
      </c>
      <c r="F275" s="5" t="inlineStr">
        <is>
          <t>Best Sound Design</t>
        </is>
      </c>
      <c r="G275" s="5" t="inlineStr">
        <is>
          <t>Bishwadeep Dipak Chatterjee</t>
        </is>
      </c>
      <c r="H275" s="5" t="inlineStr">
        <is>
          <t>Technician</t>
        </is>
      </c>
      <c r="I275" s="5" t="inlineStr">
        <is>
          <t>Win</t>
        </is>
      </c>
      <c r="J275" s="5" t="inlineStr">
        <is>
          <t>Competitive</t>
        </is>
      </c>
      <c r="K275" s="5" t="n"/>
      <c r="L275" s="5" t="inlineStr">
        <is>
          <t>SOURCE-096</t>
        </is>
      </c>
      <c r="M275" s="5" t="inlineStr">
        <is>
          <t>Medium</t>
        </is>
      </c>
    </row>
    <row r="276" ht="19" customHeight="1">
      <c r="A276" s="15" t="inlineStr">
        <is>
          <t>AWARD-271</t>
        </is>
      </c>
      <c r="B276" s="20" t="inlineStr">
        <is>
          <t>FILM-093</t>
        </is>
      </c>
      <c r="C276" s="5" t="inlineStr">
        <is>
          <t>Brahmāstra: Part One – Shiva</t>
        </is>
      </c>
      <c r="D276" s="17" t="n">
        <v>2023</v>
      </c>
      <c r="E276" s="5" t="inlineStr">
        <is>
          <t>Filmfare Awards (68th)</t>
        </is>
      </c>
      <c r="F276" s="5" t="inlineStr">
        <is>
          <t>Best Special Effects</t>
        </is>
      </c>
      <c r="G276" s="5" t="inlineStr">
        <is>
          <t>Dneg, ReDefine</t>
        </is>
      </c>
      <c r="H276" s="5" t="inlineStr">
        <is>
          <t>Technician</t>
        </is>
      </c>
      <c r="I276" s="5" t="inlineStr">
        <is>
          <t>Win</t>
        </is>
      </c>
      <c r="J276" s="5" t="inlineStr">
        <is>
          <t>Competitive</t>
        </is>
      </c>
      <c r="K276" s="5" t="n"/>
      <c r="L276" s="5" t="inlineStr">
        <is>
          <t>SOURCE-096</t>
        </is>
      </c>
      <c r="M276" s="5" t="inlineStr">
        <is>
          <t>Medium</t>
        </is>
      </c>
    </row>
    <row r="277" ht="19" customHeight="1">
      <c r="A277" s="15" t="inlineStr">
        <is>
          <t>AWARD-272</t>
        </is>
      </c>
      <c r="B277" s="20" t="n"/>
      <c r="C277" s="5" t="n"/>
      <c r="D277" s="17" t="n">
        <v>2023</v>
      </c>
      <c r="E277" s="5" t="inlineStr">
        <is>
          <t>CNN-News18 Indian of the Year</t>
        </is>
      </c>
      <c r="F277" s="5" t="inlineStr">
        <is>
          <t>Indian of the Year - Popular Choice</t>
        </is>
      </c>
      <c r="G277" s="5" t="inlineStr">
        <is>
          <t>Shah Rukh Khan</t>
        </is>
      </c>
      <c r="H277" s="5" t="inlineStr">
        <is>
          <t>Individual</t>
        </is>
      </c>
      <c r="I277" s="5" t="inlineStr">
        <is>
          <t>Win</t>
        </is>
      </c>
      <c r="J277" s="5" t="inlineStr">
        <is>
          <t>Honorary</t>
        </is>
      </c>
      <c r="K277" s="5" t="n"/>
      <c r="L277" s="5" t="inlineStr">
        <is>
          <t>SOURCE-002</t>
        </is>
      </c>
      <c r="M277" s="5" t="inlineStr">
        <is>
          <t>Medium</t>
        </is>
      </c>
    </row>
    <row r="278" ht="19" customHeight="1">
      <c r="A278" s="15" t="inlineStr">
        <is>
          <t>AWARD-273</t>
        </is>
      </c>
      <c r="B278" s="20" t="inlineStr">
        <is>
          <t>FILM-093</t>
        </is>
      </c>
      <c r="C278" s="5" t="inlineStr">
        <is>
          <t>Brahmāstra: Part One – Shiva</t>
        </is>
      </c>
      <c r="D278" s="17" t="n">
        <v>2024</v>
      </c>
      <c r="E278" s="5" t="inlineStr">
        <is>
          <t>National Film Awards</t>
        </is>
      </c>
      <c r="F278" s="5" t="inlineStr">
        <is>
          <t>Best Film in AVGC</t>
        </is>
      </c>
      <c r="G278" s="5" t="inlineStr">
        <is>
          <t>Ayan Mukerji</t>
        </is>
      </c>
      <c r="H278" s="5" t="inlineStr">
        <is>
          <t>Film</t>
        </is>
      </c>
      <c r="I278" s="5" t="inlineStr">
        <is>
          <t>Win</t>
        </is>
      </c>
      <c r="J278" s="5" t="inlineStr">
        <is>
          <t>Competitive</t>
        </is>
      </c>
      <c r="K278" s="5" t="n"/>
      <c r="L278" s="5" t="inlineStr">
        <is>
          <t>SOURCE-096</t>
        </is>
      </c>
      <c r="M278" s="5" t="inlineStr">
        <is>
          <t>Medium</t>
        </is>
      </c>
    </row>
    <row r="279" ht="19" customHeight="1">
      <c r="A279" s="15" t="inlineStr">
        <is>
          <t>AWARD-274</t>
        </is>
      </c>
      <c r="B279" s="20" t="inlineStr">
        <is>
          <t>FILM-093</t>
        </is>
      </c>
      <c r="C279" s="5" t="inlineStr">
        <is>
          <t>Brahmāstra: Part One – Shiva</t>
        </is>
      </c>
      <c r="D279" s="17" t="n">
        <v>2024</v>
      </c>
      <c r="E279" s="5" t="inlineStr">
        <is>
          <t>National Film Awards</t>
        </is>
      </c>
      <c r="F279" s="5" t="inlineStr">
        <is>
          <t>Best Male Playback Singer</t>
        </is>
      </c>
      <c r="G279" s="5" t="inlineStr">
        <is>
          <t>Arijit Singh for "Kesariya"</t>
        </is>
      </c>
      <c r="H279" s="5" t="inlineStr">
        <is>
          <t>Music</t>
        </is>
      </c>
      <c r="I279" s="5" t="inlineStr">
        <is>
          <t>Win</t>
        </is>
      </c>
      <c r="J279" s="5" t="inlineStr">
        <is>
          <t>Competitive</t>
        </is>
      </c>
      <c r="K279" s="5" t="n"/>
      <c r="L279" s="5" t="inlineStr">
        <is>
          <t>SOURCE-096</t>
        </is>
      </c>
      <c r="M279" s="5" t="inlineStr">
        <is>
          <t>Medium</t>
        </is>
      </c>
    </row>
    <row r="280" ht="19" customHeight="1">
      <c r="A280" s="15" t="inlineStr">
        <is>
          <t>AWARD-275</t>
        </is>
      </c>
      <c r="B280" s="20" t="inlineStr">
        <is>
          <t>FILM-093</t>
        </is>
      </c>
      <c r="C280" s="5" t="inlineStr">
        <is>
          <t>Brahmāstra: Part One – Shiva</t>
        </is>
      </c>
      <c r="D280" s="17" t="n">
        <v>2024</v>
      </c>
      <c r="E280" s="5" t="inlineStr">
        <is>
          <t>National Film Awards</t>
        </is>
      </c>
      <c r="F280" s="5" t="inlineStr">
        <is>
          <t>Best MusicDirection</t>
        </is>
      </c>
      <c r="G280" s="5" t="inlineStr">
        <is>
          <t>Pritam</t>
        </is>
      </c>
      <c r="H280" s="5" t="inlineStr">
        <is>
          <t>Music</t>
        </is>
      </c>
      <c r="I280" s="5" t="inlineStr">
        <is>
          <t>Win</t>
        </is>
      </c>
      <c r="J280" s="5" t="inlineStr">
        <is>
          <t>Competitive</t>
        </is>
      </c>
      <c r="K280" s="5" t="n"/>
      <c r="L280" s="5" t="inlineStr">
        <is>
          <t>SOURCE-096</t>
        </is>
      </c>
      <c r="M280" s="5" t="inlineStr">
        <is>
          <t>Medium</t>
        </is>
      </c>
    </row>
    <row r="281" ht="19" customHeight="1">
      <c r="A281" s="15" t="inlineStr">
        <is>
          <t>AWARD-276</t>
        </is>
      </c>
      <c r="B281" s="20" t="inlineStr">
        <is>
          <t>FILM-093</t>
        </is>
      </c>
      <c r="C281" s="5" t="inlineStr">
        <is>
          <t>Brahmāstra: Part One – Shiva</t>
        </is>
      </c>
      <c r="D281" s="17" t="n">
        <v>2024</v>
      </c>
      <c r="E281" s="5" t="inlineStr">
        <is>
          <t>National Film Awards</t>
        </is>
      </c>
      <c r="F281" s="5" t="inlineStr">
        <is>
          <t>Best VFX Supervisor</t>
        </is>
      </c>
      <c r="G281" s="5" t="inlineStr">
        <is>
          <t>Jaykar Arudra; Viral Thakkar</t>
        </is>
      </c>
      <c r="H281" s="5" t="inlineStr">
        <is>
          <t>Technician</t>
        </is>
      </c>
      <c r="I281" s="5" t="inlineStr">
        <is>
          <t>Win</t>
        </is>
      </c>
      <c r="J281" s="5" t="inlineStr">
        <is>
          <t>Competitive</t>
        </is>
      </c>
      <c r="K281" s="5" t="n"/>
      <c r="L281" s="5" t="inlineStr">
        <is>
          <t>SOURCE-096</t>
        </is>
      </c>
      <c r="M281" s="5" t="inlineStr">
        <is>
          <t>Medium</t>
        </is>
      </c>
    </row>
    <row r="282" ht="19" customHeight="1">
      <c r="A282" s="15" t="inlineStr">
        <is>
          <t>AWARD-277</t>
        </is>
      </c>
      <c r="B282" s="20" t="inlineStr">
        <is>
          <t>FILM-094</t>
        </is>
      </c>
      <c r="C282" s="5" t="inlineStr">
        <is>
          <t>Pathaan</t>
        </is>
      </c>
      <c r="D282" s="17" t="n">
        <v>2024</v>
      </c>
      <c r="E282" s="5" t="inlineStr">
        <is>
          <t>Filmfare Awards (69th)</t>
        </is>
      </c>
      <c r="F282" s="5" t="inlineStr">
        <is>
          <t>Best Female Playback Singer</t>
        </is>
      </c>
      <c r="G282" s="5" t="inlineStr">
        <is>
          <t>Shilpa Rao – "Besharam Rang"</t>
        </is>
      </c>
      <c r="H282" s="5" t="inlineStr">
        <is>
          <t>Music</t>
        </is>
      </c>
      <c r="I282" s="5" t="inlineStr">
        <is>
          <t>Win</t>
        </is>
      </c>
      <c r="J282" s="5" t="inlineStr">
        <is>
          <t>Competitive</t>
        </is>
      </c>
      <c r="K282" s="5" t="n"/>
      <c r="L282" s="5" t="inlineStr">
        <is>
          <t>SOURCE-097</t>
        </is>
      </c>
      <c r="M282" s="5" t="inlineStr">
        <is>
          <t>Medium</t>
        </is>
      </c>
    </row>
    <row r="283" ht="19" customHeight="1">
      <c r="A283" s="15" t="inlineStr">
        <is>
          <t>AWARD-278</t>
        </is>
      </c>
      <c r="B283" s="20" t="inlineStr">
        <is>
          <t>FILM-095</t>
        </is>
      </c>
      <c r="C283" s="5" t="inlineStr">
        <is>
          <t>Jawan</t>
        </is>
      </c>
      <c r="D283" s="17" t="n">
        <v>2024</v>
      </c>
      <c r="E283" s="5" t="inlineStr">
        <is>
          <t>Filmfare Awards</t>
        </is>
      </c>
      <c r="F283" s="5" t="inlineStr">
        <is>
          <t>Best Actor</t>
        </is>
      </c>
      <c r="G283" s="5" t="inlineStr">
        <is>
          <t>Shah Rukh Khan</t>
        </is>
      </c>
      <c r="H283" s="5" t="inlineStr">
        <is>
          <t>Actor</t>
        </is>
      </c>
      <c r="I283" s="5" t="inlineStr">
        <is>
          <t>Nomination</t>
        </is>
      </c>
      <c r="J283" s="5" t="inlineStr">
        <is>
          <t>Competitive</t>
        </is>
      </c>
      <c r="K283" s="5" t="n"/>
      <c r="L283" s="5" t="inlineStr">
        <is>
          <t>SOURCE-002; SOURCE-098</t>
        </is>
      </c>
      <c r="M283" s="5" t="inlineStr">
        <is>
          <t>Medium</t>
        </is>
      </c>
    </row>
    <row r="284" ht="64" customHeight="1">
      <c r="A284" s="15" t="inlineStr">
        <is>
          <t>AWARD-279</t>
        </is>
      </c>
      <c r="B284" s="20" t="inlineStr">
        <is>
          <t>FILM-095</t>
        </is>
      </c>
      <c r="C284" s="5" t="inlineStr">
        <is>
          <t>Jawan</t>
        </is>
      </c>
      <c r="D284" s="17" t="n">
        <v>2024</v>
      </c>
      <c r="E284" s="5" t="inlineStr">
        <is>
          <t>Filmfare Awards (69th)</t>
        </is>
      </c>
      <c r="F284" s="5" t="inlineStr">
        <is>
          <t>Best Action</t>
        </is>
      </c>
      <c r="G284" s="5" t="inlineStr">
        <is>
          <t>Spiro Razatos, ANL Arasu, Craig Macrae, Yannick Ben, Kecha Khamphakdee, and Sunil Rodrigues</t>
        </is>
      </c>
      <c r="H284" s="5" t="inlineStr">
        <is>
          <t>Technician</t>
        </is>
      </c>
      <c r="I284" s="5" t="inlineStr">
        <is>
          <t>Win</t>
        </is>
      </c>
      <c r="J284" s="5" t="inlineStr">
        <is>
          <t>Competitive</t>
        </is>
      </c>
      <c r="K284" s="5" t="n"/>
      <c r="L284" s="5" t="inlineStr">
        <is>
          <t>SOURCE-098</t>
        </is>
      </c>
      <c r="M284" s="5" t="inlineStr">
        <is>
          <t>Medium</t>
        </is>
      </c>
    </row>
    <row r="285" ht="19" customHeight="1">
      <c r="A285" s="15" t="inlineStr">
        <is>
          <t>AWARD-280</t>
        </is>
      </c>
      <c r="B285" s="20" t="inlineStr">
        <is>
          <t>FILM-095</t>
        </is>
      </c>
      <c r="C285" s="5" t="inlineStr">
        <is>
          <t>Jawan</t>
        </is>
      </c>
      <c r="D285" s="17" t="n">
        <v>2024</v>
      </c>
      <c r="E285" s="5" t="inlineStr">
        <is>
          <t>Filmfare Awards (69th)</t>
        </is>
      </c>
      <c r="F285" s="5" t="inlineStr">
        <is>
          <t>Best Special Effects</t>
        </is>
      </c>
      <c r="G285" s="5" t="inlineStr">
        <is>
          <t>Red Chillies VFX</t>
        </is>
      </c>
      <c r="H285" s="5" t="inlineStr">
        <is>
          <t>Technician</t>
        </is>
      </c>
      <c r="I285" s="5" t="inlineStr">
        <is>
          <t>Win</t>
        </is>
      </c>
      <c r="J285" s="5" t="inlineStr">
        <is>
          <t>Competitive</t>
        </is>
      </c>
      <c r="K285" s="5" t="n"/>
      <c r="L285" s="5" t="inlineStr">
        <is>
          <t>SOURCE-098</t>
        </is>
      </c>
      <c r="M285" s="5" t="inlineStr">
        <is>
          <t>Medium</t>
        </is>
      </c>
    </row>
    <row r="286" ht="34" customHeight="1">
      <c r="A286" s="15" t="inlineStr">
        <is>
          <t>AWARD-281</t>
        </is>
      </c>
      <c r="B286" s="20" t="inlineStr">
        <is>
          <t>FILM-095</t>
        </is>
      </c>
      <c r="C286" s="5" t="inlineStr">
        <is>
          <t>Jawan</t>
        </is>
      </c>
      <c r="D286" s="17" t="n">
        <v>2024</v>
      </c>
      <c r="E286" s="5" t="inlineStr">
        <is>
          <t>International Indian Film Academy Awards</t>
        </is>
      </c>
      <c r="F286" s="5" t="inlineStr">
        <is>
          <t>Best Actor</t>
        </is>
      </c>
      <c r="G286" s="5" t="inlineStr">
        <is>
          <t>Shah Rukh Khan</t>
        </is>
      </c>
      <c r="H286" s="5" t="inlineStr">
        <is>
          <t>Actor</t>
        </is>
      </c>
      <c r="I286" s="5" t="inlineStr">
        <is>
          <t>Win</t>
        </is>
      </c>
      <c r="J286" s="5" t="inlineStr">
        <is>
          <t>Competitive</t>
        </is>
      </c>
      <c r="K286" s="5" t="n"/>
      <c r="L286" s="5" t="inlineStr">
        <is>
          <t>SOURCE-002; SOURCE-098</t>
        </is>
      </c>
      <c r="M286" s="5" t="inlineStr">
        <is>
          <t>Medium</t>
        </is>
      </c>
    </row>
    <row r="287" ht="19" customHeight="1">
      <c r="A287" s="15" t="inlineStr">
        <is>
          <t>AWARD-282</t>
        </is>
      </c>
      <c r="B287" s="20" t="inlineStr">
        <is>
          <t>FILM-095</t>
        </is>
      </c>
      <c r="C287" s="5" t="inlineStr">
        <is>
          <t>Jawan</t>
        </is>
      </c>
      <c r="D287" s="17" t="n">
        <v>2024</v>
      </c>
      <c r="E287" s="5" t="inlineStr">
        <is>
          <t>Zee Cine Awards</t>
        </is>
      </c>
      <c r="F287" s="5" t="inlineStr">
        <is>
          <t>Best Actor – Male</t>
        </is>
      </c>
      <c r="G287" s="5" t="inlineStr">
        <is>
          <t>Shah Rukh Khan</t>
        </is>
      </c>
      <c r="H287" s="5" t="inlineStr">
        <is>
          <t>Actor</t>
        </is>
      </c>
      <c r="I287" s="5" t="inlineStr">
        <is>
          <t>Win</t>
        </is>
      </c>
      <c r="J287" s="5" t="inlineStr">
        <is>
          <t>Competitive</t>
        </is>
      </c>
      <c r="K287" s="5" t="n"/>
      <c r="L287" s="5" t="inlineStr">
        <is>
          <t>SOURCE-002; SOURCE-098</t>
        </is>
      </c>
      <c r="M287" s="5" t="inlineStr">
        <is>
          <t>Medium</t>
        </is>
      </c>
    </row>
    <row r="288" ht="19" customHeight="1">
      <c r="A288" s="15" t="inlineStr">
        <is>
          <t>AWARD-283</t>
        </is>
      </c>
      <c r="B288" s="20" t="inlineStr">
        <is>
          <t>FILM-097</t>
        </is>
      </c>
      <c r="C288" s="5" t="inlineStr">
        <is>
          <t>Dunki</t>
        </is>
      </c>
      <c r="D288" s="17" t="n">
        <v>2024</v>
      </c>
      <c r="E288" s="5" t="inlineStr">
        <is>
          <t>Filmfare Awards</t>
        </is>
      </c>
      <c r="F288" s="5" t="inlineStr">
        <is>
          <t>Best Actor</t>
        </is>
      </c>
      <c r="G288" s="5" t="inlineStr">
        <is>
          <t>Shah Rukh Khan</t>
        </is>
      </c>
      <c r="H288" s="5" t="inlineStr">
        <is>
          <t>Actor</t>
        </is>
      </c>
      <c r="I288" s="5" t="inlineStr">
        <is>
          <t>Nomination</t>
        </is>
      </c>
      <c r="J288" s="5" t="inlineStr">
        <is>
          <t>Competitive</t>
        </is>
      </c>
      <c r="K288" s="5" t="n"/>
      <c r="L288" s="5" t="inlineStr">
        <is>
          <t>SOURCE-002; SOURCE-100</t>
        </is>
      </c>
      <c r="M288" s="5" t="inlineStr">
        <is>
          <t>Medium</t>
        </is>
      </c>
    </row>
    <row r="289" ht="19" customHeight="1">
      <c r="A289" s="15" t="inlineStr">
        <is>
          <t>AWARD-284</t>
        </is>
      </c>
      <c r="B289" s="20" t="inlineStr">
        <is>
          <t>FILM-097</t>
        </is>
      </c>
      <c r="C289" s="5" t="inlineStr">
        <is>
          <t>Dunki</t>
        </is>
      </c>
      <c r="D289" s="17" t="n">
        <v>2024</v>
      </c>
      <c r="E289" s="5" t="inlineStr">
        <is>
          <t>Filmfare Awards (69th)</t>
        </is>
      </c>
      <c r="F289" s="5" t="inlineStr">
        <is>
          <t>Best Supporting Actor</t>
        </is>
      </c>
      <c r="G289" s="5" t="inlineStr">
        <is>
          <t>Vicky Kaushal</t>
        </is>
      </c>
      <c r="H289" s="5" t="inlineStr">
        <is>
          <t>Performer</t>
        </is>
      </c>
      <c r="I289" s="5" t="inlineStr">
        <is>
          <t>Win</t>
        </is>
      </c>
      <c r="J289" s="5" t="inlineStr">
        <is>
          <t>Competitive</t>
        </is>
      </c>
      <c r="K289" s="5" t="n"/>
      <c r="L289" s="5" t="inlineStr">
        <is>
          <t>SOURCE-100</t>
        </is>
      </c>
      <c r="M289" s="5" t="inlineStr">
        <is>
          <t>Medium</t>
        </is>
      </c>
    </row>
    <row r="290" ht="34" customHeight="1">
      <c r="A290" s="15" t="inlineStr">
        <is>
          <t>AWARD-285</t>
        </is>
      </c>
      <c r="B290" s="20" t="n"/>
      <c r="C290" s="5" t="n"/>
      <c r="D290" s="17" t="n">
        <v>2024</v>
      </c>
      <c r="E290" s="5" t="inlineStr">
        <is>
          <t>Locarno Film Festival</t>
        </is>
      </c>
      <c r="F290" s="5" t="inlineStr">
        <is>
          <t>Pardo alla Carriera Ascona-Locarno Tourism</t>
        </is>
      </c>
      <c r="G290" s="5" t="inlineStr">
        <is>
          <t>Shah Rukh Khan</t>
        </is>
      </c>
      <c r="H290" s="5" t="inlineStr">
        <is>
          <t>Individual</t>
        </is>
      </c>
      <c r="I290" s="5" t="inlineStr">
        <is>
          <t>Win</t>
        </is>
      </c>
      <c r="J290" s="5" t="inlineStr">
        <is>
          <t>Honorary</t>
        </is>
      </c>
      <c r="K290" s="5" t="n"/>
      <c r="L290" s="5" t="inlineStr">
        <is>
          <t>SOURCE-002</t>
        </is>
      </c>
      <c r="M290" s="5" t="inlineStr">
        <is>
          <t>Medium</t>
        </is>
      </c>
    </row>
    <row r="291" ht="19" customHeight="1">
      <c r="A291" s="15" t="inlineStr">
        <is>
          <t>AWARD-286</t>
        </is>
      </c>
      <c r="B291" s="20" t="inlineStr">
        <is>
          <t>FILM-095</t>
        </is>
      </c>
      <c r="C291" s="5" t="inlineStr">
        <is>
          <t>Jawan</t>
        </is>
      </c>
      <c r="D291" s="17" t="n">
        <v>2025</v>
      </c>
      <c r="E291" s="5" t="inlineStr">
        <is>
          <t>National Film Awards</t>
        </is>
      </c>
      <c r="F291" s="5" t="inlineStr">
        <is>
          <t>Best Actor</t>
        </is>
      </c>
      <c r="G291" s="5" t="inlineStr">
        <is>
          <t>Shah Rukh Khan</t>
        </is>
      </c>
      <c r="H291" s="5" t="inlineStr">
        <is>
          <t>Actor</t>
        </is>
      </c>
      <c r="I291" s="5" t="inlineStr">
        <is>
          <t>Win</t>
        </is>
      </c>
      <c r="J291" s="5" t="inlineStr">
        <is>
          <t>Competitive</t>
        </is>
      </c>
      <c r="K291" s="5" t="n"/>
      <c r="L291" s="5" t="inlineStr">
        <is>
          <t>SOURCE-002; SOURCE-098</t>
        </is>
      </c>
      <c r="M291" s="5" t="inlineStr">
        <is>
          <t>Medium</t>
        </is>
      </c>
    </row>
    <row r="292" ht="19" customHeight="1">
      <c r="A292" s="15" t="inlineStr">
        <is>
          <t>AWARD-287</t>
        </is>
      </c>
      <c r="B292" s="20" t="inlineStr">
        <is>
          <t>FILM-095</t>
        </is>
      </c>
      <c r="C292" s="5" t="inlineStr">
        <is>
          <t>Jawan</t>
        </is>
      </c>
      <c r="D292" s="17" t="n">
        <v>2025</v>
      </c>
      <c r="E292" s="5" t="inlineStr">
        <is>
          <t>National Film Awards</t>
        </is>
      </c>
      <c r="F292" s="5" t="inlineStr">
        <is>
          <t>Best Female Playback Singer</t>
        </is>
      </c>
      <c r="G292" s="5" t="inlineStr">
        <is>
          <t>Shilpa Rao – "Chaleya"</t>
        </is>
      </c>
      <c r="H292" s="5" t="inlineStr">
        <is>
          <t>Music</t>
        </is>
      </c>
      <c r="I292" s="5" t="inlineStr">
        <is>
          <t>Win</t>
        </is>
      </c>
      <c r="J292" s="5" t="inlineStr">
        <is>
          <t>Competitive</t>
        </is>
      </c>
      <c r="K292" s="5" t="n"/>
      <c r="L292" s="5" t="inlineStr">
        <is>
          <t>SOURCE-098</t>
        </is>
      </c>
      <c r="M292" s="5" t="inlineStr">
        <is>
          <t>Medium</t>
        </is>
      </c>
    </row>
  </sheetData>
  <autoFilter ref="A1:M292"/>
  <dataValidations count="3">
    <dataValidation sqref="I2:I492" showDropDown="0" showInputMessage="0" showErrorMessage="1" allowBlank="1" errorTitle="Win or Nomination" error="Choose a value from the list." type="list">
      <formula1>"Win,Nomination"</formula1>
    </dataValidation>
    <dataValidation sqref="J2:J492" showDropDown="0" showInputMessage="0" showErrorMessage="1" allowBlank="1" errorTitle="Competitive or Honorary" error="Choose a value from the list." type="list">
      <formula1>"Competitive,Honorary"</formula1>
    </dataValidation>
    <dataValidation sqref="M2:M492"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2" customWidth="1" min="3" max="3"/>
    <col width="40" customWidth="1" min="4" max="4"/>
    <col width="22" customWidth="1" min="5" max="5"/>
    <col width="20" customWidth="1" min="6" max="6"/>
    <col width="12" customWidth="1" min="7" max="7"/>
    <col width="42" customWidth="1" min="8" max="8"/>
    <col width="12" customWidth="1" min="9" max="9"/>
    <col width="40" customWidth="1" min="10" max="10"/>
    <col width="18" customWidth="1" min="11" max="11"/>
    <col width="10" customWidth="1" min="12" max="12"/>
    <col width="36" customWidth="1" min="13" max="13"/>
  </cols>
  <sheetData>
    <row r="1" ht="36" customHeight="1">
      <c r="A1" s="12" t="inlineStr">
        <is>
          <t>Source ID</t>
        </is>
      </c>
      <c r="B1" s="12" t="inlineStr">
        <is>
          <t>Film IDs Supported</t>
        </is>
      </c>
      <c r="C1" s="12" t="inlineStr">
        <is>
          <t>Pairing IDs Supported</t>
        </is>
      </c>
      <c r="D1" s="12" t="inlineStr">
        <is>
          <t>Source Title</t>
        </is>
      </c>
      <c r="E1" s="12" t="inlineStr">
        <is>
          <t>Publisher</t>
        </is>
      </c>
      <c r="F1" s="12" t="inlineStr">
        <is>
          <t>Author</t>
        </is>
      </c>
      <c r="G1" s="12" t="inlineStr">
        <is>
          <t>Publication Date</t>
        </is>
      </c>
      <c r="H1" s="12" t="inlineStr">
        <is>
          <t>URL</t>
        </is>
      </c>
      <c r="I1" s="12" t="inlineStr">
        <is>
          <t>Access Date</t>
        </is>
      </c>
      <c r="J1" s="12" t="inlineStr">
        <is>
          <t>Claims Supported</t>
        </is>
      </c>
      <c r="K1" s="12" t="inlineStr">
        <is>
          <t>Source Type</t>
        </is>
      </c>
      <c r="L1" s="12" t="inlineStr">
        <is>
          <t>Reliability Tier</t>
        </is>
      </c>
      <c r="M1" s="12" t="inlineStr">
        <is>
          <t>Notes</t>
        </is>
      </c>
    </row>
    <row r="2" ht="154" customHeight="1">
      <c r="A2" s="15" t="inlineStr">
        <is>
          <t>SOURCE-001</t>
        </is>
      </c>
      <c r="B2" s="5" t="inlineStr">
        <is>
          <t>FILM-007; FILM-022; FILM-023; FILM-029; FILM-038; FILM-052; FILM-053; FILM-056; FILM-059; FILM-063; FILM-064; FILM-066; FILM-068; FILM-072; FILM-073; FILM-074; FILM-078; FILM-080; FILM-084; FILM-087; FILM-090; FILM-091; FILM-092; FILM-096</t>
        </is>
      </c>
      <c r="C2" s="5" t="n"/>
      <c r="D2" s="5" t="inlineStr">
        <is>
          <t>Shah Rukh Khan filmography</t>
        </is>
      </c>
      <c r="E2" s="5" t="inlineStr">
        <is>
          <t>Wikipedia</t>
        </is>
      </c>
      <c r="F2" s="5" t="n"/>
      <c r="G2" s="5" t="n"/>
      <c r="H2" s="22" t="inlineStr">
        <is>
          <t>https://en.wikipedia.org/wiki/Shah_Rukh_Khan_filmography</t>
        </is>
      </c>
      <c r="I2" s="16" t="n">
        <v>46278</v>
      </c>
      <c r="J2" s="5" t="inlineStr">
        <is>
          <t>Complete list of feature-film acting credits, role names, and cameo, special-appearance, narrator and voice-over notes; television and music videos used to set scope.</t>
        </is>
      </c>
      <c r="K2" s="5" t="inlineStr">
        <is>
          <t>Reference encyclopedia</t>
        </is>
      </c>
      <c r="L2" s="5" t="inlineStr">
        <is>
          <t>C</t>
        </is>
      </c>
      <c r="M2" s="5" t="inlineStr">
        <is>
          <t>Downloaded as raw wikitext. Lists King (2026) as upcoming and Bhaag Jeetu Bhaag (2016) as a short film; both are excluded.</t>
        </is>
      </c>
    </row>
    <row r="3" ht="34" customHeight="1">
      <c r="A3" s="15" t="inlineStr">
        <is>
          <t>SOURCE-002</t>
        </is>
      </c>
      <c r="B3" s="5" t="n"/>
      <c r="C3" s="5" t="n"/>
      <c r="D3" s="5" t="inlineStr">
        <is>
          <t>List of awards and nominations received by Shah Rukh Khan</t>
        </is>
      </c>
      <c r="E3" s="5" t="inlineStr">
        <is>
          <t>Wikipedia</t>
        </is>
      </c>
      <c r="F3" s="5" t="n"/>
      <c r="G3" s="5" t="n"/>
      <c r="H3" s="22" t="inlineStr">
        <is>
          <t>https://en.wikipedia.org/wiki/List_of_awards_and_nominations_received_by_Shah_Rukh_Khan</t>
        </is>
      </c>
      <c r="I3" s="16" t="n">
        <v>46278</v>
      </c>
      <c r="J3" s="5" t="inlineStr">
        <is>
          <t>Shah Rukh Khan's personal award wins and nominations, and state honours.</t>
        </is>
      </c>
      <c r="K3" s="5" t="inlineStr">
        <is>
          <t>Reference encyclopedia</t>
        </is>
      </c>
      <c r="L3" s="5" t="inlineStr">
        <is>
          <t>C</t>
        </is>
      </c>
      <c r="M3" s="5" t="inlineStr">
        <is>
          <t>Cross-checked against the accolades sections of individual film pages.</t>
        </is>
      </c>
    </row>
    <row r="4" ht="34" customHeight="1">
      <c r="A4" s="15" t="inlineStr">
        <is>
          <t>SOURCE-003</t>
        </is>
      </c>
      <c r="B4" s="5" t="n"/>
      <c r="C4" s="5" t="n"/>
      <c r="D4" s="5" t="inlineStr">
        <is>
          <t>Shah Rukh Khan</t>
        </is>
      </c>
      <c r="E4" s="5" t="inlineStr">
        <is>
          <t>Wikipedia</t>
        </is>
      </c>
      <c r="F4" s="5" t="n"/>
      <c r="G4" s="5" t="n"/>
      <c r="H4" s="22" t="inlineStr">
        <is>
          <t>https://en.wikipedia.org/wiki/Shah_Rukh_Khan</t>
        </is>
      </c>
      <c r="I4" s="16" t="n">
        <v>46278</v>
      </c>
      <c r="J4" s="5" t="inlineStr">
        <is>
          <t>Career overview used for career phases, screen persona and recurring collaborations.</t>
        </is>
      </c>
      <c r="K4" s="5" t="inlineStr">
        <is>
          <t>Reference encyclopedia</t>
        </is>
      </c>
      <c r="L4" s="5" t="inlineStr">
        <is>
          <t>C</t>
        </is>
      </c>
      <c r="M4" s="5" t="inlineStr">
        <is>
          <t>Used for orientation only.</t>
        </is>
      </c>
    </row>
    <row r="5" ht="49" customHeight="1">
      <c r="A5" s="15" t="inlineStr">
        <is>
          <t>SOURCE-004</t>
        </is>
      </c>
      <c r="B5" s="5" t="inlineStr">
        <is>
          <t>FILM-001</t>
        </is>
      </c>
      <c r="C5" s="5" t="inlineStr">
        <is>
          <t>PAIR-001</t>
        </is>
      </c>
      <c r="D5" s="5" t="inlineStr">
        <is>
          <t>Deewana (1992 film)</t>
        </is>
      </c>
      <c r="E5" s="5" t="inlineStr">
        <is>
          <t>Wikipedia</t>
        </is>
      </c>
      <c r="F5" s="5" t="n"/>
      <c r="G5" s="5" t="n"/>
      <c r="H5" s="22" t="inlineStr">
        <is>
          <t>https://en.wikipedia.org/wiki/Deewana_(1992_film)</t>
        </is>
      </c>
      <c r="I5" s="16" t="n">
        <v>46278</v>
      </c>
      <c r="J5" s="5" t="inlineStr">
        <is>
          <t>Credits, release date, cast, plot, box office, reception and accolades for Deewana (1992).</t>
        </is>
      </c>
      <c r="K5" s="5" t="inlineStr">
        <is>
          <t>Reference encyclopedia</t>
        </is>
      </c>
      <c r="L5" s="5" t="inlineStr">
        <is>
          <t>C</t>
        </is>
      </c>
      <c r="M5" s="5" t="inlineStr">
        <is>
          <t>Downloaded as raw wikitext; box-office figures are Wikipedia citations of trade sources.</t>
        </is>
      </c>
    </row>
    <row r="6" ht="49" customHeight="1">
      <c r="A6" s="15" t="inlineStr">
        <is>
          <t>SOURCE-005</t>
        </is>
      </c>
      <c r="B6" s="5" t="inlineStr">
        <is>
          <t>FILM-002</t>
        </is>
      </c>
      <c r="C6" s="5" t="inlineStr">
        <is>
          <t>PAIR-002</t>
        </is>
      </c>
      <c r="D6" s="5" t="inlineStr">
        <is>
          <t>Chamatkar</t>
        </is>
      </c>
      <c r="E6" s="5" t="inlineStr">
        <is>
          <t>Wikipedia</t>
        </is>
      </c>
      <c r="F6" s="5" t="n"/>
      <c r="G6" s="5" t="n"/>
      <c r="H6" s="22" t="inlineStr">
        <is>
          <t>https://en.wikipedia.org/wiki/Chamatkar</t>
        </is>
      </c>
      <c r="I6" s="16" t="n">
        <v>46278</v>
      </c>
      <c r="J6" s="5" t="inlineStr">
        <is>
          <t>Credits, release date, cast, plot, box office, reception and accolades for Chamatkar (1992).</t>
        </is>
      </c>
      <c r="K6" s="5" t="inlineStr">
        <is>
          <t>Reference encyclopedia</t>
        </is>
      </c>
      <c r="L6" s="5" t="inlineStr">
        <is>
          <t>C</t>
        </is>
      </c>
      <c r="M6" s="5" t="inlineStr">
        <is>
          <t>Downloaded as raw wikitext; box-office figures are Wikipedia citations of trade sources.</t>
        </is>
      </c>
    </row>
    <row r="7" ht="49" customHeight="1">
      <c r="A7" s="15" t="inlineStr">
        <is>
          <t>SOURCE-006</t>
        </is>
      </c>
      <c r="B7" s="5" t="inlineStr">
        <is>
          <t>FILM-003</t>
        </is>
      </c>
      <c r="C7" s="5" t="inlineStr">
        <is>
          <t>PAIR-003; PAIR-004</t>
        </is>
      </c>
      <c r="D7" s="5" t="inlineStr">
        <is>
          <t>Raju Ban Gaya Gentleman</t>
        </is>
      </c>
      <c r="E7" s="5" t="inlineStr">
        <is>
          <t>Wikipedia</t>
        </is>
      </c>
      <c r="F7" s="5" t="n"/>
      <c r="G7" s="5" t="n"/>
      <c r="H7" s="22" t="inlineStr">
        <is>
          <t>https://en.wikipedia.org/wiki/Raju_Ban_Gaya_Gentleman</t>
        </is>
      </c>
      <c r="I7" s="16" t="n">
        <v>46278</v>
      </c>
      <c r="J7" s="5" t="inlineStr">
        <is>
          <t>Credits, release date, cast, plot, box office, reception and accolades for Raju Ban Gaya Gentleman (1992).</t>
        </is>
      </c>
      <c r="K7" s="5" t="inlineStr">
        <is>
          <t>Reference encyclopedia</t>
        </is>
      </c>
      <c r="L7" s="5" t="inlineStr">
        <is>
          <t>C</t>
        </is>
      </c>
      <c r="M7" s="5" t="inlineStr">
        <is>
          <t>Downloaded as raw wikitext; box-office figures are Wikipedia citations of trade sources.</t>
        </is>
      </c>
    </row>
    <row r="8" ht="49" customHeight="1">
      <c r="A8" s="15" t="inlineStr">
        <is>
          <t>SOURCE-007</t>
        </is>
      </c>
      <c r="B8" s="5" t="inlineStr">
        <is>
          <t>FILM-004</t>
        </is>
      </c>
      <c r="C8" s="5" t="inlineStr">
        <is>
          <t>PAIR-005</t>
        </is>
      </c>
      <c r="D8" s="5" t="inlineStr">
        <is>
          <t>Dil Aashna Hai</t>
        </is>
      </c>
      <c r="E8" s="5" t="inlineStr">
        <is>
          <t>Wikipedia</t>
        </is>
      </c>
      <c r="F8" s="5" t="n"/>
      <c r="G8" s="5" t="n"/>
      <c r="H8" s="22" t="inlineStr">
        <is>
          <t>https://en.wikipedia.org/wiki/Dil_Aashna_Hai</t>
        </is>
      </c>
      <c r="I8" s="16" t="n">
        <v>46278</v>
      </c>
      <c r="J8" s="5" t="inlineStr">
        <is>
          <t>Credits, release date, cast, plot, box office, reception and accolades for Dil Aashna Hai (1992).</t>
        </is>
      </c>
      <c r="K8" s="5" t="inlineStr">
        <is>
          <t>Reference encyclopedia</t>
        </is>
      </c>
      <c r="L8" s="5" t="inlineStr">
        <is>
          <t>C</t>
        </is>
      </c>
      <c r="M8" s="5" t="inlineStr">
        <is>
          <t>Downloaded as raw wikitext; box-office figures are Wikipedia citations of trade sources.</t>
        </is>
      </c>
    </row>
    <row r="9" ht="49" customHeight="1">
      <c r="A9" s="15" t="inlineStr">
        <is>
          <t>SOURCE-008</t>
        </is>
      </c>
      <c r="B9" s="5" t="inlineStr">
        <is>
          <t>FILM-005</t>
        </is>
      </c>
      <c r="C9" s="5" t="inlineStr">
        <is>
          <t>PAIR-006</t>
        </is>
      </c>
      <c r="D9" s="5" t="inlineStr">
        <is>
          <t>King Uncle</t>
        </is>
      </c>
      <c r="E9" s="5" t="inlineStr">
        <is>
          <t>Wikipedia</t>
        </is>
      </c>
      <c r="F9" s="5" t="n"/>
      <c r="G9" s="5" t="n"/>
      <c r="H9" s="22" t="inlineStr">
        <is>
          <t>https://en.wikipedia.org/wiki/King_Uncle</t>
        </is>
      </c>
      <c r="I9" s="16" t="n">
        <v>46278</v>
      </c>
      <c r="J9" s="5" t="inlineStr">
        <is>
          <t>Credits, release date, cast, plot, box office, reception and accolades for King Uncle (1993).</t>
        </is>
      </c>
      <c r="K9" s="5" t="inlineStr">
        <is>
          <t>Reference encyclopedia</t>
        </is>
      </c>
      <c r="L9" s="5" t="inlineStr">
        <is>
          <t>C</t>
        </is>
      </c>
      <c r="M9" s="5" t="inlineStr">
        <is>
          <t>Downloaded as raw wikitext; box-office figures are Wikipedia citations of trade sources.</t>
        </is>
      </c>
    </row>
    <row r="10" ht="49" customHeight="1">
      <c r="A10" s="15" t="inlineStr">
        <is>
          <t>SOURCE-009</t>
        </is>
      </c>
      <c r="B10" s="5" t="inlineStr">
        <is>
          <t>FILM-006</t>
        </is>
      </c>
      <c r="C10" s="5" t="inlineStr">
        <is>
          <t>PAIR-007</t>
        </is>
      </c>
      <c r="D10" s="5" t="inlineStr">
        <is>
          <t>Maya Memsaab</t>
        </is>
      </c>
      <c r="E10" s="5" t="inlineStr">
        <is>
          <t>Wikipedia</t>
        </is>
      </c>
      <c r="F10" s="5" t="n"/>
      <c r="G10" s="5" t="n"/>
      <c r="H10" s="22" t="inlineStr">
        <is>
          <t>https://en.wikipedia.org/wiki/Maya_Memsaab</t>
        </is>
      </c>
      <c r="I10" s="16" t="n">
        <v>46278</v>
      </c>
      <c r="J10" s="5" t="inlineStr">
        <is>
          <t>Credits, release date, cast, plot, box office, reception and accolades for Maya Memsaab (1993).</t>
        </is>
      </c>
      <c r="K10" s="5" t="inlineStr">
        <is>
          <t>Reference encyclopedia</t>
        </is>
      </c>
      <c r="L10" s="5" t="inlineStr">
        <is>
          <t>C</t>
        </is>
      </c>
      <c r="M10" s="5" t="inlineStr">
        <is>
          <t>Downloaded as raw wikitext; box-office figures are Wikipedia citations of trade sources.</t>
        </is>
      </c>
    </row>
    <row r="11" ht="49" customHeight="1">
      <c r="A11" s="15" t="inlineStr">
        <is>
          <t>SOURCE-010</t>
        </is>
      </c>
      <c r="B11" s="5" t="inlineStr">
        <is>
          <t>FILM-007</t>
        </is>
      </c>
      <c r="C11" s="5" t="n"/>
      <c r="D11" s="5" t="inlineStr">
        <is>
          <t>Pehla Nasha</t>
        </is>
      </c>
      <c r="E11" s="5" t="inlineStr">
        <is>
          <t>Wikipedia</t>
        </is>
      </c>
      <c r="F11" s="5" t="n"/>
      <c r="G11" s="5" t="n"/>
      <c r="H11" s="22" t="inlineStr">
        <is>
          <t>https://en.wikipedia.org/wiki/Pehla_Nasha</t>
        </is>
      </c>
      <c r="I11" s="16" t="n">
        <v>46278</v>
      </c>
      <c r="J11" s="5" t="inlineStr">
        <is>
          <t>Credits, release date, cast, plot, box office, reception and accolades for Pehla Nasha (1993).</t>
        </is>
      </c>
      <c r="K11" s="5" t="inlineStr">
        <is>
          <t>Reference encyclopedia</t>
        </is>
      </c>
      <c r="L11" s="5" t="inlineStr">
        <is>
          <t>C</t>
        </is>
      </c>
      <c r="M11" s="5" t="inlineStr">
        <is>
          <t>Downloaded as raw wikitext; box-office figures are Wikipedia citations of trade sources.</t>
        </is>
      </c>
    </row>
    <row r="12" ht="49" customHeight="1">
      <c r="A12" s="15" t="inlineStr">
        <is>
          <t>SOURCE-011</t>
        </is>
      </c>
      <c r="B12" s="5" t="inlineStr">
        <is>
          <t>FILM-008</t>
        </is>
      </c>
      <c r="C12" s="5" t="inlineStr">
        <is>
          <t>PAIR-008; PAIR-009</t>
        </is>
      </c>
      <c r="D12" s="5" t="inlineStr">
        <is>
          <t>Baazigar</t>
        </is>
      </c>
      <c r="E12" s="5" t="inlineStr">
        <is>
          <t>Wikipedia</t>
        </is>
      </c>
      <c r="F12" s="5" t="n"/>
      <c r="G12" s="5" t="n"/>
      <c r="H12" s="22" t="inlineStr">
        <is>
          <t>https://en.wikipedia.org/wiki/Baazigar</t>
        </is>
      </c>
      <c r="I12" s="16" t="n">
        <v>46278</v>
      </c>
      <c r="J12" s="5" t="inlineStr">
        <is>
          <t>Credits, release date, cast, plot, box office, reception and accolades for Baazigar (1993).</t>
        </is>
      </c>
      <c r="K12" s="5" t="inlineStr">
        <is>
          <t>Reference encyclopedia</t>
        </is>
      </c>
      <c r="L12" s="5" t="inlineStr">
        <is>
          <t>C</t>
        </is>
      </c>
      <c r="M12" s="5" t="inlineStr">
        <is>
          <t>Downloaded as raw wikitext; box-office figures are Wikipedia citations of trade sources.</t>
        </is>
      </c>
    </row>
    <row r="13" ht="49" customHeight="1">
      <c r="A13" s="15" t="inlineStr">
        <is>
          <t>SOURCE-012</t>
        </is>
      </c>
      <c r="B13" s="5" t="inlineStr">
        <is>
          <t>FILM-009</t>
        </is>
      </c>
      <c r="C13" s="5" t="inlineStr">
        <is>
          <t>PAIR-010</t>
        </is>
      </c>
      <c r="D13" s="5" t="inlineStr">
        <is>
          <t>Darr</t>
        </is>
      </c>
      <c r="E13" s="5" t="inlineStr">
        <is>
          <t>Wikipedia</t>
        </is>
      </c>
      <c r="F13" s="5" t="n"/>
      <c r="G13" s="5" t="n"/>
      <c r="H13" s="22" t="inlineStr">
        <is>
          <t>https://en.wikipedia.org/wiki/Darr</t>
        </is>
      </c>
      <c r="I13" s="16" t="n">
        <v>46278</v>
      </c>
      <c r="J13" s="5" t="inlineStr">
        <is>
          <t>Credits, release date, cast, plot, box office, reception and accolades for Darr (1993).</t>
        </is>
      </c>
      <c r="K13" s="5" t="inlineStr">
        <is>
          <t>Reference encyclopedia</t>
        </is>
      </c>
      <c r="L13" s="5" t="inlineStr">
        <is>
          <t>C</t>
        </is>
      </c>
      <c r="M13" s="5" t="inlineStr">
        <is>
          <t>Downloaded as raw wikitext; box-office figures are Wikipedia citations of trade sources.</t>
        </is>
      </c>
    </row>
    <row r="14" ht="49" customHeight="1">
      <c r="A14" s="15" t="inlineStr">
        <is>
          <t>SOURCE-013</t>
        </is>
      </c>
      <c r="B14" s="5" t="inlineStr">
        <is>
          <t>FILM-010</t>
        </is>
      </c>
      <c r="C14" s="5" t="inlineStr">
        <is>
          <t>PAIR-011</t>
        </is>
      </c>
      <c r="D14" s="5" t="inlineStr">
        <is>
          <t>Kabhi Haan Kabhi Naa</t>
        </is>
      </c>
      <c r="E14" s="5" t="inlineStr">
        <is>
          <t>Wikipedia</t>
        </is>
      </c>
      <c r="F14" s="5" t="n"/>
      <c r="G14" s="5" t="n"/>
      <c r="H14" s="22" t="inlineStr">
        <is>
          <t>https://en.wikipedia.org/wiki/Kabhi_Haan_Kabhi_Naa</t>
        </is>
      </c>
      <c r="I14" s="16" t="n">
        <v>46278</v>
      </c>
      <c r="J14" s="5" t="inlineStr">
        <is>
          <t>Credits, release date, cast, plot, box office, reception and accolades for Kabhi Haan Kabhi Naa (1994).</t>
        </is>
      </c>
      <c r="K14" s="5" t="inlineStr">
        <is>
          <t>Reference encyclopedia</t>
        </is>
      </c>
      <c r="L14" s="5" t="inlineStr">
        <is>
          <t>C</t>
        </is>
      </c>
      <c r="M14" s="5" t="inlineStr">
        <is>
          <t>Downloaded as raw wikitext; box-office figures are Wikipedia citations of trade sources.</t>
        </is>
      </c>
    </row>
    <row r="15" ht="49" customHeight="1">
      <c r="A15" s="15" t="inlineStr">
        <is>
          <t>SOURCE-014</t>
        </is>
      </c>
      <c r="B15" s="5" t="inlineStr">
        <is>
          <t>FILM-011</t>
        </is>
      </c>
      <c r="C15" s="5" t="inlineStr">
        <is>
          <t>PAIR-012</t>
        </is>
      </c>
      <c r="D15" s="5" t="inlineStr">
        <is>
          <t>Anjaam</t>
        </is>
      </c>
      <c r="E15" s="5" t="inlineStr">
        <is>
          <t>Wikipedia</t>
        </is>
      </c>
      <c r="F15" s="5" t="n"/>
      <c r="G15" s="5" t="n"/>
      <c r="H15" s="22" t="inlineStr">
        <is>
          <t>https://en.wikipedia.org/wiki/Anjaam</t>
        </is>
      </c>
      <c r="I15" s="16" t="n">
        <v>46278</v>
      </c>
      <c r="J15" s="5" t="inlineStr">
        <is>
          <t>Credits, release date, cast, plot, box office, reception and accolades for Anjaam (1994).</t>
        </is>
      </c>
      <c r="K15" s="5" t="inlineStr">
        <is>
          <t>Reference encyclopedia</t>
        </is>
      </c>
      <c r="L15" s="5" t="inlineStr">
        <is>
          <t>C</t>
        </is>
      </c>
      <c r="M15" s="5" t="inlineStr">
        <is>
          <t>Downloaded as raw wikitext; box-office figures are Wikipedia citations of trade sources.</t>
        </is>
      </c>
    </row>
    <row r="16" ht="49" customHeight="1">
      <c r="A16" s="15" t="inlineStr">
        <is>
          <t>SOURCE-015</t>
        </is>
      </c>
      <c r="B16" s="5" t="inlineStr">
        <is>
          <t>FILM-012</t>
        </is>
      </c>
      <c r="C16" s="5" t="inlineStr">
        <is>
          <t>PAIR-013</t>
        </is>
      </c>
      <c r="D16" s="5" t="inlineStr">
        <is>
          <t>Karan Arjun</t>
        </is>
      </c>
      <c r="E16" s="5" t="inlineStr">
        <is>
          <t>Wikipedia</t>
        </is>
      </c>
      <c r="F16" s="5" t="n"/>
      <c r="G16" s="5" t="n"/>
      <c r="H16" s="22" t="inlineStr">
        <is>
          <t>https://en.wikipedia.org/wiki/Karan_Arjun</t>
        </is>
      </c>
      <c r="I16" s="16" t="n">
        <v>46278</v>
      </c>
      <c r="J16" s="5" t="inlineStr">
        <is>
          <t>Credits, release date, cast, plot, box office, reception and accolades for Karan Arjun (1995).</t>
        </is>
      </c>
      <c r="K16" s="5" t="inlineStr">
        <is>
          <t>Reference encyclopedia</t>
        </is>
      </c>
      <c r="L16" s="5" t="inlineStr">
        <is>
          <t>C</t>
        </is>
      </c>
      <c r="M16" s="5" t="inlineStr">
        <is>
          <t>Downloaded as raw wikitext; box-office figures are Wikipedia citations of trade sources.</t>
        </is>
      </c>
    </row>
    <row r="17" ht="49" customHeight="1">
      <c r="A17" s="15" t="inlineStr">
        <is>
          <t>SOURCE-016</t>
        </is>
      </c>
      <c r="B17" s="5" t="inlineStr">
        <is>
          <t>FILM-013</t>
        </is>
      </c>
      <c r="C17" s="5" t="n"/>
      <c r="D17" s="5" t="inlineStr">
        <is>
          <t>Zamaana Deewana</t>
        </is>
      </c>
      <c r="E17" s="5" t="inlineStr">
        <is>
          <t>Wikipedia</t>
        </is>
      </c>
      <c r="F17" s="5" t="n"/>
      <c r="G17" s="5" t="n"/>
      <c r="H17" s="22" t="inlineStr">
        <is>
          <t>https://en.wikipedia.org/wiki/Zamaana_Deewana</t>
        </is>
      </c>
      <c r="I17" s="16" t="n">
        <v>46278</v>
      </c>
      <c r="J17" s="5" t="inlineStr">
        <is>
          <t>Credits, release date, cast, plot, box office, reception and accolades for Zamaana Deewana (1995).</t>
        </is>
      </c>
      <c r="K17" s="5" t="inlineStr">
        <is>
          <t>Reference encyclopedia</t>
        </is>
      </c>
      <c r="L17" s="5" t="inlineStr">
        <is>
          <t>C</t>
        </is>
      </c>
      <c r="M17" s="5" t="inlineStr">
        <is>
          <t>Downloaded as raw wikitext; box-office figures are Wikipedia citations of trade sources.</t>
        </is>
      </c>
    </row>
    <row r="18" ht="49" customHeight="1">
      <c r="A18" s="15" t="inlineStr">
        <is>
          <t>SOURCE-017</t>
        </is>
      </c>
      <c r="B18" s="5" t="inlineStr">
        <is>
          <t>FILM-014</t>
        </is>
      </c>
      <c r="C18" s="5" t="inlineStr">
        <is>
          <t>PAIR-014</t>
        </is>
      </c>
      <c r="D18" s="5" t="inlineStr">
        <is>
          <t>Guddu (film)</t>
        </is>
      </c>
      <c r="E18" s="5" t="inlineStr">
        <is>
          <t>Wikipedia</t>
        </is>
      </c>
      <c r="F18" s="5" t="n"/>
      <c r="G18" s="5" t="n"/>
      <c r="H18" s="22" t="inlineStr">
        <is>
          <t>https://en.wikipedia.org/wiki/Guddu_(film)</t>
        </is>
      </c>
      <c r="I18" s="16" t="n">
        <v>46278</v>
      </c>
      <c r="J18" s="5" t="inlineStr">
        <is>
          <t>Credits, release date, cast, plot, box office, reception and accolades for Guddu (1995).</t>
        </is>
      </c>
      <c r="K18" s="5" t="inlineStr">
        <is>
          <t>Reference encyclopedia</t>
        </is>
      </c>
      <c r="L18" s="5" t="inlineStr">
        <is>
          <t>C</t>
        </is>
      </c>
      <c r="M18" s="5" t="inlineStr">
        <is>
          <t>Downloaded as raw wikitext; box-office figures are Wikipedia citations of trade sources.</t>
        </is>
      </c>
    </row>
    <row r="19" ht="49" customHeight="1">
      <c r="A19" s="15" t="inlineStr">
        <is>
          <t>SOURCE-018</t>
        </is>
      </c>
      <c r="B19" s="5" t="inlineStr">
        <is>
          <t>FILM-015</t>
        </is>
      </c>
      <c r="C19" s="5" t="n"/>
      <c r="D19" s="5" t="inlineStr">
        <is>
          <t>Oh Darling! Yeh Hai India!</t>
        </is>
      </c>
      <c r="E19" s="5" t="inlineStr">
        <is>
          <t>Wikipedia</t>
        </is>
      </c>
      <c r="F19" s="5" t="n"/>
      <c r="G19" s="5" t="n"/>
      <c r="H19" s="22" t="inlineStr">
        <is>
          <t>https://en.wikipedia.org/wiki/Oh_Darling!_Yeh_Hai_India!</t>
        </is>
      </c>
      <c r="I19" s="16" t="n">
        <v>46278</v>
      </c>
      <c r="J19" s="5" t="inlineStr">
        <is>
          <t>Credits, release date, cast, plot, box office, reception and accolades for Oh Darling! Yeh Hai India! (1995).</t>
        </is>
      </c>
      <c r="K19" s="5" t="inlineStr">
        <is>
          <t>Reference encyclopedia</t>
        </is>
      </c>
      <c r="L19" s="5" t="inlineStr">
        <is>
          <t>C</t>
        </is>
      </c>
      <c r="M19" s="5" t="inlineStr">
        <is>
          <t>Downloaded as raw wikitext; box-office figures are Wikipedia citations of trade sources.</t>
        </is>
      </c>
    </row>
    <row r="20" ht="49" customHeight="1">
      <c r="A20" s="15" t="inlineStr">
        <is>
          <t>SOURCE-019</t>
        </is>
      </c>
      <c r="B20" s="5" t="inlineStr">
        <is>
          <t>FILM-016</t>
        </is>
      </c>
      <c r="C20" s="5" t="inlineStr">
        <is>
          <t>PAIR-015</t>
        </is>
      </c>
      <c r="D20" s="5" t="inlineStr">
        <is>
          <t>Dilwale Dulhania Le Jayenge</t>
        </is>
      </c>
      <c r="E20" s="5" t="inlineStr">
        <is>
          <t>Wikipedia</t>
        </is>
      </c>
      <c r="F20" s="5" t="n"/>
      <c r="G20" s="5" t="n"/>
      <c r="H20" s="22" t="inlineStr">
        <is>
          <t>https://en.wikipedia.org/wiki/Dilwale_Dulhania_Le_Jayenge</t>
        </is>
      </c>
      <c r="I20" s="16" t="n">
        <v>46278</v>
      </c>
      <c r="J20" s="5" t="inlineStr">
        <is>
          <t>Credits, release date, cast, plot, box office, reception and accolades for Dilwale Dulhania Le Jayenge (1995).</t>
        </is>
      </c>
      <c r="K20" s="5" t="inlineStr">
        <is>
          <t>Reference encyclopedia</t>
        </is>
      </c>
      <c r="L20" s="5" t="inlineStr">
        <is>
          <t>C</t>
        </is>
      </c>
      <c r="M20" s="5" t="inlineStr">
        <is>
          <t>Downloaded as raw wikitext; box-office figures are Wikipedia citations of trade sources.</t>
        </is>
      </c>
    </row>
    <row r="21" ht="49" customHeight="1">
      <c r="A21" s="15" t="inlineStr">
        <is>
          <t>SOURCE-020</t>
        </is>
      </c>
      <c r="B21" s="5" t="inlineStr">
        <is>
          <t>FILM-017</t>
        </is>
      </c>
      <c r="C21" s="5" t="inlineStr">
        <is>
          <t>PAIR-016</t>
        </is>
      </c>
      <c r="D21" s="5" t="inlineStr">
        <is>
          <t>Ram Jaane</t>
        </is>
      </c>
      <c r="E21" s="5" t="inlineStr">
        <is>
          <t>Wikipedia</t>
        </is>
      </c>
      <c r="F21" s="5" t="n"/>
      <c r="G21" s="5" t="n"/>
      <c r="H21" s="22" t="inlineStr">
        <is>
          <t>https://en.wikipedia.org/wiki/Ram_Jaane</t>
        </is>
      </c>
      <c r="I21" s="16" t="n">
        <v>46278</v>
      </c>
      <c r="J21" s="5" t="inlineStr">
        <is>
          <t>Credits, release date, cast, plot, box office, reception and accolades for Ram Jaane (1995).</t>
        </is>
      </c>
      <c r="K21" s="5" t="inlineStr">
        <is>
          <t>Reference encyclopedia</t>
        </is>
      </c>
      <c r="L21" s="5" t="inlineStr">
        <is>
          <t>C</t>
        </is>
      </c>
      <c r="M21" s="5" t="inlineStr">
        <is>
          <t>Downloaded as raw wikitext; box-office figures are Wikipedia citations of trade sources.</t>
        </is>
      </c>
    </row>
    <row r="22" ht="49" customHeight="1">
      <c r="A22" s="15" t="inlineStr">
        <is>
          <t>SOURCE-021</t>
        </is>
      </c>
      <c r="B22" s="5" t="inlineStr">
        <is>
          <t>FILM-018</t>
        </is>
      </c>
      <c r="C22" s="5" t="inlineStr">
        <is>
          <t>PAIR-017</t>
        </is>
      </c>
      <c r="D22" s="5" t="inlineStr">
        <is>
          <t>Trimurti (1995 film)</t>
        </is>
      </c>
      <c r="E22" s="5" t="inlineStr">
        <is>
          <t>Wikipedia</t>
        </is>
      </c>
      <c r="F22" s="5" t="n"/>
      <c r="G22" s="5" t="n"/>
      <c r="H22" s="22" t="inlineStr">
        <is>
          <t>https://en.wikipedia.org/wiki/Trimurti_(1995_film)</t>
        </is>
      </c>
      <c r="I22" s="16" t="n">
        <v>46278</v>
      </c>
      <c r="J22" s="5" t="inlineStr">
        <is>
          <t>Credits, release date, cast, plot, box office, reception and accolades for Trimurti (1995).</t>
        </is>
      </c>
      <c r="K22" s="5" t="inlineStr">
        <is>
          <t>Reference encyclopedia</t>
        </is>
      </c>
      <c r="L22" s="5" t="inlineStr">
        <is>
          <t>C</t>
        </is>
      </c>
      <c r="M22" s="5" t="inlineStr">
        <is>
          <t>Downloaded as raw wikitext; box-office figures are Wikipedia citations of trade sources.</t>
        </is>
      </c>
    </row>
    <row r="23" ht="49" customHeight="1">
      <c r="A23" s="15" t="inlineStr">
        <is>
          <t>SOURCE-022</t>
        </is>
      </c>
      <c r="B23" s="5" t="inlineStr">
        <is>
          <t>FILM-019</t>
        </is>
      </c>
      <c r="C23" s="5" t="inlineStr">
        <is>
          <t>PAIR-018; PAIR-019</t>
        </is>
      </c>
      <c r="D23" s="5" t="inlineStr">
        <is>
          <t>English Babu Desi Mem</t>
        </is>
      </c>
      <c r="E23" s="5" t="inlineStr">
        <is>
          <t>Wikipedia</t>
        </is>
      </c>
      <c r="F23" s="5" t="n"/>
      <c r="G23" s="5" t="n"/>
      <c r="H23" s="22" t="inlineStr">
        <is>
          <t>https://en.wikipedia.org/wiki/English_Babu_Desi_Mem</t>
        </is>
      </c>
      <c r="I23" s="16" t="n">
        <v>46278</v>
      </c>
      <c r="J23" s="5" t="inlineStr">
        <is>
          <t>Credits, release date, cast, plot, box office, reception and accolades for English Babu Desi Mem (1996).</t>
        </is>
      </c>
      <c r="K23" s="5" t="inlineStr">
        <is>
          <t>Reference encyclopedia</t>
        </is>
      </c>
      <c r="L23" s="5" t="inlineStr">
        <is>
          <t>C</t>
        </is>
      </c>
      <c r="M23" s="5" t="inlineStr">
        <is>
          <t>Downloaded as raw wikitext; box-office figures are Wikipedia citations of trade sources.</t>
        </is>
      </c>
    </row>
    <row r="24" ht="49" customHeight="1">
      <c r="A24" s="15" t="inlineStr">
        <is>
          <t>SOURCE-023</t>
        </is>
      </c>
      <c r="B24" s="5" t="inlineStr">
        <is>
          <t>FILM-020</t>
        </is>
      </c>
      <c r="C24" s="5" t="inlineStr">
        <is>
          <t>PAIR-020; PAIR-021</t>
        </is>
      </c>
      <c r="D24" s="5" t="inlineStr">
        <is>
          <t>Chaahat (1996 film)</t>
        </is>
      </c>
      <c r="E24" s="5" t="inlineStr">
        <is>
          <t>Wikipedia</t>
        </is>
      </c>
      <c r="F24" s="5" t="n"/>
      <c r="G24" s="5" t="n"/>
      <c r="H24" s="22" t="inlineStr">
        <is>
          <t>https://en.wikipedia.org/wiki/Chaahat_(1996_film)</t>
        </is>
      </c>
      <c r="I24" s="16" t="n">
        <v>46278</v>
      </c>
      <c r="J24" s="5" t="inlineStr">
        <is>
          <t>Credits, release date, cast, plot, box office, reception and accolades for Chaahat (1996).</t>
        </is>
      </c>
      <c r="K24" s="5" t="inlineStr">
        <is>
          <t>Reference encyclopedia</t>
        </is>
      </c>
      <c r="L24" s="5" t="inlineStr">
        <is>
          <t>C</t>
        </is>
      </c>
      <c r="M24" s="5" t="inlineStr">
        <is>
          <t>Downloaded as raw wikitext; box-office figures are Wikipedia citations of trade sources.</t>
        </is>
      </c>
    </row>
    <row r="25" ht="49" customHeight="1">
      <c r="A25" s="15" t="inlineStr">
        <is>
          <t>SOURCE-024</t>
        </is>
      </c>
      <c r="B25" s="5" t="inlineStr">
        <is>
          <t>FILM-021</t>
        </is>
      </c>
      <c r="C25" s="5" t="inlineStr">
        <is>
          <t>PAIR-022</t>
        </is>
      </c>
      <c r="D25" s="5" t="inlineStr">
        <is>
          <t>Army (1996 film)</t>
        </is>
      </c>
      <c r="E25" s="5" t="inlineStr">
        <is>
          <t>Wikipedia</t>
        </is>
      </c>
      <c r="F25" s="5" t="n"/>
      <c r="G25" s="5" t="n"/>
      <c r="H25" s="22" t="inlineStr">
        <is>
          <t>https://en.wikipedia.org/wiki/Army_(1996_film)</t>
        </is>
      </c>
      <c r="I25" s="16" t="n">
        <v>46278</v>
      </c>
      <c r="J25" s="5" t="inlineStr">
        <is>
          <t>Credits, release date, cast, plot, box office, reception and accolades for Army (1996).</t>
        </is>
      </c>
      <c r="K25" s="5" t="inlineStr">
        <is>
          <t>Reference encyclopedia</t>
        </is>
      </c>
      <c r="L25" s="5" t="inlineStr">
        <is>
          <t>C</t>
        </is>
      </c>
      <c r="M25" s="5" t="inlineStr">
        <is>
          <t>Downloaded as raw wikitext; box-office figures are Wikipedia citations of trade sources.</t>
        </is>
      </c>
    </row>
    <row r="26" ht="49" customHeight="1">
      <c r="A26" s="15" t="inlineStr">
        <is>
          <t>SOURCE-025</t>
        </is>
      </c>
      <c r="B26" s="5" t="inlineStr">
        <is>
          <t>FILM-022</t>
        </is>
      </c>
      <c r="C26" s="5" t="n"/>
      <c r="D26" s="5" t="inlineStr">
        <is>
          <t>Dushman Duniya Ka</t>
        </is>
      </c>
      <c r="E26" s="5" t="inlineStr">
        <is>
          <t>Wikipedia</t>
        </is>
      </c>
      <c r="F26" s="5" t="n"/>
      <c r="G26" s="5" t="n"/>
      <c r="H26" s="22" t="inlineStr">
        <is>
          <t>https://en.wikipedia.org/wiki/Dushman_Duniya_Ka</t>
        </is>
      </c>
      <c r="I26" s="16" t="n">
        <v>46278</v>
      </c>
      <c r="J26" s="5" t="inlineStr">
        <is>
          <t>Credits, release date, cast, plot, box office, reception and accolades for Dushman Duniya Ka (1996).</t>
        </is>
      </c>
      <c r="K26" s="5" t="inlineStr">
        <is>
          <t>Reference encyclopedia</t>
        </is>
      </c>
      <c r="L26" s="5" t="inlineStr">
        <is>
          <t>C</t>
        </is>
      </c>
      <c r="M26" s="5" t="inlineStr">
        <is>
          <t>Downloaded as raw wikitext; box-office figures are Wikipedia citations of trade sources.</t>
        </is>
      </c>
    </row>
    <row r="27" ht="49" customHeight="1">
      <c r="A27" s="15" t="inlineStr">
        <is>
          <t>SOURCE-026</t>
        </is>
      </c>
      <c r="B27" s="5" t="inlineStr">
        <is>
          <t>FILM-023</t>
        </is>
      </c>
      <c r="C27" s="5" t="n"/>
      <c r="D27" s="5" t="inlineStr">
        <is>
          <t>Gudgudee</t>
        </is>
      </c>
      <c r="E27" s="5" t="inlineStr">
        <is>
          <t>Wikipedia</t>
        </is>
      </c>
      <c r="F27" s="5" t="n"/>
      <c r="G27" s="5" t="n"/>
      <c r="H27" s="22" t="inlineStr">
        <is>
          <t>https://en.wikipedia.org/wiki/Gudgudee</t>
        </is>
      </c>
      <c r="I27" s="16" t="n">
        <v>46278</v>
      </c>
      <c r="J27" s="5" t="inlineStr">
        <is>
          <t>Credits, release date, cast, plot, box office, reception and accolades for Gudgudee (1997).</t>
        </is>
      </c>
      <c r="K27" s="5" t="inlineStr">
        <is>
          <t>Reference encyclopedia</t>
        </is>
      </c>
      <c r="L27" s="5" t="inlineStr">
        <is>
          <t>C</t>
        </is>
      </c>
      <c r="M27" s="5" t="inlineStr">
        <is>
          <t>Downloaded as raw wikitext; box-office figures are Wikipedia citations of trade sources.</t>
        </is>
      </c>
    </row>
    <row r="28" ht="49" customHeight="1">
      <c r="A28" s="15" t="inlineStr">
        <is>
          <t>SOURCE-027</t>
        </is>
      </c>
      <c r="B28" s="5" t="inlineStr">
        <is>
          <t>FILM-024</t>
        </is>
      </c>
      <c r="C28" s="5" t="inlineStr">
        <is>
          <t>PAIR-023</t>
        </is>
      </c>
      <c r="D28" s="5" t="inlineStr">
        <is>
          <t>Koyla</t>
        </is>
      </c>
      <c r="E28" s="5" t="inlineStr">
        <is>
          <t>Wikipedia</t>
        </is>
      </c>
      <c r="F28" s="5" t="n"/>
      <c r="G28" s="5" t="n"/>
      <c r="H28" s="22" t="inlineStr">
        <is>
          <t>https://en.wikipedia.org/wiki/Koyla</t>
        </is>
      </c>
      <c r="I28" s="16" t="n">
        <v>46278</v>
      </c>
      <c r="J28" s="5" t="inlineStr">
        <is>
          <t>Credits, release date, cast, plot, box office, reception and accolades for Koyla (1997).</t>
        </is>
      </c>
      <c r="K28" s="5" t="inlineStr">
        <is>
          <t>Reference encyclopedia</t>
        </is>
      </c>
      <c r="L28" s="5" t="inlineStr">
        <is>
          <t>C</t>
        </is>
      </c>
      <c r="M28" s="5" t="inlineStr">
        <is>
          <t>Downloaded as raw wikitext; box-office figures are Wikipedia citations of trade sources.</t>
        </is>
      </c>
    </row>
    <row r="29" ht="49" customHeight="1">
      <c r="A29" s="15" t="inlineStr">
        <is>
          <t>SOURCE-028</t>
        </is>
      </c>
      <c r="B29" s="5" t="inlineStr">
        <is>
          <t>FILM-025</t>
        </is>
      </c>
      <c r="C29" s="5" t="inlineStr">
        <is>
          <t>PAIR-024</t>
        </is>
      </c>
      <c r="D29" s="5" t="inlineStr">
        <is>
          <t>Yes Boss (film)</t>
        </is>
      </c>
      <c r="E29" s="5" t="inlineStr">
        <is>
          <t>Wikipedia</t>
        </is>
      </c>
      <c r="F29" s="5" t="n"/>
      <c r="G29" s="5" t="n"/>
      <c r="H29" s="22" t="inlineStr">
        <is>
          <t>https://en.wikipedia.org/wiki/Yes_Boss_(film)</t>
        </is>
      </c>
      <c r="I29" s="16" t="n">
        <v>46278</v>
      </c>
      <c r="J29" s="5" t="inlineStr">
        <is>
          <t>Credits, release date, cast, plot, box office, reception and accolades for Yes Boss (1997).</t>
        </is>
      </c>
      <c r="K29" s="5" t="inlineStr">
        <is>
          <t>Reference encyclopedia</t>
        </is>
      </c>
      <c r="L29" s="5" t="inlineStr">
        <is>
          <t>C</t>
        </is>
      </c>
      <c r="M29" s="5" t="inlineStr">
        <is>
          <t>Downloaded as raw wikitext; box-office figures are Wikipedia citations of trade sources.</t>
        </is>
      </c>
    </row>
    <row r="30" ht="49" customHeight="1">
      <c r="A30" s="15" t="inlineStr">
        <is>
          <t>SOURCE-029</t>
        </is>
      </c>
      <c r="B30" s="5" t="inlineStr">
        <is>
          <t>FILM-026</t>
        </is>
      </c>
      <c r="C30" s="5" t="inlineStr">
        <is>
          <t>PAIR-025</t>
        </is>
      </c>
      <c r="D30" s="5" t="inlineStr">
        <is>
          <t>Pardes (1997 film)</t>
        </is>
      </c>
      <c r="E30" s="5" t="inlineStr">
        <is>
          <t>Wikipedia</t>
        </is>
      </c>
      <c r="F30" s="5" t="n"/>
      <c r="G30" s="5" t="n"/>
      <c r="H30" s="22" t="inlineStr">
        <is>
          <t>https://en.wikipedia.org/wiki/Pardes_(1997_film)</t>
        </is>
      </c>
      <c r="I30" s="16" t="n">
        <v>46278</v>
      </c>
      <c r="J30" s="5" t="inlineStr">
        <is>
          <t>Credits, release date, cast, plot, box office, reception and accolades for Pardes (1997).</t>
        </is>
      </c>
      <c r="K30" s="5" t="inlineStr">
        <is>
          <t>Reference encyclopedia</t>
        </is>
      </c>
      <c r="L30" s="5" t="inlineStr">
        <is>
          <t>C</t>
        </is>
      </c>
      <c r="M30" s="5" t="inlineStr">
        <is>
          <t>Downloaded as raw wikitext; box-office figures are Wikipedia citations of trade sources.</t>
        </is>
      </c>
    </row>
    <row r="31" ht="49" customHeight="1">
      <c r="A31" s="15" t="inlineStr">
        <is>
          <t>SOURCE-030</t>
        </is>
      </c>
      <c r="B31" s="5" t="inlineStr">
        <is>
          <t>FILM-027</t>
        </is>
      </c>
      <c r="C31" s="5" t="inlineStr">
        <is>
          <t>PAIR-026; PAIR-027</t>
        </is>
      </c>
      <c r="D31" s="5" t="inlineStr">
        <is>
          <t>Dil To Pagal Hai</t>
        </is>
      </c>
      <c r="E31" s="5" t="inlineStr">
        <is>
          <t>Wikipedia</t>
        </is>
      </c>
      <c r="F31" s="5" t="n"/>
      <c r="G31" s="5" t="n"/>
      <c r="H31" s="22" t="inlineStr">
        <is>
          <t>https://en.wikipedia.org/wiki/Dil_To_Pagal_Hai</t>
        </is>
      </c>
      <c r="I31" s="16" t="n">
        <v>46278</v>
      </c>
      <c r="J31" s="5" t="inlineStr">
        <is>
          <t>Credits, release date, cast, plot, box office, reception and accolades for Dil To Pagal Hai (1997).</t>
        </is>
      </c>
      <c r="K31" s="5" t="inlineStr">
        <is>
          <t>Reference encyclopedia</t>
        </is>
      </c>
      <c r="L31" s="5" t="inlineStr">
        <is>
          <t>C</t>
        </is>
      </c>
      <c r="M31" s="5" t="inlineStr">
        <is>
          <t>Downloaded as raw wikitext; box-office figures are Wikipedia citations of trade sources.</t>
        </is>
      </c>
    </row>
    <row r="32" ht="49" customHeight="1">
      <c r="A32" s="15" t="inlineStr">
        <is>
          <t>SOURCE-031</t>
        </is>
      </c>
      <c r="B32" s="5" t="inlineStr">
        <is>
          <t>FILM-028</t>
        </is>
      </c>
      <c r="C32" s="5" t="inlineStr">
        <is>
          <t>PAIR-028; PAIR-029</t>
        </is>
      </c>
      <c r="D32" s="5" t="inlineStr">
        <is>
          <t>Duplicate (1998 film)</t>
        </is>
      </c>
      <c r="E32" s="5" t="inlineStr">
        <is>
          <t>Wikipedia</t>
        </is>
      </c>
      <c r="F32" s="5" t="n"/>
      <c r="G32" s="5" t="n"/>
      <c r="H32" s="22" t="inlineStr">
        <is>
          <t>https://en.wikipedia.org/wiki/Duplicate_(1998_film)</t>
        </is>
      </c>
      <c r="I32" s="16" t="n">
        <v>46278</v>
      </c>
      <c r="J32" s="5" t="inlineStr">
        <is>
          <t>Credits, release date, cast, plot, box office, reception and accolades for Duplicate (1998).</t>
        </is>
      </c>
      <c r="K32" s="5" t="inlineStr">
        <is>
          <t>Reference encyclopedia</t>
        </is>
      </c>
      <c r="L32" s="5" t="inlineStr">
        <is>
          <t>C</t>
        </is>
      </c>
      <c r="M32" s="5" t="inlineStr">
        <is>
          <t>Downloaded as raw wikitext; box-office figures are Wikipedia citations of trade sources.</t>
        </is>
      </c>
    </row>
    <row r="33" ht="49" customHeight="1">
      <c r="A33" s="15" t="inlineStr">
        <is>
          <t>SOURCE-032</t>
        </is>
      </c>
      <c r="B33" s="5" t="inlineStr">
        <is>
          <t>FILM-029</t>
        </is>
      </c>
      <c r="C33" s="5" t="n"/>
      <c r="D33" s="5" t="inlineStr">
        <is>
          <t>Achanak (1998 film)</t>
        </is>
      </c>
      <c r="E33" s="5" t="inlineStr">
        <is>
          <t>Wikipedia</t>
        </is>
      </c>
      <c r="F33" s="5" t="n"/>
      <c r="G33" s="5" t="n"/>
      <c r="H33" s="22" t="inlineStr">
        <is>
          <t>https://en.wikipedia.org/wiki/Achanak_(1998_film)</t>
        </is>
      </c>
      <c r="I33" s="16" t="n">
        <v>46278</v>
      </c>
      <c r="J33" s="5" t="inlineStr">
        <is>
          <t>Credits, release date, cast, plot, box office, reception and accolades for Achanak (1998).</t>
        </is>
      </c>
      <c r="K33" s="5" t="inlineStr">
        <is>
          <t>Reference encyclopedia</t>
        </is>
      </c>
      <c r="L33" s="5" t="inlineStr">
        <is>
          <t>C</t>
        </is>
      </c>
      <c r="M33" s="5" t="inlineStr">
        <is>
          <t>Downloaded as raw wikitext; box-office figures are Wikipedia citations of trade sources.</t>
        </is>
      </c>
    </row>
    <row r="34" ht="49" customHeight="1">
      <c r="A34" s="15" t="inlineStr">
        <is>
          <t>SOURCE-033</t>
        </is>
      </c>
      <c r="B34" s="5" t="inlineStr">
        <is>
          <t>FILM-030</t>
        </is>
      </c>
      <c r="C34" s="5" t="inlineStr">
        <is>
          <t>PAIR-030</t>
        </is>
      </c>
      <c r="D34" s="5" t="inlineStr">
        <is>
          <t>Dil Se..</t>
        </is>
      </c>
      <c r="E34" s="5" t="inlineStr">
        <is>
          <t>Wikipedia</t>
        </is>
      </c>
      <c r="F34" s="5" t="n"/>
      <c r="G34" s="5" t="n"/>
      <c r="H34" s="22" t="inlineStr">
        <is>
          <t>https://en.wikipedia.org/wiki/Dil_Se..</t>
        </is>
      </c>
      <c r="I34" s="16" t="n">
        <v>46278</v>
      </c>
      <c r="J34" s="5" t="inlineStr">
        <is>
          <t>Credits, release date, cast, plot, box office, reception and accolades for Dil Se.. (1998).</t>
        </is>
      </c>
      <c r="K34" s="5" t="inlineStr">
        <is>
          <t>Reference encyclopedia</t>
        </is>
      </c>
      <c r="L34" s="5" t="inlineStr">
        <is>
          <t>C</t>
        </is>
      </c>
      <c r="M34" s="5" t="inlineStr">
        <is>
          <t>Downloaded as raw wikitext; box-office figures are Wikipedia citations of trade sources.</t>
        </is>
      </c>
    </row>
    <row r="35" ht="49" customHeight="1">
      <c r="A35" s="15" t="inlineStr">
        <is>
          <t>SOURCE-034</t>
        </is>
      </c>
      <c r="B35" s="5" t="inlineStr">
        <is>
          <t>FILM-031</t>
        </is>
      </c>
      <c r="C35" s="5" t="inlineStr">
        <is>
          <t>PAIR-031; PAIR-032</t>
        </is>
      </c>
      <c r="D35" s="5" t="inlineStr">
        <is>
          <t>Kuch Kuch Hota Hai</t>
        </is>
      </c>
      <c r="E35" s="5" t="inlineStr">
        <is>
          <t>Wikipedia</t>
        </is>
      </c>
      <c r="F35" s="5" t="n"/>
      <c r="G35" s="5" t="n"/>
      <c r="H35" s="22" t="inlineStr">
        <is>
          <t>https://en.wikipedia.org/wiki/Kuch_Kuch_Hota_Hai</t>
        </is>
      </c>
      <c r="I35" s="16" t="n">
        <v>46278</v>
      </c>
      <c r="J35" s="5" t="inlineStr">
        <is>
          <t>Credits, release date, cast, plot, box office, reception and accolades for Kuch Kuch Hota Hai (1998).</t>
        </is>
      </c>
      <c r="K35" s="5" t="inlineStr">
        <is>
          <t>Reference encyclopedia</t>
        </is>
      </c>
      <c r="L35" s="5" t="inlineStr">
        <is>
          <t>C</t>
        </is>
      </c>
      <c r="M35" s="5" t="inlineStr">
        <is>
          <t>Downloaded as raw wikitext; box-office figures are Wikipedia citations of trade sources.</t>
        </is>
      </c>
    </row>
    <row r="36" ht="49" customHeight="1">
      <c r="A36" s="15" t="inlineStr">
        <is>
          <t>SOURCE-035</t>
        </is>
      </c>
      <c r="B36" s="5" t="inlineStr">
        <is>
          <t>FILM-032</t>
        </is>
      </c>
      <c r="C36" s="5" t="inlineStr">
        <is>
          <t>PAIR-033</t>
        </is>
      </c>
      <c r="D36" s="5" t="inlineStr">
        <is>
          <t>Baadshah (1999 film)</t>
        </is>
      </c>
      <c r="E36" s="5" t="inlineStr">
        <is>
          <t>Wikipedia</t>
        </is>
      </c>
      <c r="F36" s="5" t="n"/>
      <c r="G36" s="5" t="n"/>
      <c r="H36" s="22" t="inlineStr">
        <is>
          <t>https://en.wikipedia.org/wiki/Baadshah_(1999_film)</t>
        </is>
      </c>
      <c r="I36" s="16" t="n">
        <v>46278</v>
      </c>
      <c r="J36" s="5" t="inlineStr">
        <is>
          <t>Credits, release date, cast, plot, box office, reception and accolades for Baadshah (1999).</t>
        </is>
      </c>
      <c r="K36" s="5" t="inlineStr">
        <is>
          <t>Reference encyclopedia</t>
        </is>
      </c>
      <c r="L36" s="5" t="inlineStr">
        <is>
          <t>C</t>
        </is>
      </c>
      <c r="M36" s="5" t="inlineStr">
        <is>
          <t>Downloaded as raw wikitext; box-office figures are Wikipedia citations of trade sources.</t>
        </is>
      </c>
    </row>
    <row r="37" ht="49" customHeight="1">
      <c r="A37" s="15" t="inlineStr">
        <is>
          <t>SOURCE-036</t>
        </is>
      </c>
      <c r="B37" s="5" t="inlineStr">
        <is>
          <t>FILM-033</t>
        </is>
      </c>
      <c r="C37" s="5" t="inlineStr">
        <is>
          <t>PAIR-034</t>
        </is>
      </c>
      <c r="D37" s="5" t="inlineStr">
        <is>
          <t>Phir Bhi Dil Hai Hindustani</t>
        </is>
      </c>
      <c r="E37" s="5" t="inlineStr">
        <is>
          <t>Wikipedia</t>
        </is>
      </c>
      <c r="F37" s="5" t="n"/>
      <c r="G37" s="5" t="n"/>
      <c r="H37" s="22" t="inlineStr">
        <is>
          <t>https://en.wikipedia.org/wiki/Phir_Bhi_Dil_Hai_Hindustani</t>
        </is>
      </c>
      <c r="I37" s="16" t="n">
        <v>46278</v>
      </c>
      <c r="J37" s="5" t="inlineStr">
        <is>
          <t>Credits, release date, cast, plot, box office, reception and accolades for Phir Bhi Dil Hai Hindustani (2000).</t>
        </is>
      </c>
      <c r="K37" s="5" t="inlineStr">
        <is>
          <t>Reference encyclopedia</t>
        </is>
      </c>
      <c r="L37" s="5" t="inlineStr">
        <is>
          <t>C</t>
        </is>
      </c>
      <c r="M37" s="5" t="inlineStr">
        <is>
          <t>Downloaded as raw wikitext; box-office figures are Wikipedia citations of trade sources.</t>
        </is>
      </c>
    </row>
    <row r="38" ht="49" customHeight="1">
      <c r="A38" s="15" t="inlineStr">
        <is>
          <t>SOURCE-037</t>
        </is>
      </c>
      <c r="B38" s="5" t="inlineStr">
        <is>
          <t>FILM-034</t>
        </is>
      </c>
      <c r="C38" s="5" t="n"/>
      <c r="D38" s="5" t="inlineStr">
        <is>
          <t>Hey Ram</t>
        </is>
      </c>
      <c r="E38" s="5" t="inlineStr">
        <is>
          <t>Wikipedia</t>
        </is>
      </c>
      <c r="F38" s="5" t="n"/>
      <c r="G38" s="5" t="n"/>
      <c r="H38" s="22" t="inlineStr">
        <is>
          <t>https://en.wikipedia.org/wiki/Hey_Ram</t>
        </is>
      </c>
      <c r="I38" s="16" t="n">
        <v>46278</v>
      </c>
      <c r="J38" s="5" t="inlineStr">
        <is>
          <t>Credits, release date, cast, plot, box office, reception and accolades for Hey Ram (2000).</t>
        </is>
      </c>
      <c r="K38" s="5" t="inlineStr">
        <is>
          <t>Reference encyclopedia</t>
        </is>
      </c>
      <c r="L38" s="5" t="inlineStr">
        <is>
          <t>C</t>
        </is>
      </c>
      <c r="M38" s="5" t="inlineStr">
        <is>
          <t>Downloaded as raw wikitext; box-office figures are Wikipedia citations of trade sources.</t>
        </is>
      </c>
    </row>
    <row r="39" ht="49" customHeight="1">
      <c r="A39" s="15" t="inlineStr">
        <is>
          <t>SOURCE-038</t>
        </is>
      </c>
      <c r="B39" s="5" t="inlineStr">
        <is>
          <t>FILM-035</t>
        </is>
      </c>
      <c r="C39" s="5" t="n"/>
      <c r="D39" s="5" t="inlineStr">
        <is>
          <t>Josh (2000 film)</t>
        </is>
      </c>
      <c r="E39" s="5" t="inlineStr">
        <is>
          <t>Wikipedia</t>
        </is>
      </c>
      <c r="F39" s="5" t="n"/>
      <c r="G39" s="5" t="n"/>
      <c r="H39" s="22" t="inlineStr">
        <is>
          <t>https://en.wikipedia.org/wiki/Josh_(2000_film)</t>
        </is>
      </c>
      <c r="I39" s="16" t="n">
        <v>46278</v>
      </c>
      <c r="J39" s="5" t="inlineStr">
        <is>
          <t>Credits, release date, cast, plot, box office, reception and accolades for Josh (2000).</t>
        </is>
      </c>
      <c r="K39" s="5" t="inlineStr">
        <is>
          <t>Reference encyclopedia</t>
        </is>
      </c>
      <c r="L39" s="5" t="inlineStr">
        <is>
          <t>C</t>
        </is>
      </c>
      <c r="M39" s="5" t="inlineStr">
        <is>
          <t>Downloaded as raw wikitext; box-office figures are Wikipedia citations of trade sources.</t>
        </is>
      </c>
    </row>
    <row r="40" ht="49" customHeight="1">
      <c r="A40" s="15" t="inlineStr">
        <is>
          <t>SOURCE-039</t>
        </is>
      </c>
      <c r="B40" s="5" t="inlineStr">
        <is>
          <t>FILM-036</t>
        </is>
      </c>
      <c r="C40" s="5" t="n"/>
      <c r="D40" s="5" t="inlineStr">
        <is>
          <t>Har Dil Jo Pyar Karega</t>
        </is>
      </c>
      <c r="E40" s="5" t="inlineStr">
        <is>
          <t>Wikipedia</t>
        </is>
      </c>
      <c r="F40" s="5" t="n"/>
      <c r="G40" s="5" t="n"/>
      <c r="H40" s="22" t="inlineStr">
        <is>
          <t>https://en.wikipedia.org/wiki/Har_Dil_Jo_Pyar_Karega</t>
        </is>
      </c>
      <c r="I40" s="16" t="n">
        <v>46278</v>
      </c>
      <c r="J40" s="5" t="inlineStr">
        <is>
          <t>Credits, release date, cast, plot, box office, reception and accolades for Har Dil Jo Pyar Karega (2000).</t>
        </is>
      </c>
      <c r="K40" s="5" t="inlineStr">
        <is>
          <t>Reference encyclopedia</t>
        </is>
      </c>
      <c r="L40" s="5" t="inlineStr">
        <is>
          <t>C</t>
        </is>
      </c>
      <c r="M40" s="5" t="inlineStr">
        <is>
          <t>Downloaded as raw wikitext; box-office figures are Wikipedia citations of trade sources.</t>
        </is>
      </c>
    </row>
    <row r="41" ht="49" customHeight="1">
      <c r="A41" s="15" t="inlineStr">
        <is>
          <t>SOURCE-040</t>
        </is>
      </c>
      <c r="B41" s="5" t="inlineStr">
        <is>
          <t>FILM-037</t>
        </is>
      </c>
      <c r="C41" s="5" t="inlineStr">
        <is>
          <t>PAIR-035</t>
        </is>
      </c>
      <c r="D41" s="5" t="inlineStr">
        <is>
          <t>Mohabbatein</t>
        </is>
      </c>
      <c r="E41" s="5" t="inlineStr">
        <is>
          <t>Wikipedia</t>
        </is>
      </c>
      <c r="F41" s="5" t="n"/>
      <c r="G41" s="5" t="n"/>
      <c r="H41" s="22" t="inlineStr">
        <is>
          <t>https://en.wikipedia.org/wiki/Mohabbatein</t>
        </is>
      </c>
      <c r="I41" s="16" t="n">
        <v>46278</v>
      </c>
      <c r="J41" s="5" t="inlineStr">
        <is>
          <t>Credits, release date, cast, plot, box office, reception and accolades for Mohabbatein (2000).</t>
        </is>
      </c>
      <c r="K41" s="5" t="inlineStr">
        <is>
          <t>Reference encyclopedia</t>
        </is>
      </c>
      <c r="L41" s="5" t="inlineStr">
        <is>
          <t>C</t>
        </is>
      </c>
      <c r="M41" s="5" t="inlineStr">
        <is>
          <t>Downloaded as raw wikitext; box-office figures are Wikipedia citations of trade sources.</t>
        </is>
      </c>
    </row>
    <row r="42" ht="49" customHeight="1">
      <c r="A42" s="15" t="inlineStr">
        <is>
          <t>SOURCE-041</t>
        </is>
      </c>
      <c r="B42" s="5" t="inlineStr">
        <is>
          <t>FILM-038</t>
        </is>
      </c>
      <c r="C42" s="5" t="n"/>
      <c r="D42" s="5" t="inlineStr">
        <is>
          <t>Gaja Gamini</t>
        </is>
      </c>
      <c r="E42" s="5" t="inlineStr">
        <is>
          <t>Wikipedia</t>
        </is>
      </c>
      <c r="F42" s="5" t="n"/>
      <c r="G42" s="5" t="n"/>
      <c r="H42" s="22" t="inlineStr">
        <is>
          <t>https://en.wikipedia.org/wiki/Gaja_Gamini</t>
        </is>
      </c>
      <c r="I42" s="16" t="n">
        <v>46278</v>
      </c>
      <c r="J42" s="5" t="inlineStr">
        <is>
          <t>Credits, release date, cast, plot, box office, reception and accolades for Gaja Gamini (2000).</t>
        </is>
      </c>
      <c r="K42" s="5" t="inlineStr">
        <is>
          <t>Reference encyclopedia</t>
        </is>
      </c>
      <c r="L42" s="5" t="inlineStr">
        <is>
          <t>C</t>
        </is>
      </c>
      <c r="M42" s="5" t="inlineStr">
        <is>
          <t>Downloaded as raw wikitext; box-office figures are Wikipedia citations of trade sources.</t>
        </is>
      </c>
    </row>
    <row r="43" ht="49" customHeight="1">
      <c r="A43" s="15" t="inlineStr">
        <is>
          <t>SOURCE-042</t>
        </is>
      </c>
      <c r="B43" s="5" t="inlineStr">
        <is>
          <t>FILM-039</t>
        </is>
      </c>
      <c r="C43" s="5" t="inlineStr">
        <is>
          <t>PAIR-036</t>
        </is>
      </c>
      <c r="D43" s="5" t="inlineStr">
        <is>
          <t>One 2 Ka 4</t>
        </is>
      </c>
      <c r="E43" s="5" t="inlineStr">
        <is>
          <t>Wikipedia</t>
        </is>
      </c>
      <c r="F43" s="5" t="n"/>
      <c r="G43" s="5" t="n"/>
      <c r="H43" s="22" t="inlineStr">
        <is>
          <t>https://en.wikipedia.org/wiki/One_2_Ka_4</t>
        </is>
      </c>
      <c r="I43" s="16" t="n">
        <v>46278</v>
      </c>
      <c r="J43" s="5" t="inlineStr">
        <is>
          <t>Credits, release date, cast, plot, box office, reception and accolades for One 2 Ka 4 (2001).</t>
        </is>
      </c>
      <c r="K43" s="5" t="inlineStr">
        <is>
          <t>Reference encyclopedia</t>
        </is>
      </c>
      <c r="L43" s="5" t="inlineStr">
        <is>
          <t>C</t>
        </is>
      </c>
      <c r="M43" s="5" t="inlineStr">
        <is>
          <t>Downloaded as raw wikitext; box-office figures are Wikipedia citations of trade sources.</t>
        </is>
      </c>
    </row>
    <row r="44" ht="49" customHeight="1">
      <c r="A44" s="15" t="inlineStr">
        <is>
          <t>SOURCE-043</t>
        </is>
      </c>
      <c r="B44" s="5" t="inlineStr">
        <is>
          <t>FILM-040</t>
        </is>
      </c>
      <c r="C44" s="5" t="inlineStr">
        <is>
          <t>PAIR-037; PAIR-038</t>
        </is>
      </c>
      <c r="D44" s="5" t="inlineStr">
        <is>
          <t>Asoka (2001 film)</t>
        </is>
      </c>
      <c r="E44" s="5" t="inlineStr">
        <is>
          <t>Wikipedia</t>
        </is>
      </c>
      <c r="F44" s="5" t="n"/>
      <c r="G44" s="5" t="n"/>
      <c r="H44" s="22" t="inlineStr">
        <is>
          <t>https://en.wikipedia.org/wiki/Asoka_(2001_film)</t>
        </is>
      </c>
      <c r="I44" s="16" t="n">
        <v>46278</v>
      </c>
      <c r="J44" s="5" t="inlineStr">
        <is>
          <t>Credits, release date, cast, plot, box office, reception and accolades for Aśoka (2001).</t>
        </is>
      </c>
      <c r="K44" s="5" t="inlineStr">
        <is>
          <t>Reference encyclopedia</t>
        </is>
      </c>
      <c r="L44" s="5" t="inlineStr">
        <is>
          <t>C</t>
        </is>
      </c>
      <c r="M44" s="5" t="inlineStr">
        <is>
          <t>Downloaded as raw wikitext; box-office figures are Wikipedia citations of trade sources.</t>
        </is>
      </c>
    </row>
    <row r="45" ht="49" customHeight="1">
      <c r="A45" s="15" t="inlineStr">
        <is>
          <t>SOURCE-044</t>
        </is>
      </c>
      <c r="B45" s="5" t="inlineStr">
        <is>
          <t>FILM-041</t>
        </is>
      </c>
      <c r="C45" s="5" t="inlineStr">
        <is>
          <t>PAIR-039</t>
        </is>
      </c>
      <c r="D45" s="5" t="inlineStr">
        <is>
          <t>Kabhi Khushi Kabhie Gham</t>
        </is>
      </c>
      <c r="E45" s="5" t="inlineStr">
        <is>
          <t>Wikipedia</t>
        </is>
      </c>
      <c r="F45" s="5" t="n"/>
      <c r="G45" s="5" t="n"/>
      <c r="H45" s="22" t="inlineStr">
        <is>
          <t>https://en.wikipedia.org/wiki/Kabhi_Khushi_Kabhie_Gham</t>
        </is>
      </c>
      <c r="I45" s="16" t="n">
        <v>46278</v>
      </c>
      <c r="J45" s="5" t="inlineStr">
        <is>
          <t>Credits, release date, cast, plot, box office, reception and accolades for Kabhi Khushi Kabhie Gham (2001).</t>
        </is>
      </c>
      <c r="K45" s="5" t="inlineStr">
        <is>
          <t>Reference encyclopedia</t>
        </is>
      </c>
      <c r="L45" s="5" t="inlineStr">
        <is>
          <t>C</t>
        </is>
      </c>
      <c r="M45" s="5" t="inlineStr">
        <is>
          <t>Downloaded as raw wikitext; box-office figures are Wikipedia citations of trade sources.</t>
        </is>
      </c>
    </row>
    <row r="46" ht="49" customHeight="1">
      <c r="A46" s="15" t="inlineStr">
        <is>
          <t>SOURCE-045</t>
        </is>
      </c>
      <c r="B46" s="5" t="inlineStr">
        <is>
          <t>FILM-042</t>
        </is>
      </c>
      <c r="C46" s="5" t="inlineStr">
        <is>
          <t>PAIR-040</t>
        </is>
      </c>
      <c r="D46" s="5" t="inlineStr">
        <is>
          <t>Hum Tumhare Hain Sanam</t>
        </is>
      </c>
      <c r="E46" s="5" t="inlineStr">
        <is>
          <t>Wikipedia</t>
        </is>
      </c>
      <c r="F46" s="5" t="n"/>
      <c r="G46" s="5" t="n"/>
      <c r="H46" s="22" t="inlineStr">
        <is>
          <t>https://en.wikipedia.org/wiki/Hum_Tumhare_Hain_Sanam</t>
        </is>
      </c>
      <c r="I46" s="16" t="n">
        <v>46278</v>
      </c>
      <c r="J46" s="5" t="inlineStr">
        <is>
          <t>Credits, release date, cast, plot, box office, reception and accolades for Hum Tumhare Hain Sanam (2002).</t>
        </is>
      </c>
      <c r="K46" s="5" t="inlineStr">
        <is>
          <t>Reference encyclopedia</t>
        </is>
      </c>
      <c r="L46" s="5" t="inlineStr">
        <is>
          <t>C</t>
        </is>
      </c>
      <c r="M46" s="5" t="inlineStr">
        <is>
          <t>Downloaded as raw wikitext; box-office figures are Wikipedia citations of trade sources.</t>
        </is>
      </c>
    </row>
    <row r="47" ht="49" customHeight="1">
      <c r="A47" s="15" t="inlineStr">
        <is>
          <t>SOURCE-046</t>
        </is>
      </c>
      <c r="B47" s="5" t="inlineStr">
        <is>
          <t>FILM-043</t>
        </is>
      </c>
      <c r="C47" s="5" t="inlineStr">
        <is>
          <t>PAIR-041; PAIR-042</t>
        </is>
      </c>
      <c r="D47" s="5" t="inlineStr">
        <is>
          <t>Devdas (2002 Hindi film)</t>
        </is>
      </c>
      <c r="E47" s="5" t="inlineStr">
        <is>
          <t>Wikipedia</t>
        </is>
      </c>
      <c r="F47" s="5" t="n"/>
      <c r="G47" s="5" t="n"/>
      <c r="H47" s="22" t="inlineStr">
        <is>
          <t>https://en.wikipedia.org/wiki/Devdas_(2002_Hindi_film)</t>
        </is>
      </c>
      <c r="I47" s="16" t="n">
        <v>46278</v>
      </c>
      <c r="J47" s="5" t="inlineStr">
        <is>
          <t>Credits, release date, cast, plot, box office, reception and accolades for Devdas (2002).</t>
        </is>
      </c>
      <c r="K47" s="5" t="inlineStr">
        <is>
          <t>Reference encyclopedia</t>
        </is>
      </c>
      <c r="L47" s="5" t="inlineStr">
        <is>
          <t>C</t>
        </is>
      </c>
      <c r="M47" s="5" t="inlineStr">
        <is>
          <t>Downloaded as raw wikitext; box-office figures are Wikipedia citations of trade sources.</t>
        </is>
      </c>
    </row>
    <row r="48" ht="49" customHeight="1">
      <c r="A48" s="15" t="inlineStr">
        <is>
          <t>SOURCE-047</t>
        </is>
      </c>
      <c r="B48" s="5" t="inlineStr">
        <is>
          <t>FILM-044</t>
        </is>
      </c>
      <c r="C48" s="5" t="n"/>
      <c r="D48" s="5" t="inlineStr">
        <is>
          <t>Shakti: The Power</t>
        </is>
      </c>
      <c r="E48" s="5" t="inlineStr">
        <is>
          <t>Wikipedia</t>
        </is>
      </c>
      <c r="F48" s="5" t="n"/>
      <c r="G48" s="5" t="n"/>
      <c r="H48" s="22" t="inlineStr">
        <is>
          <t>https://en.wikipedia.org/wiki/Shakti:_The_Power</t>
        </is>
      </c>
      <c r="I48" s="16" t="n">
        <v>46278</v>
      </c>
      <c r="J48" s="5" t="inlineStr">
        <is>
          <t>Credits, release date, cast, plot, box office, reception and accolades for Shakti: The Power (2002).</t>
        </is>
      </c>
      <c r="K48" s="5" t="inlineStr">
        <is>
          <t>Reference encyclopedia</t>
        </is>
      </c>
      <c r="L48" s="5" t="inlineStr">
        <is>
          <t>C</t>
        </is>
      </c>
      <c r="M48" s="5" t="inlineStr">
        <is>
          <t>Downloaded as raw wikitext; box-office figures are Wikipedia citations of trade sources.</t>
        </is>
      </c>
    </row>
    <row r="49" ht="49" customHeight="1">
      <c r="A49" s="15" t="inlineStr">
        <is>
          <t>SOURCE-048</t>
        </is>
      </c>
      <c r="B49" s="5" t="inlineStr">
        <is>
          <t>FILM-045</t>
        </is>
      </c>
      <c r="C49" s="5" t="n"/>
      <c r="D49" s="5" t="inlineStr">
        <is>
          <t>Saathiya (film)</t>
        </is>
      </c>
      <c r="E49" s="5" t="inlineStr">
        <is>
          <t>Wikipedia</t>
        </is>
      </c>
      <c r="F49" s="5" t="n"/>
      <c r="G49" s="5" t="n"/>
      <c r="H49" s="22" t="inlineStr">
        <is>
          <t>https://en.wikipedia.org/wiki/Saathiya_(film)</t>
        </is>
      </c>
      <c r="I49" s="16" t="n">
        <v>46278</v>
      </c>
      <c r="J49" s="5" t="inlineStr">
        <is>
          <t>Credits, release date, cast, plot, box office, reception and accolades for Saathiya (2002).</t>
        </is>
      </c>
      <c r="K49" s="5" t="inlineStr">
        <is>
          <t>Reference encyclopedia</t>
        </is>
      </c>
      <c r="L49" s="5" t="inlineStr">
        <is>
          <t>C</t>
        </is>
      </c>
      <c r="M49" s="5" t="inlineStr">
        <is>
          <t>Downloaded as raw wikitext; box-office figures are Wikipedia citations of trade sources.</t>
        </is>
      </c>
    </row>
    <row r="50" ht="49" customHeight="1">
      <c r="A50" s="15" t="inlineStr">
        <is>
          <t>SOURCE-049</t>
        </is>
      </c>
      <c r="B50" s="5" t="inlineStr">
        <is>
          <t>FILM-046</t>
        </is>
      </c>
      <c r="C50" s="5" t="inlineStr">
        <is>
          <t>PAIR-043</t>
        </is>
      </c>
      <c r="D50" s="5" t="inlineStr">
        <is>
          <t>Chalte Chalte (2003 film)</t>
        </is>
      </c>
      <c r="E50" s="5" t="inlineStr">
        <is>
          <t>Wikipedia</t>
        </is>
      </c>
      <c r="F50" s="5" t="n"/>
      <c r="G50" s="5" t="n"/>
      <c r="H50" s="22" t="inlineStr">
        <is>
          <t>https://en.wikipedia.org/wiki/Chalte_Chalte_(2003_film)</t>
        </is>
      </c>
      <c r="I50" s="16" t="n">
        <v>46278</v>
      </c>
      <c r="J50" s="5" t="inlineStr">
        <is>
          <t>Credits, release date, cast, plot, box office, reception and accolades for Chalte Chalte (2003).</t>
        </is>
      </c>
      <c r="K50" s="5" t="inlineStr">
        <is>
          <t>Reference encyclopedia</t>
        </is>
      </c>
      <c r="L50" s="5" t="inlineStr">
        <is>
          <t>C</t>
        </is>
      </c>
      <c r="M50" s="5" t="inlineStr">
        <is>
          <t>Downloaded as raw wikitext; box-office figures are Wikipedia citations of trade sources.</t>
        </is>
      </c>
    </row>
    <row r="51" ht="49" customHeight="1">
      <c r="A51" s="15" t="inlineStr">
        <is>
          <t>SOURCE-050</t>
        </is>
      </c>
      <c r="B51" s="5" t="inlineStr">
        <is>
          <t>FILM-047</t>
        </is>
      </c>
      <c r="C51" s="5" t="inlineStr">
        <is>
          <t>PAIR-044</t>
        </is>
      </c>
      <c r="D51" s="5" t="inlineStr">
        <is>
          <t>Kal Ho Naa Ho</t>
        </is>
      </c>
      <c r="E51" s="5" t="inlineStr">
        <is>
          <t>Wikipedia</t>
        </is>
      </c>
      <c r="F51" s="5" t="n"/>
      <c r="G51" s="5" t="n"/>
      <c r="H51" s="22" t="inlineStr">
        <is>
          <t>https://en.wikipedia.org/wiki/Kal_Ho_Naa_Ho</t>
        </is>
      </c>
      <c r="I51" s="16" t="n">
        <v>46278</v>
      </c>
      <c r="J51" s="5" t="inlineStr">
        <is>
          <t>Credits, release date, cast, plot, box office, reception and accolades for Kal Ho Naa Ho (2003).</t>
        </is>
      </c>
      <c r="K51" s="5" t="inlineStr">
        <is>
          <t>Reference encyclopedia</t>
        </is>
      </c>
      <c r="L51" s="5" t="inlineStr">
        <is>
          <t>C</t>
        </is>
      </c>
      <c r="M51" s="5" t="inlineStr">
        <is>
          <t>Downloaded as raw wikitext; box-office figures are Wikipedia citations of trade sources.</t>
        </is>
      </c>
    </row>
    <row r="52" ht="49" customHeight="1">
      <c r="A52" s="15" t="inlineStr">
        <is>
          <t>SOURCE-051</t>
        </is>
      </c>
      <c r="B52" s="5" t="inlineStr">
        <is>
          <t>FILM-048</t>
        </is>
      </c>
      <c r="C52" s="5" t="n"/>
      <c r="D52" s="5" t="inlineStr">
        <is>
          <t>Yeh Lamhe Judaai Ke</t>
        </is>
      </c>
      <c r="E52" s="5" t="inlineStr">
        <is>
          <t>Wikipedia</t>
        </is>
      </c>
      <c r="F52" s="5" t="n"/>
      <c r="G52" s="5" t="n"/>
      <c r="H52" s="22" t="inlineStr">
        <is>
          <t>https://en.wikipedia.org/wiki/Yeh_Lamhe_Judaai_Ke</t>
        </is>
      </c>
      <c r="I52" s="16" t="n">
        <v>46278</v>
      </c>
      <c r="J52" s="5" t="inlineStr">
        <is>
          <t>Credits, release date, cast, plot, box office, reception and accolades for Yeh Lamhe Judaai Ke (2004).</t>
        </is>
      </c>
      <c r="K52" s="5" t="inlineStr">
        <is>
          <t>Reference encyclopedia</t>
        </is>
      </c>
      <c r="L52" s="5" t="inlineStr">
        <is>
          <t>C</t>
        </is>
      </c>
      <c r="M52" s="5" t="inlineStr">
        <is>
          <t>Downloaded as raw wikitext; box-office figures are Wikipedia citations of trade sources.</t>
        </is>
      </c>
    </row>
    <row r="53" ht="49" customHeight="1">
      <c r="A53" s="15" t="inlineStr">
        <is>
          <t>SOURCE-052</t>
        </is>
      </c>
      <c r="B53" s="5" t="inlineStr">
        <is>
          <t>FILM-049</t>
        </is>
      </c>
      <c r="C53" s="5" t="inlineStr">
        <is>
          <t>PAIR-045</t>
        </is>
      </c>
      <c r="D53" s="5" t="inlineStr">
        <is>
          <t>Main Hoon Na</t>
        </is>
      </c>
      <c r="E53" s="5" t="inlineStr">
        <is>
          <t>Wikipedia</t>
        </is>
      </c>
      <c r="F53" s="5" t="n"/>
      <c r="G53" s="5" t="n"/>
      <c r="H53" s="22" t="inlineStr">
        <is>
          <t>https://en.wikipedia.org/wiki/Main_Hoon_Na</t>
        </is>
      </c>
      <c r="I53" s="16" t="n">
        <v>46278</v>
      </c>
      <c r="J53" s="5" t="inlineStr">
        <is>
          <t>Credits, release date, cast, plot, box office, reception and accolades for Main Hoon Na (2004).</t>
        </is>
      </c>
      <c r="K53" s="5" t="inlineStr">
        <is>
          <t>Reference encyclopedia</t>
        </is>
      </c>
      <c r="L53" s="5" t="inlineStr">
        <is>
          <t>C</t>
        </is>
      </c>
      <c r="M53" s="5" t="inlineStr">
        <is>
          <t>Downloaded as raw wikitext; box-office figures are Wikipedia citations of trade sources.</t>
        </is>
      </c>
    </row>
    <row r="54" ht="49" customHeight="1">
      <c r="A54" s="15" t="inlineStr">
        <is>
          <t>SOURCE-053</t>
        </is>
      </c>
      <c r="B54" s="5" t="inlineStr">
        <is>
          <t>FILM-050</t>
        </is>
      </c>
      <c r="C54" s="5" t="inlineStr">
        <is>
          <t>PAIR-046</t>
        </is>
      </c>
      <c r="D54" s="5" t="inlineStr">
        <is>
          <t>Veer-Zaara</t>
        </is>
      </c>
      <c r="E54" s="5" t="inlineStr">
        <is>
          <t>Wikipedia</t>
        </is>
      </c>
      <c r="F54" s="5" t="n"/>
      <c r="G54" s="5" t="n"/>
      <c r="H54" s="22" t="inlineStr">
        <is>
          <t>https://en.wikipedia.org/wiki/Veer-Zaara</t>
        </is>
      </c>
      <c r="I54" s="16" t="n">
        <v>46278</v>
      </c>
      <c r="J54" s="5" t="inlineStr">
        <is>
          <t>Credits, release date, cast, plot, box office, reception and accolades for Veer-Zaara (2004).</t>
        </is>
      </c>
      <c r="K54" s="5" t="inlineStr">
        <is>
          <t>Reference encyclopedia</t>
        </is>
      </c>
      <c r="L54" s="5" t="inlineStr">
        <is>
          <t>C</t>
        </is>
      </c>
      <c r="M54" s="5" t="inlineStr">
        <is>
          <t>Downloaded as raw wikitext; box-office figures are Wikipedia citations of trade sources.</t>
        </is>
      </c>
    </row>
    <row r="55" ht="49" customHeight="1">
      <c r="A55" s="15" t="inlineStr">
        <is>
          <t>SOURCE-054</t>
        </is>
      </c>
      <c r="B55" s="5" t="inlineStr">
        <is>
          <t>FILM-051</t>
        </is>
      </c>
      <c r="C55" s="5" t="inlineStr">
        <is>
          <t>PAIR-047</t>
        </is>
      </c>
      <c r="D55" s="5" t="inlineStr">
        <is>
          <t>Swades</t>
        </is>
      </c>
      <c r="E55" s="5" t="inlineStr">
        <is>
          <t>Wikipedia</t>
        </is>
      </c>
      <c r="F55" s="5" t="n"/>
      <c r="G55" s="5" t="n"/>
      <c r="H55" s="22" t="inlineStr">
        <is>
          <t>https://en.wikipedia.org/wiki/Swades</t>
        </is>
      </c>
      <c r="I55" s="16" t="n">
        <v>46278</v>
      </c>
      <c r="J55" s="5" t="inlineStr">
        <is>
          <t>Credits, release date, cast, plot, box office, reception and accolades for Swades (2004).</t>
        </is>
      </c>
      <c r="K55" s="5" t="inlineStr">
        <is>
          <t>Reference encyclopedia</t>
        </is>
      </c>
      <c r="L55" s="5" t="inlineStr">
        <is>
          <t>C</t>
        </is>
      </c>
      <c r="M55" s="5" t="inlineStr">
        <is>
          <t>Downloaded as raw wikitext; box-office figures are Wikipedia citations of trade sources.</t>
        </is>
      </c>
    </row>
    <row r="56" ht="49" customHeight="1">
      <c r="A56" s="15" t="inlineStr">
        <is>
          <t>SOURCE-055</t>
        </is>
      </c>
      <c r="B56" s="5" t="inlineStr">
        <is>
          <t>FILM-052</t>
        </is>
      </c>
      <c r="C56" s="5" t="n"/>
      <c r="D56" s="5" t="inlineStr">
        <is>
          <t>Kuchh Meetha Ho Jaye</t>
        </is>
      </c>
      <c r="E56" s="5" t="inlineStr">
        <is>
          <t>Wikipedia</t>
        </is>
      </c>
      <c r="F56" s="5" t="n"/>
      <c r="G56" s="5" t="n"/>
      <c r="H56" s="22" t="inlineStr">
        <is>
          <t>https://en.wikipedia.org/wiki/Kuchh_Meetha_Ho_Jaye</t>
        </is>
      </c>
      <c r="I56" s="16" t="n">
        <v>46278</v>
      </c>
      <c r="J56" s="5" t="inlineStr">
        <is>
          <t>Credits, release date, cast, plot, box office, reception and accolades for Kuchh Meetha Ho Jaye (2005).</t>
        </is>
      </c>
      <c r="K56" s="5" t="inlineStr">
        <is>
          <t>Reference encyclopedia</t>
        </is>
      </c>
      <c r="L56" s="5" t="inlineStr">
        <is>
          <t>C</t>
        </is>
      </c>
      <c r="M56" s="5" t="inlineStr">
        <is>
          <t>Downloaded as raw wikitext; box-office figures are Wikipedia citations of trade sources.</t>
        </is>
      </c>
    </row>
    <row r="57" ht="49" customHeight="1">
      <c r="A57" s="15" t="inlineStr">
        <is>
          <t>SOURCE-056</t>
        </is>
      </c>
      <c r="B57" s="5" t="inlineStr">
        <is>
          <t>FILM-053</t>
        </is>
      </c>
      <c r="C57" s="5" t="n"/>
      <c r="D57" s="5" t="inlineStr">
        <is>
          <t>Kaal (2005 film)</t>
        </is>
      </c>
      <c r="E57" s="5" t="inlineStr">
        <is>
          <t>Wikipedia</t>
        </is>
      </c>
      <c r="F57" s="5" t="n"/>
      <c r="G57" s="5" t="n"/>
      <c r="H57" s="22" t="inlineStr">
        <is>
          <t>https://en.wikipedia.org/wiki/Kaal_(2005_film)</t>
        </is>
      </c>
      <c r="I57" s="16" t="n">
        <v>46278</v>
      </c>
      <c r="J57" s="5" t="inlineStr">
        <is>
          <t>Credits, release date, cast, plot, box office, reception and accolades for Kaal (2005).</t>
        </is>
      </c>
      <c r="K57" s="5" t="inlineStr">
        <is>
          <t>Reference encyclopedia</t>
        </is>
      </c>
      <c r="L57" s="5" t="inlineStr">
        <is>
          <t>C</t>
        </is>
      </c>
      <c r="M57" s="5" t="inlineStr">
        <is>
          <t>Downloaded as raw wikitext; box-office figures are Wikipedia citations of trade sources.</t>
        </is>
      </c>
    </row>
    <row r="58" ht="49" customHeight="1">
      <c r="A58" s="15" t="inlineStr">
        <is>
          <t>SOURCE-057</t>
        </is>
      </c>
      <c r="B58" s="5" t="inlineStr">
        <is>
          <t>FILM-054</t>
        </is>
      </c>
      <c r="C58" s="5" t="n"/>
      <c r="D58" s="5" t="inlineStr">
        <is>
          <t>Silsiilay</t>
        </is>
      </c>
      <c r="E58" s="5" t="inlineStr">
        <is>
          <t>Wikipedia</t>
        </is>
      </c>
      <c r="F58" s="5" t="n"/>
      <c r="G58" s="5" t="n"/>
      <c r="H58" s="22" t="inlineStr">
        <is>
          <t>https://en.wikipedia.org/wiki/Silsiilay</t>
        </is>
      </c>
      <c r="I58" s="16" t="n">
        <v>46278</v>
      </c>
      <c r="J58" s="5" t="inlineStr">
        <is>
          <t>Credits, release date, cast, plot, box office, reception and accolades for Silsiilay (2005).</t>
        </is>
      </c>
      <c r="K58" s="5" t="inlineStr">
        <is>
          <t>Reference encyclopedia</t>
        </is>
      </c>
      <c r="L58" s="5" t="inlineStr">
        <is>
          <t>C</t>
        </is>
      </c>
      <c r="M58" s="5" t="inlineStr">
        <is>
          <t>Downloaded as raw wikitext; box-office figures are Wikipedia citations of trade sources.</t>
        </is>
      </c>
    </row>
    <row r="59" ht="49" customHeight="1">
      <c r="A59" s="15" t="inlineStr">
        <is>
          <t>SOURCE-058</t>
        </is>
      </c>
      <c r="B59" s="5" t="inlineStr">
        <is>
          <t>FILM-055</t>
        </is>
      </c>
      <c r="C59" s="5" t="inlineStr">
        <is>
          <t>PAIR-048; PAIR-049</t>
        </is>
      </c>
      <c r="D59" s="5" t="inlineStr">
        <is>
          <t>Paheli (2005 film)</t>
        </is>
      </c>
      <c r="E59" s="5" t="inlineStr">
        <is>
          <t>Wikipedia</t>
        </is>
      </c>
      <c r="F59" s="5" t="n"/>
      <c r="G59" s="5" t="n"/>
      <c r="H59" s="22" t="inlineStr">
        <is>
          <t>https://en.wikipedia.org/wiki/Paheli_(2005_film)</t>
        </is>
      </c>
      <c r="I59" s="16" t="n">
        <v>46278</v>
      </c>
      <c r="J59" s="5" t="inlineStr">
        <is>
          <t>Credits, release date, cast, plot, box office, reception and accolades for Paheli (2005).</t>
        </is>
      </c>
      <c r="K59" s="5" t="inlineStr">
        <is>
          <t>Reference encyclopedia</t>
        </is>
      </c>
      <c r="L59" s="5" t="inlineStr">
        <is>
          <t>C</t>
        </is>
      </c>
      <c r="M59" s="5" t="inlineStr">
        <is>
          <t>Downloaded as raw wikitext; box-office figures are Wikipedia citations of trade sources.</t>
        </is>
      </c>
    </row>
    <row r="60" ht="49" customHeight="1">
      <c r="A60" s="15" t="inlineStr">
        <is>
          <t>SOURCE-059</t>
        </is>
      </c>
      <c r="B60" s="5" t="inlineStr">
        <is>
          <t>FILM-056</t>
        </is>
      </c>
      <c r="C60" s="5" t="n"/>
      <c r="D60" s="5" t="inlineStr">
        <is>
          <t>Alag</t>
        </is>
      </c>
      <c r="E60" s="5" t="inlineStr">
        <is>
          <t>Wikipedia</t>
        </is>
      </c>
      <c r="F60" s="5" t="n"/>
      <c r="G60" s="5" t="n"/>
      <c r="H60" s="22" t="inlineStr">
        <is>
          <t>https://en.wikipedia.org/wiki/Alag</t>
        </is>
      </c>
      <c r="I60" s="16" t="n">
        <v>46278</v>
      </c>
      <c r="J60" s="5" t="inlineStr">
        <is>
          <t>Credits, release date, cast, plot, box office, reception and accolades for Alag (2006).</t>
        </is>
      </c>
      <c r="K60" s="5" t="inlineStr">
        <is>
          <t>Reference encyclopedia</t>
        </is>
      </c>
      <c r="L60" s="5" t="inlineStr">
        <is>
          <t>C</t>
        </is>
      </c>
      <c r="M60" s="5" t="inlineStr">
        <is>
          <t>Downloaded as raw wikitext; box-office figures are Wikipedia citations of trade sources.</t>
        </is>
      </c>
    </row>
    <row r="61" ht="49" customHeight="1">
      <c r="A61" s="15" t="inlineStr">
        <is>
          <t>SOURCE-060</t>
        </is>
      </c>
      <c r="B61" s="5" t="inlineStr">
        <is>
          <t>FILM-057</t>
        </is>
      </c>
      <c r="C61" s="5" t="inlineStr">
        <is>
          <t>PAIR-050; PAIR-051</t>
        </is>
      </c>
      <c r="D61" s="5" t="inlineStr">
        <is>
          <t>Kabhi Alvida Naa Kehna</t>
        </is>
      </c>
      <c r="E61" s="5" t="inlineStr">
        <is>
          <t>Wikipedia</t>
        </is>
      </c>
      <c r="F61" s="5" t="n"/>
      <c r="G61" s="5" t="n"/>
      <c r="H61" s="22" t="inlineStr">
        <is>
          <t>https://en.wikipedia.org/wiki/Kabhi_Alvida_Naa_Kehna</t>
        </is>
      </c>
      <c r="I61" s="16" t="n">
        <v>46278</v>
      </c>
      <c r="J61" s="5" t="inlineStr">
        <is>
          <t>Credits, release date, cast, plot, box office, reception and accolades for Kabhi Alvida Naa Kehna (2006).</t>
        </is>
      </c>
      <c r="K61" s="5" t="inlineStr">
        <is>
          <t>Reference encyclopedia</t>
        </is>
      </c>
      <c r="L61" s="5" t="inlineStr">
        <is>
          <t>C</t>
        </is>
      </c>
      <c r="M61" s="5" t="inlineStr">
        <is>
          <t>Downloaded as raw wikitext; box-office figures are Wikipedia citations of trade sources.</t>
        </is>
      </c>
    </row>
    <row r="62" ht="49" customHeight="1">
      <c r="A62" s="15" t="inlineStr">
        <is>
          <t>SOURCE-061</t>
        </is>
      </c>
      <c r="B62" s="5" t="inlineStr">
        <is>
          <t>FILM-058</t>
        </is>
      </c>
      <c r="C62" s="5" t="inlineStr">
        <is>
          <t>PAIR-052</t>
        </is>
      </c>
      <c r="D62" s="5" t="inlineStr">
        <is>
          <t>Don (2006 Hindi film)</t>
        </is>
      </c>
      <c r="E62" s="5" t="inlineStr">
        <is>
          <t>Wikipedia</t>
        </is>
      </c>
      <c r="F62" s="5" t="n"/>
      <c r="G62" s="5" t="n"/>
      <c r="H62" s="22" t="inlineStr">
        <is>
          <t>https://en.wikipedia.org/wiki/Don_(2006_Hindi_film)</t>
        </is>
      </c>
      <c r="I62" s="16" t="n">
        <v>46278</v>
      </c>
      <c r="J62" s="5" t="inlineStr">
        <is>
          <t>Credits, release date, cast, plot, box office, reception and accolades for Don: The Chase Begins Again (2006).</t>
        </is>
      </c>
      <c r="K62" s="5" t="inlineStr">
        <is>
          <t>Reference encyclopedia</t>
        </is>
      </c>
      <c r="L62" s="5" t="inlineStr">
        <is>
          <t>C</t>
        </is>
      </c>
      <c r="M62" s="5" t="inlineStr">
        <is>
          <t>Downloaded as raw wikitext; box-office figures are Wikipedia citations of trade sources.</t>
        </is>
      </c>
    </row>
    <row r="63" ht="49" customHeight="1">
      <c r="A63" s="15" t="inlineStr">
        <is>
          <t>SOURCE-062</t>
        </is>
      </c>
      <c r="B63" s="5" t="inlineStr">
        <is>
          <t>FILM-059</t>
        </is>
      </c>
      <c r="C63" s="5" t="n"/>
      <c r="D63" s="5" t="inlineStr">
        <is>
          <t>I See You (2006 film)</t>
        </is>
      </c>
      <c r="E63" s="5" t="inlineStr">
        <is>
          <t>Wikipedia</t>
        </is>
      </c>
      <c r="F63" s="5" t="n"/>
      <c r="G63" s="5" t="n"/>
      <c r="H63" s="22" t="inlineStr">
        <is>
          <t>https://en.wikipedia.org/wiki/I_See_You_(2006_film)</t>
        </is>
      </c>
      <c r="I63" s="16" t="n">
        <v>46278</v>
      </c>
      <c r="J63" s="5" t="inlineStr">
        <is>
          <t>Credits, release date, cast, plot, box office, reception and accolades for I See You (2006).</t>
        </is>
      </c>
      <c r="K63" s="5" t="inlineStr">
        <is>
          <t>Reference encyclopedia</t>
        </is>
      </c>
      <c r="L63" s="5" t="inlineStr">
        <is>
          <t>C</t>
        </is>
      </c>
      <c r="M63" s="5" t="inlineStr">
        <is>
          <t>Downloaded as raw wikitext; box-office figures are Wikipedia citations of trade sources.</t>
        </is>
      </c>
    </row>
    <row r="64" ht="49" customHeight="1">
      <c r="A64" s="15" t="inlineStr">
        <is>
          <t>SOURCE-063</t>
        </is>
      </c>
      <c r="B64" s="5" t="inlineStr">
        <is>
          <t>FILM-060</t>
        </is>
      </c>
      <c r="C64" s="5" t="n"/>
      <c r="D64" s="5" t="inlineStr">
        <is>
          <t>Chak De! India</t>
        </is>
      </c>
      <c r="E64" s="5" t="inlineStr">
        <is>
          <t>Wikipedia</t>
        </is>
      </c>
      <c r="F64" s="5" t="n"/>
      <c r="G64" s="5" t="n"/>
      <c r="H64" s="22" t="inlineStr">
        <is>
          <t>https://en.wikipedia.org/wiki/Chak_De!_India</t>
        </is>
      </c>
      <c r="I64" s="16" t="n">
        <v>46278</v>
      </c>
      <c r="J64" s="5" t="inlineStr">
        <is>
          <t>Credits, release date, cast, plot, box office, reception and accolades for Chak De! India (2007).</t>
        </is>
      </c>
      <c r="K64" s="5" t="inlineStr">
        <is>
          <t>Reference encyclopedia</t>
        </is>
      </c>
      <c r="L64" s="5" t="inlineStr">
        <is>
          <t>C</t>
        </is>
      </c>
      <c r="M64" s="5" t="inlineStr">
        <is>
          <t>Downloaded as raw wikitext; box-office figures are Wikipedia citations of trade sources.</t>
        </is>
      </c>
    </row>
    <row r="65" ht="49" customHeight="1">
      <c r="A65" s="15" t="inlineStr">
        <is>
          <t>SOURCE-064</t>
        </is>
      </c>
      <c r="B65" s="5" t="inlineStr">
        <is>
          <t>FILM-061</t>
        </is>
      </c>
      <c r="C65" s="5" t="n"/>
      <c r="D65" s="5" t="inlineStr">
        <is>
          <t>Heyy Babyy</t>
        </is>
      </c>
      <c r="E65" s="5" t="inlineStr">
        <is>
          <t>Wikipedia</t>
        </is>
      </c>
      <c r="F65" s="5" t="n"/>
      <c r="G65" s="5" t="n"/>
      <c r="H65" s="22" t="inlineStr">
        <is>
          <t>https://en.wikipedia.org/wiki/Heyy_Babyy</t>
        </is>
      </c>
      <c r="I65" s="16" t="n">
        <v>46278</v>
      </c>
      <c r="J65" s="5" t="inlineStr">
        <is>
          <t>Credits, release date, cast, plot, box office, reception and accolades for Heyy Babyy (2007).</t>
        </is>
      </c>
      <c r="K65" s="5" t="inlineStr">
        <is>
          <t>Reference encyclopedia</t>
        </is>
      </c>
      <c r="L65" s="5" t="inlineStr">
        <is>
          <t>C</t>
        </is>
      </c>
      <c r="M65" s="5" t="inlineStr">
        <is>
          <t>Downloaded as raw wikitext; box-office figures are Wikipedia citations of trade sources.</t>
        </is>
      </c>
    </row>
    <row r="66" ht="49" customHeight="1">
      <c r="A66" s="15" t="inlineStr">
        <is>
          <t>SOURCE-065</t>
        </is>
      </c>
      <c r="B66" s="5" t="inlineStr">
        <is>
          <t>FILM-062</t>
        </is>
      </c>
      <c r="C66" s="5" t="inlineStr">
        <is>
          <t>PAIR-053</t>
        </is>
      </c>
      <c r="D66" s="5" t="inlineStr">
        <is>
          <t>Om Shanti Om</t>
        </is>
      </c>
      <c r="E66" s="5" t="inlineStr">
        <is>
          <t>Wikipedia</t>
        </is>
      </c>
      <c r="F66" s="5" t="n"/>
      <c r="G66" s="5" t="n"/>
      <c r="H66" s="22" t="inlineStr">
        <is>
          <t>https://en.wikipedia.org/wiki/Om_Shanti_Om</t>
        </is>
      </c>
      <c r="I66" s="16" t="n">
        <v>46278</v>
      </c>
      <c r="J66" s="5" t="inlineStr">
        <is>
          <t>Credits, release date, cast, plot, box office, reception and accolades for Om Shanti Om (2007).</t>
        </is>
      </c>
      <c r="K66" s="5" t="inlineStr">
        <is>
          <t>Reference encyclopedia</t>
        </is>
      </c>
      <c r="L66" s="5" t="inlineStr">
        <is>
          <t>C</t>
        </is>
      </c>
      <c r="M66" s="5" t="inlineStr">
        <is>
          <t>Downloaded as raw wikitext; box-office figures are Wikipedia citations of trade sources.</t>
        </is>
      </c>
    </row>
    <row r="67" ht="49" customHeight="1">
      <c r="A67" s="15" t="inlineStr">
        <is>
          <t>SOURCE-066</t>
        </is>
      </c>
      <c r="B67" s="5" t="inlineStr">
        <is>
          <t>FILM-063</t>
        </is>
      </c>
      <c r="C67" s="5" t="n"/>
      <c r="D67" s="5" t="inlineStr">
        <is>
          <t>Shaurya</t>
        </is>
      </c>
      <c r="E67" s="5" t="inlineStr">
        <is>
          <t>Wikipedia</t>
        </is>
      </c>
      <c r="F67" s="5" t="n"/>
      <c r="G67" s="5" t="n"/>
      <c r="H67" s="22" t="inlineStr">
        <is>
          <t>https://en.wikipedia.org/wiki/Shaurya</t>
        </is>
      </c>
      <c r="I67" s="16" t="n">
        <v>46278</v>
      </c>
      <c r="J67" s="5" t="inlineStr">
        <is>
          <t>Credits, release date, cast, plot, box office, reception and accolades for Shaurya (2008).</t>
        </is>
      </c>
      <c r="K67" s="5" t="inlineStr">
        <is>
          <t>Reference encyclopedia</t>
        </is>
      </c>
      <c r="L67" s="5" t="inlineStr">
        <is>
          <t>C</t>
        </is>
      </c>
      <c r="M67" s="5" t="inlineStr">
        <is>
          <t>Downloaded as raw wikitext; box-office figures are Wikipedia citations of trade sources.</t>
        </is>
      </c>
    </row>
    <row r="68" ht="49" customHeight="1">
      <c r="A68" s="15" t="inlineStr">
        <is>
          <t>SOURCE-067</t>
        </is>
      </c>
      <c r="B68" s="5" t="inlineStr">
        <is>
          <t>FILM-064</t>
        </is>
      </c>
      <c r="C68" s="5" t="n"/>
      <c r="D68" s="5" t="inlineStr">
        <is>
          <t>Krazzy 4</t>
        </is>
      </c>
      <c r="E68" s="5" t="inlineStr">
        <is>
          <t>Wikipedia</t>
        </is>
      </c>
      <c r="F68" s="5" t="n"/>
      <c r="G68" s="5" t="n"/>
      <c r="H68" s="22" t="inlineStr">
        <is>
          <t>https://en.wikipedia.org/wiki/Krazzy_4</t>
        </is>
      </c>
      <c r="I68" s="16" t="n">
        <v>46278</v>
      </c>
      <c r="J68" s="5" t="inlineStr">
        <is>
          <t>Credits, release date, cast, plot, box office, reception and accolades for Krazzy 4 (2008).</t>
        </is>
      </c>
      <c r="K68" s="5" t="inlineStr">
        <is>
          <t>Reference encyclopedia</t>
        </is>
      </c>
      <c r="L68" s="5" t="inlineStr">
        <is>
          <t>C</t>
        </is>
      </c>
      <c r="M68" s="5" t="inlineStr">
        <is>
          <t>Downloaded as raw wikitext; box-office figures are Wikipedia citations of trade sources.</t>
        </is>
      </c>
    </row>
    <row r="69" ht="49" customHeight="1">
      <c r="A69" s="15" t="inlineStr">
        <is>
          <t>SOURCE-068</t>
        </is>
      </c>
      <c r="B69" s="5" t="inlineStr">
        <is>
          <t>FILM-065</t>
        </is>
      </c>
      <c r="C69" s="5" t="n"/>
      <c r="D69" s="5" t="inlineStr">
        <is>
          <t>Bhoothnath</t>
        </is>
      </c>
      <c r="E69" s="5" t="inlineStr">
        <is>
          <t>Wikipedia</t>
        </is>
      </c>
      <c r="F69" s="5" t="n"/>
      <c r="G69" s="5" t="n"/>
      <c r="H69" s="22" t="inlineStr">
        <is>
          <t>https://en.wikipedia.org/wiki/Bhoothnath</t>
        </is>
      </c>
      <c r="I69" s="16" t="n">
        <v>46278</v>
      </c>
      <c r="J69" s="5" t="inlineStr">
        <is>
          <t>Credits, release date, cast, plot, box office, reception and accolades for Bhoothnath (2008).</t>
        </is>
      </c>
      <c r="K69" s="5" t="inlineStr">
        <is>
          <t>Reference encyclopedia</t>
        </is>
      </c>
      <c r="L69" s="5" t="inlineStr">
        <is>
          <t>C</t>
        </is>
      </c>
      <c r="M69" s="5" t="inlineStr">
        <is>
          <t>Downloaded as raw wikitext; box-office figures are Wikipedia citations of trade sources.</t>
        </is>
      </c>
    </row>
    <row r="70" ht="49" customHeight="1">
      <c r="A70" s="15" t="inlineStr">
        <is>
          <t>SOURCE-069</t>
        </is>
      </c>
      <c r="B70" s="5" t="inlineStr">
        <is>
          <t>FILM-066</t>
        </is>
      </c>
      <c r="C70" s="5" t="n"/>
      <c r="D70" s="5" t="inlineStr">
        <is>
          <t>Kismat Konnection</t>
        </is>
      </c>
      <c r="E70" s="5" t="inlineStr">
        <is>
          <t>Wikipedia</t>
        </is>
      </c>
      <c r="F70" s="5" t="n"/>
      <c r="G70" s="5" t="n"/>
      <c r="H70" s="22" t="inlineStr">
        <is>
          <t>https://en.wikipedia.org/wiki/Kismat_Konnection</t>
        </is>
      </c>
      <c r="I70" s="16" t="n">
        <v>46278</v>
      </c>
      <c r="J70" s="5" t="inlineStr">
        <is>
          <t>Credits, release date, cast, plot, box office, reception and accolades for Kismat Konnection (2008).</t>
        </is>
      </c>
      <c r="K70" s="5" t="inlineStr">
        <is>
          <t>Reference encyclopedia</t>
        </is>
      </c>
      <c r="L70" s="5" t="inlineStr">
        <is>
          <t>C</t>
        </is>
      </c>
      <c r="M70" s="5" t="inlineStr">
        <is>
          <t>Downloaded as raw wikitext; box-office figures are Wikipedia citations of trade sources.</t>
        </is>
      </c>
    </row>
    <row r="71" ht="49" customHeight="1">
      <c r="A71" s="15" t="inlineStr">
        <is>
          <t>SOURCE-070</t>
        </is>
      </c>
      <c r="B71" s="5" t="inlineStr">
        <is>
          <t>FILM-067</t>
        </is>
      </c>
      <c r="C71" s="5" t="inlineStr">
        <is>
          <t>PAIR-054</t>
        </is>
      </c>
      <c r="D71" s="5" t="inlineStr">
        <is>
          <t>Rab Ne Bana Di Jodi</t>
        </is>
      </c>
      <c r="E71" s="5" t="inlineStr">
        <is>
          <t>Wikipedia</t>
        </is>
      </c>
      <c r="F71" s="5" t="n"/>
      <c r="G71" s="5" t="n"/>
      <c r="H71" s="22" t="inlineStr">
        <is>
          <t>https://en.wikipedia.org/wiki/Rab_Ne_Bana_Di_Jodi</t>
        </is>
      </c>
      <c r="I71" s="16" t="n">
        <v>46278</v>
      </c>
      <c r="J71" s="5" t="inlineStr">
        <is>
          <t>Credits, release date, cast, plot, box office, reception and accolades for Rab Ne Bana Di Jodi (2008).</t>
        </is>
      </c>
      <c r="K71" s="5" t="inlineStr">
        <is>
          <t>Reference encyclopedia</t>
        </is>
      </c>
      <c r="L71" s="5" t="inlineStr">
        <is>
          <t>C</t>
        </is>
      </c>
      <c r="M71" s="5" t="inlineStr">
        <is>
          <t>Downloaded as raw wikitext; box-office figures are Wikipedia citations of trade sources.</t>
        </is>
      </c>
    </row>
    <row r="72" ht="49" customHeight="1">
      <c r="A72" s="15" t="inlineStr">
        <is>
          <t>SOURCE-071</t>
        </is>
      </c>
      <c r="B72" s="5" t="inlineStr">
        <is>
          <t>FILM-068</t>
        </is>
      </c>
      <c r="C72" s="5" t="n"/>
      <c r="D72" s="5" t="inlineStr">
        <is>
          <t>Luck by Chance</t>
        </is>
      </c>
      <c r="E72" s="5" t="inlineStr">
        <is>
          <t>Wikipedia</t>
        </is>
      </c>
      <c r="F72" s="5" t="n"/>
      <c r="G72" s="5" t="n"/>
      <c r="H72" s="22" t="inlineStr">
        <is>
          <t>https://en.wikipedia.org/wiki/Luck_by_Chance</t>
        </is>
      </c>
      <c r="I72" s="16" t="n">
        <v>46278</v>
      </c>
      <c r="J72" s="5" t="inlineStr">
        <is>
          <t>Credits, release date, cast, plot, box office, reception and accolades for Luck by Chance (2009).</t>
        </is>
      </c>
      <c r="K72" s="5" t="inlineStr">
        <is>
          <t>Reference encyclopedia</t>
        </is>
      </c>
      <c r="L72" s="5" t="inlineStr">
        <is>
          <t>C</t>
        </is>
      </c>
      <c r="M72" s="5" t="inlineStr">
        <is>
          <t>Downloaded as raw wikitext; box-office figures are Wikipedia citations of trade sources.</t>
        </is>
      </c>
    </row>
    <row r="73" ht="49" customHeight="1">
      <c r="A73" s="15" t="inlineStr">
        <is>
          <t>SOURCE-072</t>
        </is>
      </c>
      <c r="B73" s="5" t="inlineStr">
        <is>
          <t>FILM-069</t>
        </is>
      </c>
      <c r="C73" s="5" t="n"/>
      <c r="D73" s="5" t="inlineStr">
        <is>
          <t>Billu Barber</t>
        </is>
      </c>
      <c r="E73" s="5" t="inlineStr">
        <is>
          <t>Wikipedia</t>
        </is>
      </c>
      <c r="F73" s="5" t="n"/>
      <c r="G73" s="5" t="n"/>
      <c r="H73" s="22" t="inlineStr">
        <is>
          <t>https://en.wikipedia.org/wiki/Billu_Barber</t>
        </is>
      </c>
      <c r="I73" s="16" t="n">
        <v>46278</v>
      </c>
      <c r="J73" s="5" t="inlineStr">
        <is>
          <t>Credits, release date, cast, plot, box office, reception and accolades for Billu (2009).</t>
        </is>
      </c>
      <c r="K73" s="5" t="inlineStr">
        <is>
          <t>Reference encyclopedia</t>
        </is>
      </c>
      <c r="L73" s="5" t="inlineStr">
        <is>
          <t>C</t>
        </is>
      </c>
      <c r="M73" s="5" t="inlineStr">
        <is>
          <t>Downloaded as raw wikitext; box-office figures are Wikipedia citations of trade sources.</t>
        </is>
      </c>
    </row>
    <row r="74" ht="49" customHeight="1">
      <c r="A74" s="15" t="inlineStr">
        <is>
          <t>SOURCE-073</t>
        </is>
      </c>
      <c r="B74" s="5" t="inlineStr">
        <is>
          <t>FILM-070</t>
        </is>
      </c>
      <c r="C74" s="5" t="n"/>
      <c r="D74" s="5" t="inlineStr">
        <is>
          <t>Dulha Mil Gaya</t>
        </is>
      </c>
      <c r="E74" s="5" t="inlineStr">
        <is>
          <t>Wikipedia</t>
        </is>
      </c>
      <c r="F74" s="5" t="n"/>
      <c r="G74" s="5" t="n"/>
      <c r="H74" s="22" t="inlineStr">
        <is>
          <t>https://en.wikipedia.org/wiki/Dulha_Mil_Gaya</t>
        </is>
      </c>
      <c r="I74" s="16" t="n">
        <v>46278</v>
      </c>
      <c r="J74" s="5" t="inlineStr">
        <is>
          <t>Credits, release date, cast, plot, box office, reception and accolades for Dulha Mil Gaya (2010).</t>
        </is>
      </c>
      <c r="K74" s="5" t="inlineStr">
        <is>
          <t>Reference encyclopedia</t>
        </is>
      </c>
      <c r="L74" s="5" t="inlineStr">
        <is>
          <t>C</t>
        </is>
      </c>
      <c r="M74" s="5" t="inlineStr">
        <is>
          <t>Downloaded as raw wikitext; box-office figures are Wikipedia citations of trade sources.</t>
        </is>
      </c>
    </row>
    <row r="75" ht="49" customHeight="1">
      <c r="A75" s="15" t="inlineStr">
        <is>
          <t>SOURCE-074</t>
        </is>
      </c>
      <c r="B75" s="5" t="inlineStr">
        <is>
          <t>FILM-071</t>
        </is>
      </c>
      <c r="C75" s="5" t="inlineStr">
        <is>
          <t>PAIR-055</t>
        </is>
      </c>
      <c r="D75" s="5" t="inlineStr">
        <is>
          <t>My Name Is Khan</t>
        </is>
      </c>
      <c r="E75" s="5" t="inlineStr">
        <is>
          <t>Wikipedia</t>
        </is>
      </c>
      <c r="F75" s="5" t="n"/>
      <c r="G75" s="5" t="n"/>
      <c r="H75" s="22" t="inlineStr">
        <is>
          <t>https://en.wikipedia.org/wiki/My_Name_Is_Khan</t>
        </is>
      </c>
      <c r="I75" s="16" t="n">
        <v>46278</v>
      </c>
      <c r="J75" s="5" t="inlineStr">
        <is>
          <t>Credits, release date, cast, plot, box office, reception and accolades for My Name Is Khan (2010).</t>
        </is>
      </c>
      <c r="K75" s="5" t="inlineStr">
        <is>
          <t>Reference encyclopedia</t>
        </is>
      </c>
      <c r="L75" s="5" t="inlineStr">
        <is>
          <t>C</t>
        </is>
      </c>
      <c r="M75" s="5" t="inlineStr">
        <is>
          <t>Downloaded as raw wikitext; box-office figures are Wikipedia citations of trade sources.</t>
        </is>
      </c>
    </row>
    <row r="76" ht="49" customHeight="1">
      <c r="A76" s="15" t="inlineStr">
        <is>
          <t>SOURCE-075</t>
        </is>
      </c>
      <c r="B76" s="5" t="inlineStr">
        <is>
          <t>FILM-072</t>
        </is>
      </c>
      <c r="C76" s="5" t="n"/>
      <c r="D76" s="5" t="inlineStr">
        <is>
          <t>Shahrukh Bola "Khoobsurat Hai Tu"</t>
        </is>
      </c>
      <c r="E76" s="5" t="inlineStr">
        <is>
          <t>Wikipedia</t>
        </is>
      </c>
      <c r="F76" s="5" t="n"/>
      <c r="G76" s="5" t="n"/>
      <c r="H76" s="22" t="inlineStr">
        <is>
          <t>https://en.wikipedia.org/wiki/Shahrukh_Bola_%22Khoobsurat_Hai_Tu%22</t>
        </is>
      </c>
      <c r="I76" s="16" t="n">
        <v>46278</v>
      </c>
      <c r="J76" s="5" t="inlineStr">
        <is>
          <t>Credits, release date, cast, plot, box office, reception and accolades for Shahrukh Bola "Khoobsurat Hai Tu" (2010).</t>
        </is>
      </c>
      <c r="K76" s="5" t="inlineStr">
        <is>
          <t>Reference encyclopedia</t>
        </is>
      </c>
      <c r="L76" s="5" t="inlineStr">
        <is>
          <t>C</t>
        </is>
      </c>
      <c r="M76" s="5" t="inlineStr">
        <is>
          <t>Downloaded as raw wikitext; box-office figures are Wikipedia citations of trade sources.</t>
        </is>
      </c>
    </row>
    <row r="77" ht="49" customHeight="1">
      <c r="A77" s="15" t="inlineStr">
        <is>
          <t>SOURCE-076</t>
        </is>
      </c>
      <c r="B77" s="5" t="inlineStr">
        <is>
          <t>FILM-073</t>
        </is>
      </c>
      <c r="C77" s="5" t="n"/>
      <c r="D77" s="5" t="inlineStr">
        <is>
          <t>Always Kabhi Kabhi</t>
        </is>
      </c>
      <c r="E77" s="5" t="inlineStr">
        <is>
          <t>Wikipedia</t>
        </is>
      </c>
      <c r="F77" s="5" t="n"/>
      <c r="G77" s="5" t="n"/>
      <c r="H77" s="22" t="inlineStr">
        <is>
          <t>https://en.wikipedia.org/wiki/Always_Kabhi_Kabhi</t>
        </is>
      </c>
      <c r="I77" s="16" t="n">
        <v>46278</v>
      </c>
      <c r="J77" s="5" t="inlineStr">
        <is>
          <t>Credits, release date, cast, plot, box office, reception and accolades for Always Kabhi Kabhi (2011).</t>
        </is>
      </c>
      <c r="K77" s="5" t="inlineStr">
        <is>
          <t>Reference encyclopedia</t>
        </is>
      </c>
      <c r="L77" s="5" t="inlineStr">
        <is>
          <t>C</t>
        </is>
      </c>
      <c r="M77" s="5" t="inlineStr">
        <is>
          <t>Downloaded as raw wikitext; box-office figures are Wikipedia citations of trade sources.</t>
        </is>
      </c>
    </row>
    <row r="78" ht="49" customHeight="1">
      <c r="A78" s="15" t="inlineStr">
        <is>
          <t>SOURCE-077</t>
        </is>
      </c>
      <c r="B78" s="5" t="inlineStr">
        <is>
          <t>FILM-074</t>
        </is>
      </c>
      <c r="C78" s="5" t="n"/>
      <c r="D78" s="5" t="inlineStr">
        <is>
          <t>Love Breakups Zindagi</t>
        </is>
      </c>
      <c r="E78" s="5" t="inlineStr">
        <is>
          <t>Wikipedia</t>
        </is>
      </c>
      <c r="F78" s="5" t="n"/>
      <c r="G78" s="5" t="n"/>
      <c r="H78" s="22" t="inlineStr">
        <is>
          <t>https://en.wikipedia.org/wiki/Love_Breakups_Zindagi</t>
        </is>
      </c>
      <c r="I78" s="16" t="n">
        <v>46278</v>
      </c>
      <c r="J78" s="5" t="inlineStr">
        <is>
          <t>Credits, release date, cast, plot, box office, reception and accolades for Love Breakups Zindagi (2011).</t>
        </is>
      </c>
      <c r="K78" s="5" t="inlineStr">
        <is>
          <t>Reference encyclopedia</t>
        </is>
      </c>
      <c r="L78" s="5" t="inlineStr">
        <is>
          <t>C</t>
        </is>
      </c>
      <c r="M78" s="5" t="inlineStr">
        <is>
          <t>Downloaded as raw wikitext; box-office figures are Wikipedia citations of trade sources.</t>
        </is>
      </c>
    </row>
    <row r="79" ht="49" customHeight="1">
      <c r="A79" s="15" t="inlineStr">
        <is>
          <t>SOURCE-078</t>
        </is>
      </c>
      <c r="B79" s="5" t="inlineStr">
        <is>
          <t>FILM-075</t>
        </is>
      </c>
      <c r="C79" s="5" t="inlineStr">
        <is>
          <t>PAIR-056</t>
        </is>
      </c>
      <c r="D79" s="5" t="inlineStr">
        <is>
          <t>Ra.One</t>
        </is>
      </c>
      <c r="E79" s="5" t="inlineStr">
        <is>
          <t>Wikipedia</t>
        </is>
      </c>
      <c r="F79" s="5" t="n"/>
      <c r="G79" s="5" t="n"/>
      <c r="H79" s="22" t="inlineStr">
        <is>
          <t>https://en.wikipedia.org/wiki/Ra.One</t>
        </is>
      </c>
      <c r="I79" s="16" t="n">
        <v>46278</v>
      </c>
      <c r="J79" s="5" t="inlineStr">
        <is>
          <t>Credits, release date, cast, plot, box office, reception and accolades for Ra.One (2011).</t>
        </is>
      </c>
      <c r="K79" s="5" t="inlineStr">
        <is>
          <t>Reference encyclopedia</t>
        </is>
      </c>
      <c r="L79" s="5" t="inlineStr">
        <is>
          <t>C</t>
        </is>
      </c>
      <c r="M79" s="5" t="inlineStr">
        <is>
          <t>Downloaded as raw wikitext; box-office figures are Wikipedia citations of trade sources.</t>
        </is>
      </c>
    </row>
    <row r="80" ht="49" customHeight="1">
      <c r="A80" s="15" t="inlineStr">
        <is>
          <t>SOURCE-079</t>
        </is>
      </c>
      <c r="B80" s="5" t="inlineStr">
        <is>
          <t>FILM-076</t>
        </is>
      </c>
      <c r="C80" s="5" t="inlineStr">
        <is>
          <t>PAIR-057</t>
        </is>
      </c>
      <c r="D80" s="5" t="inlineStr">
        <is>
          <t>Don 2</t>
        </is>
      </c>
      <c r="E80" s="5" t="inlineStr">
        <is>
          <t>Wikipedia</t>
        </is>
      </c>
      <c r="F80" s="5" t="n"/>
      <c r="G80" s="5" t="n"/>
      <c r="H80" s="22" t="inlineStr">
        <is>
          <t>https://en.wikipedia.org/wiki/Don_2</t>
        </is>
      </c>
      <c r="I80" s="16" t="n">
        <v>46278</v>
      </c>
      <c r="J80" s="5" t="inlineStr">
        <is>
          <t>Credits, release date, cast, plot, box office, reception and accolades for Don 2 (2011).</t>
        </is>
      </c>
      <c r="K80" s="5" t="inlineStr">
        <is>
          <t>Reference encyclopedia</t>
        </is>
      </c>
      <c r="L80" s="5" t="inlineStr">
        <is>
          <t>C</t>
        </is>
      </c>
      <c r="M80" s="5" t="inlineStr">
        <is>
          <t>Downloaded as raw wikitext; box-office figures are Wikipedia citations of trade sources.</t>
        </is>
      </c>
    </row>
    <row r="81" ht="49" customHeight="1">
      <c r="A81" s="15" t="inlineStr">
        <is>
          <t>SOURCE-080</t>
        </is>
      </c>
      <c r="B81" s="5" t="inlineStr">
        <is>
          <t>FILM-077</t>
        </is>
      </c>
      <c r="C81" s="5" t="inlineStr">
        <is>
          <t>PAIR-058; PAIR-059</t>
        </is>
      </c>
      <c r="D81" s="5" t="inlineStr">
        <is>
          <t>Jab Tak Hai Jaan</t>
        </is>
      </c>
      <c r="E81" s="5" t="inlineStr">
        <is>
          <t>Wikipedia</t>
        </is>
      </c>
      <c r="F81" s="5" t="n"/>
      <c r="G81" s="5" t="n"/>
      <c r="H81" s="22" t="inlineStr">
        <is>
          <t>https://en.wikipedia.org/wiki/Jab_Tak_Hai_Jaan</t>
        </is>
      </c>
      <c r="I81" s="16" t="n">
        <v>46278</v>
      </c>
      <c r="J81" s="5" t="inlineStr">
        <is>
          <t>Credits, release date, cast, plot, box office, reception and accolades for Jab Tak Hai Jaan (2012).</t>
        </is>
      </c>
      <c r="K81" s="5" t="inlineStr">
        <is>
          <t>Reference encyclopedia</t>
        </is>
      </c>
      <c r="L81" s="5" t="inlineStr">
        <is>
          <t>C</t>
        </is>
      </c>
      <c r="M81" s="5" t="inlineStr">
        <is>
          <t>Downloaded as raw wikitext; box-office figures are Wikipedia citations of trade sources.</t>
        </is>
      </c>
    </row>
    <row r="82" ht="49" customHeight="1">
      <c r="A82" s="15" t="inlineStr">
        <is>
          <t>SOURCE-081</t>
        </is>
      </c>
      <c r="B82" s="5" t="inlineStr">
        <is>
          <t>FILM-078</t>
        </is>
      </c>
      <c r="C82" s="5" t="n"/>
      <c r="D82" s="5" t="inlineStr">
        <is>
          <t>Bombay Talkies (film)</t>
        </is>
      </c>
      <c r="E82" s="5" t="inlineStr">
        <is>
          <t>Wikipedia</t>
        </is>
      </c>
      <c r="F82" s="5" t="n"/>
      <c r="G82" s="5" t="n"/>
      <c r="H82" s="22" t="inlineStr">
        <is>
          <t>https://en.wikipedia.org/wiki/Bombay_Talkies_(film)</t>
        </is>
      </c>
      <c r="I82" s="16" t="n">
        <v>46278</v>
      </c>
      <c r="J82" s="5" t="inlineStr">
        <is>
          <t>Credits, release date, cast, plot, box office, reception and accolades for Bombay Talkies (2013).</t>
        </is>
      </c>
      <c r="K82" s="5" t="inlineStr">
        <is>
          <t>Reference encyclopedia</t>
        </is>
      </c>
      <c r="L82" s="5" t="inlineStr">
        <is>
          <t>C</t>
        </is>
      </c>
      <c r="M82" s="5" t="inlineStr">
        <is>
          <t>Downloaded as raw wikitext; box-office figures are Wikipedia citations of trade sources.</t>
        </is>
      </c>
    </row>
    <row r="83" ht="49" customHeight="1">
      <c r="A83" s="15" t="inlineStr">
        <is>
          <t>SOURCE-082</t>
        </is>
      </c>
      <c r="B83" s="5" t="inlineStr">
        <is>
          <t>FILM-079</t>
        </is>
      </c>
      <c r="C83" s="5" t="inlineStr">
        <is>
          <t>PAIR-060</t>
        </is>
      </c>
      <c r="D83" s="5" t="inlineStr">
        <is>
          <t>Chennai Express</t>
        </is>
      </c>
      <c r="E83" s="5" t="inlineStr">
        <is>
          <t>Wikipedia</t>
        </is>
      </c>
      <c r="F83" s="5" t="n"/>
      <c r="G83" s="5" t="n"/>
      <c r="H83" s="22" t="inlineStr">
        <is>
          <t>https://en.wikipedia.org/wiki/Chennai_Express</t>
        </is>
      </c>
      <c r="I83" s="16" t="n">
        <v>46278</v>
      </c>
      <c r="J83" s="5" t="inlineStr">
        <is>
          <t>Credits, release date, cast, plot, box office, reception and accolades for Chennai Express (2013).</t>
        </is>
      </c>
      <c r="K83" s="5" t="inlineStr">
        <is>
          <t>Reference encyclopedia</t>
        </is>
      </c>
      <c r="L83" s="5" t="inlineStr">
        <is>
          <t>C</t>
        </is>
      </c>
      <c r="M83" s="5" t="inlineStr">
        <is>
          <t>Downloaded as raw wikitext; box-office figures are Wikipedia citations of trade sources.</t>
        </is>
      </c>
    </row>
    <row r="84" ht="49" customHeight="1">
      <c r="A84" s="15" t="inlineStr">
        <is>
          <t>SOURCE-083</t>
        </is>
      </c>
      <c r="B84" s="5" t="inlineStr">
        <is>
          <t>FILM-080</t>
        </is>
      </c>
      <c r="C84" s="5" t="n"/>
      <c r="D84" s="5" t="inlineStr">
        <is>
          <t>Bhoothnath Returns</t>
        </is>
      </c>
      <c r="E84" s="5" t="inlineStr">
        <is>
          <t>Wikipedia</t>
        </is>
      </c>
      <c r="F84" s="5" t="n"/>
      <c r="G84" s="5" t="n"/>
      <c r="H84" s="22" t="inlineStr">
        <is>
          <t>https://en.wikipedia.org/wiki/Bhoothnath_Returns</t>
        </is>
      </c>
      <c r="I84" s="16" t="n">
        <v>46278</v>
      </c>
      <c r="J84" s="5" t="inlineStr">
        <is>
          <t>Credits, release date, cast, plot, box office, reception and accolades for Bhoothnath Returns (2014).</t>
        </is>
      </c>
      <c r="K84" s="5" t="inlineStr">
        <is>
          <t>Reference encyclopedia</t>
        </is>
      </c>
      <c r="L84" s="5" t="inlineStr">
        <is>
          <t>C</t>
        </is>
      </c>
      <c r="M84" s="5" t="inlineStr">
        <is>
          <t>Downloaded as raw wikitext; box-office figures are Wikipedia citations of trade sources.</t>
        </is>
      </c>
    </row>
    <row r="85" ht="49" customHeight="1">
      <c r="A85" s="15" t="inlineStr">
        <is>
          <t>SOURCE-084</t>
        </is>
      </c>
      <c r="B85" s="5" t="inlineStr">
        <is>
          <t>FILM-081</t>
        </is>
      </c>
      <c r="C85" s="5" t="inlineStr">
        <is>
          <t>PAIR-061</t>
        </is>
      </c>
      <c r="D85" s="5" t="inlineStr">
        <is>
          <t>Happy New Year (2014 film)</t>
        </is>
      </c>
      <c r="E85" s="5" t="inlineStr">
        <is>
          <t>Wikipedia</t>
        </is>
      </c>
      <c r="F85" s="5" t="n"/>
      <c r="G85" s="5" t="n"/>
      <c r="H85" s="22" t="inlineStr">
        <is>
          <t>https://en.wikipedia.org/wiki/Happy_New_Year_(2014_film)</t>
        </is>
      </c>
      <c r="I85" s="16" t="n">
        <v>46278</v>
      </c>
      <c r="J85" s="5" t="inlineStr">
        <is>
          <t>Credits, release date, cast, plot, box office, reception and accolades for Happy New Year (2014).</t>
        </is>
      </c>
      <c r="K85" s="5" t="inlineStr">
        <is>
          <t>Reference encyclopedia</t>
        </is>
      </c>
      <c r="L85" s="5" t="inlineStr">
        <is>
          <t>C</t>
        </is>
      </c>
      <c r="M85" s="5" t="inlineStr">
        <is>
          <t>Downloaded as raw wikitext; box-office figures are Wikipedia citations of trade sources.</t>
        </is>
      </c>
    </row>
    <row r="86" ht="49" customHeight="1">
      <c r="A86" s="15" t="inlineStr">
        <is>
          <t>SOURCE-085</t>
        </is>
      </c>
      <c r="B86" s="5" t="inlineStr">
        <is>
          <t>FILM-082</t>
        </is>
      </c>
      <c r="C86" s="5" t="inlineStr">
        <is>
          <t>PAIR-062</t>
        </is>
      </c>
      <c r="D86" s="5" t="inlineStr">
        <is>
          <t>Dilwale (2015 film)</t>
        </is>
      </c>
      <c r="E86" s="5" t="inlineStr">
        <is>
          <t>Wikipedia</t>
        </is>
      </c>
      <c r="F86" s="5" t="n"/>
      <c r="G86" s="5" t="n"/>
      <c r="H86" s="22" t="inlineStr">
        <is>
          <t>https://en.wikipedia.org/wiki/Dilwale_(2015_film)</t>
        </is>
      </c>
      <c r="I86" s="16" t="n">
        <v>46278</v>
      </c>
      <c r="J86" s="5" t="inlineStr">
        <is>
          <t>Credits, release date, cast, plot, box office, reception and accolades for Dilwale (2015).</t>
        </is>
      </c>
      <c r="K86" s="5" t="inlineStr">
        <is>
          <t>Reference encyclopedia</t>
        </is>
      </c>
      <c r="L86" s="5" t="inlineStr">
        <is>
          <t>C</t>
        </is>
      </c>
      <c r="M86" s="5" t="inlineStr">
        <is>
          <t>Downloaded as raw wikitext; box-office figures are Wikipedia citations of trade sources.</t>
        </is>
      </c>
    </row>
    <row r="87" ht="49" customHeight="1">
      <c r="A87" s="15" t="inlineStr">
        <is>
          <t>SOURCE-086</t>
        </is>
      </c>
      <c r="B87" s="5" t="inlineStr">
        <is>
          <t>FILM-083</t>
        </is>
      </c>
      <c r="C87" s="5" t="n"/>
      <c r="D87" s="5" t="inlineStr">
        <is>
          <t>Fan (2016 film)</t>
        </is>
      </c>
      <c r="E87" s="5" t="inlineStr">
        <is>
          <t>Wikipedia</t>
        </is>
      </c>
      <c r="F87" s="5" t="n"/>
      <c r="G87" s="5" t="n"/>
      <c r="H87" s="22" t="inlineStr">
        <is>
          <t>https://en.wikipedia.org/wiki/Fan_(2016_film)</t>
        </is>
      </c>
      <c r="I87" s="16" t="n">
        <v>46278</v>
      </c>
      <c r="J87" s="5" t="inlineStr">
        <is>
          <t>Credits, release date, cast, plot, box office, reception and accolades for Fan (2016).</t>
        </is>
      </c>
      <c r="K87" s="5" t="inlineStr">
        <is>
          <t>Reference encyclopedia</t>
        </is>
      </c>
      <c r="L87" s="5" t="inlineStr">
        <is>
          <t>C</t>
        </is>
      </c>
      <c r="M87" s="5" t="inlineStr">
        <is>
          <t>Downloaded as raw wikitext; box-office figures are Wikipedia citations of trade sources.</t>
        </is>
      </c>
    </row>
    <row r="88" ht="49" customHeight="1">
      <c r="A88" s="15" t="inlineStr">
        <is>
          <t>SOURCE-087</t>
        </is>
      </c>
      <c r="B88" s="5" t="inlineStr">
        <is>
          <t>FILM-084</t>
        </is>
      </c>
      <c r="C88" s="5" t="n"/>
      <c r="D88" s="5" t="inlineStr">
        <is>
          <t>Ae Dil Hai Mushkil</t>
        </is>
      </c>
      <c r="E88" s="5" t="inlineStr">
        <is>
          <t>Wikipedia</t>
        </is>
      </c>
      <c r="F88" s="5" t="n"/>
      <c r="G88" s="5" t="n"/>
      <c r="H88" s="22" t="inlineStr">
        <is>
          <t>https://en.wikipedia.org/wiki/Ae_Dil_Hai_Mushkil</t>
        </is>
      </c>
      <c r="I88" s="16" t="n">
        <v>46278</v>
      </c>
      <c r="J88" s="5" t="inlineStr">
        <is>
          <t>Credits, release date, cast, plot, box office, reception and accolades for Ae Dil Hai Mushkil (2016).</t>
        </is>
      </c>
      <c r="K88" s="5" t="inlineStr">
        <is>
          <t>Reference encyclopedia</t>
        </is>
      </c>
      <c r="L88" s="5" t="inlineStr">
        <is>
          <t>C</t>
        </is>
      </c>
      <c r="M88" s="5" t="inlineStr">
        <is>
          <t>Downloaded as raw wikitext; box-office figures are Wikipedia citations of trade sources.</t>
        </is>
      </c>
    </row>
    <row r="89" ht="49" customHeight="1">
      <c r="A89" s="15" t="inlineStr">
        <is>
          <t>SOURCE-088</t>
        </is>
      </c>
      <c r="B89" s="5" t="inlineStr">
        <is>
          <t>FILM-085</t>
        </is>
      </c>
      <c r="C89" s="5" t="n"/>
      <c r="D89" s="5" t="inlineStr">
        <is>
          <t>Dear Zindagi</t>
        </is>
      </c>
      <c r="E89" s="5" t="inlineStr">
        <is>
          <t>Wikipedia</t>
        </is>
      </c>
      <c r="F89" s="5" t="n"/>
      <c r="G89" s="5" t="n"/>
      <c r="H89" s="22" t="inlineStr">
        <is>
          <t>https://en.wikipedia.org/wiki/Dear_Zindagi</t>
        </is>
      </c>
      <c r="I89" s="16" t="n">
        <v>46278</v>
      </c>
      <c r="J89" s="5" t="inlineStr">
        <is>
          <t>Credits, release date, cast, plot, box office, reception and accolades for Dear Zindagi (2016).</t>
        </is>
      </c>
      <c r="K89" s="5" t="inlineStr">
        <is>
          <t>Reference encyclopedia</t>
        </is>
      </c>
      <c r="L89" s="5" t="inlineStr">
        <is>
          <t>C</t>
        </is>
      </c>
      <c r="M89" s="5" t="inlineStr">
        <is>
          <t>Downloaded as raw wikitext; box-office figures are Wikipedia citations of trade sources.</t>
        </is>
      </c>
    </row>
    <row r="90" ht="49" customHeight="1">
      <c r="A90" s="15" t="inlineStr">
        <is>
          <t>SOURCE-089</t>
        </is>
      </c>
      <c r="B90" s="5" t="inlineStr">
        <is>
          <t>FILM-086</t>
        </is>
      </c>
      <c r="C90" s="5" t="n"/>
      <c r="D90" s="5" t="inlineStr">
        <is>
          <t>Raees (2017 film)</t>
        </is>
      </c>
      <c r="E90" s="5" t="inlineStr">
        <is>
          <t>Wikipedia</t>
        </is>
      </c>
      <c r="F90" s="5" t="n"/>
      <c r="G90" s="5" t="n"/>
      <c r="H90" s="22" t="inlineStr">
        <is>
          <t>https://en.wikipedia.org/wiki/Raees_(2017_film)</t>
        </is>
      </c>
      <c r="I90" s="16" t="n">
        <v>46278</v>
      </c>
      <c r="J90" s="5" t="inlineStr">
        <is>
          <t>Credits, release date, cast, plot, box office, reception and accolades for Raees (2017).</t>
        </is>
      </c>
      <c r="K90" s="5" t="inlineStr">
        <is>
          <t>Reference encyclopedia</t>
        </is>
      </c>
      <c r="L90" s="5" t="inlineStr">
        <is>
          <t>C</t>
        </is>
      </c>
      <c r="M90" s="5" t="inlineStr">
        <is>
          <t>Downloaded as raw wikitext; box-office figures are Wikipedia citations of trade sources.</t>
        </is>
      </c>
    </row>
    <row r="91" ht="49" customHeight="1">
      <c r="A91" s="15" t="inlineStr">
        <is>
          <t>SOURCE-090</t>
        </is>
      </c>
      <c r="B91" s="5" t="inlineStr">
        <is>
          <t>FILM-087</t>
        </is>
      </c>
      <c r="C91" s="5" t="n"/>
      <c r="D91" s="5" t="inlineStr">
        <is>
          <t>Tubelight (2017 Hindi film)</t>
        </is>
      </c>
      <c r="E91" s="5" t="inlineStr">
        <is>
          <t>Wikipedia</t>
        </is>
      </c>
      <c r="F91" s="5" t="n"/>
      <c r="G91" s="5" t="n"/>
      <c r="H91" s="22" t="inlineStr">
        <is>
          <t>https://en.wikipedia.org/wiki/Tubelight_(2017_Hindi_film)</t>
        </is>
      </c>
      <c r="I91" s="16" t="n">
        <v>46278</v>
      </c>
      <c r="J91" s="5" t="inlineStr">
        <is>
          <t>Credits, release date, cast, plot, box office, reception and accolades for Tubelight (2017).</t>
        </is>
      </c>
      <c r="K91" s="5" t="inlineStr">
        <is>
          <t>Reference encyclopedia</t>
        </is>
      </c>
      <c r="L91" s="5" t="inlineStr">
        <is>
          <t>C</t>
        </is>
      </c>
      <c r="M91" s="5" t="inlineStr">
        <is>
          <t>Downloaded as raw wikitext; box-office figures are Wikipedia citations of trade sources.</t>
        </is>
      </c>
    </row>
    <row r="92" ht="49" customHeight="1">
      <c r="A92" s="15" t="inlineStr">
        <is>
          <t>SOURCE-091</t>
        </is>
      </c>
      <c r="B92" s="5" t="inlineStr">
        <is>
          <t>FILM-088</t>
        </is>
      </c>
      <c r="C92" s="5" t="inlineStr">
        <is>
          <t>PAIR-063</t>
        </is>
      </c>
      <c r="D92" s="5" t="inlineStr">
        <is>
          <t>Jab Harry Met Sejal</t>
        </is>
      </c>
      <c r="E92" s="5" t="inlineStr">
        <is>
          <t>Wikipedia</t>
        </is>
      </c>
      <c r="F92" s="5" t="n"/>
      <c r="G92" s="5" t="n"/>
      <c r="H92" s="22" t="inlineStr">
        <is>
          <t>https://en.wikipedia.org/wiki/Jab_Harry_Met_Sejal</t>
        </is>
      </c>
      <c r="I92" s="16" t="n">
        <v>46278</v>
      </c>
      <c r="J92" s="5" t="inlineStr">
        <is>
          <t>Credits, release date, cast, plot, box office, reception and accolades for Jab Harry Met Sejal (2017).</t>
        </is>
      </c>
      <c r="K92" s="5" t="inlineStr">
        <is>
          <t>Reference encyclopedia</t>
        </is>
      </c>
      <c r="L92" s="5" t="inlineStr">
        <is>
          <t>C</t>
        </is>
      </c>
      <c r="M92" s="5" t="inlineStr">
        <is>
          <t>Downloaded as raw wikitext; box-office figures are Wikipedia citations of trade sources.</t>
        </is>
      </c>
    </row>
    <row r="93" ht="49" customHeight="1">
      <c r="A93" s="15" t="inlineStr">
        <is>
          <t>SOURCE-092</t>
        </is>
      </c>
      <c r="B93" s="5" t="inlineStr">
        <is>
          <t>FILM-089</t>
        </is>
      </c>
      <c r="C93" s="5" t="inlineStr">
        <is>
          <t>PAIR-064; PAIR-065</t>
        </is>
      </c>
      <c r="D93" s="5" t="inlineStr">
        <is>
          <t>Zero (2018 film)</t>
        </is>
      </c>
      <c r="E93" s="5" t="inlineStr">
        <is>
          <t>Wikipedia</t>
        </is>
      </c>
      <c r="F93" s="5" t="n"/>
      <c r="G93" s="5" t="n"/>
      <c r="H93" s="22" t="inlineStr">
        <is>
          <t>https://en.wikipedia.org/wiki/Zero_(2018_film)</t>
        </is>
      </c>
      <c r="I93" s="16" t="n">
        <v>46278</v>
      </c>
      <c r="J93" s="5" t="inlineStr">
        <is>
          <t>Credits, release date, cast, plot, box office, reception and accolades for Zero (2018).</t>
        </is>
      </c>
      <c r="K93" s="5" t="inlineStr">
        <is>
          <t>Reference encyclopedia</t>
        </is>
      </c>
      <c r="L93" s="5" t="inlineStr">
        <is>
          <t>C</t>
        </is>
      </c>
      <c r="M93" s="5" t="inlineStr">
        <is>
          <t>Downloaded as raw wikitext; box-office figures are Wikipedia citations of trade sources.</t>
        </is>
      </c>
    </row>
    <row r="94" ht="49" customHeight="1">
      <c r="A94" s="15" t="inlineStr">
        <is>
          <t>SOURCE-093</t>
        </is>
      </c>
      <c r="B94" s="5" t="inlineStr">
        <is>
          <t>FILM-090</t>
        </is>
      </c>
      <c r="C94" s="5" t="n"/>
      <c r="D94" s="5" t="inlineStr">
        <is>
          <t>The Zoya Factor (film)</t>
        </is>
      </c>
      <c r="E94" s="5" t="inlineStr">
        <is>
          <t>Wikipedia</t>
        </is>
      </c>
      <c r="F94" s="5" t="n"/>
      <c r="G94" s="5" t="n"/>
      <c r="H94" s="22" t="inlineStr">
        <is>
          <t>https://en.wikipedia.org/wiki/The_Zoya_Factor_(film)</t>
        </is>
      </c>
      <c r="I94" s="16" t="n">
        <v>46278</v>
      </c>
      <c r="J94" s="5" t="inlineStr">
        <is>
          <t>Credits, release date, cast, plot, box office, reception and accolades for The Zoya Factor (2019).</t>
        </is>
      </c>
      <c r="K94" s="5" t="inlineStr">
        <is>
          <t>Reference encyclopedia</t>
        </is>
      </c>
      <c r="L94" s="5" t="inlineStr">
        <is>
          <t>C</t>
        </is>
      </c>
      <c r="M94" s="5" t="inlineStr">
        <is>
          <t>Downloaded as raw wikitext; box-office figures are Wikipedia citations of trade sources.</t>
        </is>
      </c>
    </row>
    <row r="95" ht="49" customHeight="1">
      <c r="A95" s="15" t="inlineStr">
        <is>
          <t>SOURCE-094</t>
        </is>
      </c>
      <c r="B95" s="5" t="inlineStr">
        <is>
          <t>FILM-091</t>
        </is>
      </c>
      <c r="C95" s="5" t="n"/>
      <c r="D95" s="5" t="inlineStr">
        <is>
          <t>Rocketry: The Nambi Effect</t>
        </is>
      </c>
      <c r="E95" s="5" t="inlineStr">
        <is>
          <t>Wikipedia</t>
        </is>
      </c>
      <c r="F95" s="5" t="n"/>
      <c r="G95" s="5" t="n"/>
      <c r="H95" s="22" t="inlineStr">
        <is>
          <t>https://en.wikipedia.org/wiki/Rocketry:_The_Nambi_Effect</t>
        </is>
      </c>
      <c r="I95" s="16" t="n">
        <v>46278</v>
      </c>
      <c r="J95" s="5" t="inlineStr">
        <is>
          <t>Credits, release date, cast, plot, box office, reception and accolades for Rocketry: The Nambi Effect (2022).</t>
        </is>
      </c>
      <c r="K95" s="5" t="inlineStr">
        <is>
          <t>Reference encyclopedia</t>
        </is>
      </c>
      <c r="L95" s="5" t="inlineStr">
        <is>
          <t>C</t>
        </is>
      </c>
      <c r="M95" s="5" t="inlineStr">
        <is>
          <t>Downloaded as raw wikitext; box-office figures are Wikipedia citations of trade sources.</t>
        </is>
      </c>
    </row>
    <row r="96" ht="49" customHeight="1">
      <c r="A96" s="15" t="inlineStr">
        <is>
          <t>SOURCE-095</t>
        </is>
      </c>
      <c r="B96" s="5" t="inlineStr">
        <is>
          <t>FILM-092</t>
        </is>
      </c>
      <c r="C96" s="5" t="n"/>
      <c r="D96" s="5" t="inlineStr">
        <is>
          <t>Laal Singh Chaddha</t>
        </is>
      </c>
      <c r="E96" s="5" t="inlineStr">
        <is>
          <t>Wikipedia</t>
        </is>
      </c>
      <c r="F96" s="5" t="n"/>
      <c r="G96" s="5" t="n"/>
      <c r="H96" s="22" t="inlineStr">
        <is>
          <t>https://en.wikipedia.org/wiki/Laal_Singh_Chaddha</t>
        </is>
      </c>
      <c r="I96" s="16" t="n">
        <v>46278</v>
      </c>
      <c r="J96" s="5" t="inlineStr">
        <is>
          <t>Credits, release date, cast, plot, box office, reception and accolades for Laal Singh Chaddha (2022).</t>
        </is>
      </c>
      <c r="K96" s="5" t="inlineStr">
        <is>
          <t>Reference encyclopedia</t>
        </is>
      </c>
      <c r="L96" s="5" t="inlineStr">
        <is>
          <t>C</t>
        </is>
      </c>
      <c r="M96" s="5" t="inlineStr">
        <is>
          <t>Downloaded as raw wikitext; box-office figures are Wikipedia citations of trade sources.</t>
        </is>
      </c>
    </row>
    <row r="97" ht="49" customHeight="1">
      <c r="A97" s="15" t="inlineStr">
        <is>
          <t>SOURCE-096</t>
        </is>
      </c>
      <c r="B97" s="5" t="inlineStr">
        <is>
          <t>FILM-093</t>
        </is>
      </c>
      <c r="C97" s="5" t="n"/>
      <c r="D97" s="5" t="inlineStr">
        <is>
          <t>Brahmāstra: Part One – Shiva</t>
        </is>
      </c>
      <c r="E97" s="5" t="inlineStr">
        <is>
          <t>Wikipedia</t>
        </is>
      </c>
      <c r="F97" s="5" t="n"/>
      <c r="G97" s="5" t="n"/>
      <c r="H97" s="22" t="inlineStr">
        <is>
          <t>https://en.wikipedia.org/wiki/Brahm%C4%81stra:_Part_One_%E2%80%93_Shiva</t>
        </is>
      </c>
      <c r="I97" s="16" t="n">
        <v>46278</v>
      </c>
      <c r="J97" s="5" t="inlineStr">
        <is>
          <t>Credits, release date, cast, plot, box office, reception and accolades for Brahmāstra: Part One – Shiva (2022).</t>
        </is>
      </c>
      <c r="K97" s="5" t="inlineStr">
        <is>
          <t>Reference encyclopedia</t>
        </is>
      </c>
      <c r="L97" s="5" t="inlineStr">
        <is>
          <t>C</t>
        </is>
      </c>
      <c r="M97" s="5" t="inlineStr">
        <is>
          <t>Downloaded as raw wikitext; box-office figures are Wikipedia citations of trade sources.</t>
        </is>
      </c>
    </row>
    <row r="98" ht="49" customHeight="1">
      <c r="A98" s="15" t="inlineStr">
        <is>
          <t>SOURCE-097</t>
        </is>
      </c>
      <c r="B98" s="5" t="inlineStr">
        <is>
          <t>FILM-094</t>
        </is>
      </c>
      <c r="C98" s="5" t="n"/>
      <c r="D98" s="5" t="inlineStr">
        <is>
          <t>Pathaan (film)</t>
        </is>
      </c>
      <c r="E98" s="5" t="inlineStr">
        <is>
          <t>Wikipedia</t>
        </is>
      </c>
      <c r="F98" s="5" t="n"/>
      <c r="G98" s="5" t="n"/>
      <c r="H98" s="22" t="inlineStr">
        <is>
          <t>https://en.wikipedia.org/wiki/Pathaan_(film)</t>
        </is>
      </c>
      <c r="I98" s="16" t="n">
        <v>46278</v>
      </c>
      <c r="J98" s="5" t="inlineStr">
        <is>
          <t>Credits, release date, cast, plot, box office, reception and accolades for Pathaan (2023).</t>
        </is>
      </c>
      <c r="K98" s="5" t="inlineStr">
        <is>
          <t>Reference encyclopedia</t>
        </is>
      </c>
      <c r="L98" s="5" t="inlineStr">
        <is>
          <t>C</t>
        </is>
      </c>
      <c r="M98" s="5" t="inlineStr">
        <is>
          <t>Downloaded as raw wikitext; box-office figures are Wikipedia citations of trade sources.</t>
        </is>
      </c>
    </row>
    <row r="99" ht="49" customHeight="1">
      <c r="A99" s="15" t="inlineStr">
        <is>
          <t>SOURCE-098</t>
        </is>
      </c>
      <c r="B99" s="5" t="inlineStr">
        <is>
          <t>FILM-095</t>
        </is>
      </c>
      <c r="C99" s="5" t="inlineStr">
        <is>
          <t>PAIR-066; PAIR-067</t>
        </is>
      </c>
      <c r="D99" s="5" t="inlineStr">
        <is>
          <t>Jawan (film)</t>
        </is>
      </c>
      <c r="E99" s="5" t="inlineStr">
        <is>
          <t>Wikipedia</t>
        </is>
      </c>
      <c r="F99" s="5" t="n"/>
      <c r="G99" s="5" t="n"/>
      <c r="H99" s="22" t="inlineStr">
        <is>
          <t>https://en.wikipedia.org/wiki/Jawan_(film)</t>
        </is>
      </c>
      <c r="I99" s="16" t="n">
        <v>46278</v>
      </c>
      <c r="J99" s="5" t="inlineStr">
        <is>
          <t>Credits, release date, cast, plot, box office, reception and accolades for Jawan (2023).</t>
        </is>
      </c>
      <c r="K99" s="5" t="inlineStr">
        <is>
          <t>Reference encyclopedia</t>
        </is>
      </c>
      <c r="L99" s="5" t="inlineStr">
        <is>
          <t>C</t>
        </is>
      </c>
      <c r="M99" s="5" t="inlineStr">
        <is>
          <t>Downloaded as raw wikitext; box-office figures are Wikipedia citations of trade sources.</t>
        </is>
      </c>
    </row>
    <row r="100" ht="49" customHeight="1">
      <c r="A100" s="15" t="inlineStr">
        <is>
          <t>SOURCE-099</t>
        </is>
      </c>
      <c r="B100" s="5" t="inlineStr">
        <is>
          <t>FILM-096</t>
        </is>
      </c>
      <c r="C100" s="5" t="n"/>
      <c r="D100" s="5" t="inlineStr">
        <is>
          <t>Tiger 3</t>
        </is>
      </c>
      <c r="E100" s="5" t="inlineStr">
        <is>
          <t>Wikipedia</t>
        </is>
      </c>
      <c r="F100" s="5" t="n"/>
      <c r="G100" s="5" t="n"/>
      <c r="H100" s="22" t="inlineStr">
        <is>
          <t>https://en.wikipedia.org/wiki/Tiger_3</t>
        </is>
      </c>
      <c r="I100" s="16" t="n">
        <v>46278</v>
      </c>
      <c r="J100" s="5" t="inlineStr">
        <is>
          <t>Credits, release date, cast, plot, box office, reception and accolades for Tiger 3 (2023).</t>
        </is>
      </c>
      <c r="K100" s="5" t="inlineStr">
        <is>
          <t>Reference encyclopedia</t>
        </is>
      </c>
      <c r="L100" s="5" t="inlineStr">
        <is>
          <t>C</t>
        </is>
      </c>
      <c r="M100" s="5" t="inlineStr">
        <is>
          <t>Downloaded as raw wikitext; box-office figures are Wikipedia citations of trade sources.</t>
        </is>
      </c>
    </row>
    <row r="101" ht="49" customHeight="1">
      <c r="A101" s="15" t="inlineStr">
        <is>
          <t>SOURCE-100</t>
        </is>
      </c>
      <c r="B101" s="5" t="inlineStr">
        <is>
          <t>FILM-097</t>
        </is>
      </c>
      <c r="C101" s="5" t="inlineStr">
        <is>
          <t>PAIR-068</t>
        </is>
      </c>
      <c r="D101" s="5" t="inlineStr">
        <is>
          <t>Dunki (film)</t>
        </is>
      </c>
      <c r="E101" s="5" t="inlineStr">
        <is>
          <t>Wikipedia</t>
        </is>
      </c>
      <c r="F101" s="5" t="n"/>
      <c r="G101" s="5" t="n"/>
      <c r="H101" s="22" t="inlineStr">
        <is>
          <t>https://en.wikipedia.org/wiki/Dunki_(film)</t>
        </is>
      </c>
      <c r="I101" s="16" t="n">
        <v>46278</v>
      </c>
      <c r="J101" s="5" t="inlineStr">
        <is>
          <t>Credits, release date, cast, plot, box office, reception and accolades for Dunki (2023).</t>
        </is>
      </c>
      <c r="K101" s="5" t="inlineStr">
        <is>
          <t>Reference encyclopedia</t>
        </is>
      </c>
      <c r="L101" s="5" t="inlineStr">
        <is>
          <t>C</t>
        </is>
      </c>
      <c r="M101" s="5" t="inlineStr">
        <is>
          <t>Downloaded as raw wikitext; box-office figures are Wikipedia citations of trade sources.</t>
        </is>
      </c>
    </row>
    <row r="102" ht="34" customHeight="1">
      <c r="A102" s="15" t="inlineStr">
        <is>
          <t>SOURCE-101</t>
        </is>
      </c>
      <c r="B102" s="5" t="inlineStr">
        <is>
          <t>FILM-027</t>
        </is>
      </c>
      <c r="C102" s="5" t="n"/>
      <c r="D102" s="5" t="inlineStr">
        <is>
          <t>List of accolades received by Dil To Pagal Hai</t>
        </is>
      </c>
      <c r="E102" s="5" t="inlineStr">
        <is>
          <t>Wikipedia</t>
        </is>
      </c>
      <c r="F102" s="5" t="n"/>
      <c r="G102" s="5" t="n"/>
      <c r="H102" s="22" t="inlineStr">
        <is>
          <t>https://en.wikipedia.org/wiki/List_of_accolades_received_by_Dil_To_Pagal_Hai</t>
        </is>
      </c>
      <c r="I102" s="16" t="n">
        <v>46278</v>
      </c>
      <c r="J102" s="5" t="inlineStr">
        <is>
          <t>Awards and nominations for the film, used for Filmfare and National Film Award wins.</t>
        </is>
      </c>
      <c r="K102" s="5" t="inlineStr">
        <is>
          <t>Reference encyclopedia</t>
        </is>
      </c>
      <c r="L102" s="5" t="inlineStr">
        <is>
          <t>C</t>
        </is>
      </c>
      <c r="M102" s="5" t="inlineStr">
        <is>
          <t>Downloaded as raw wikitext; wins cross-checked against the film article.</t>
        </is>
      </c>
    </row>
    <row r="103" ht="34" customHeight="1">
      <c r="A103" s="15" t="inlineStr">
        <is>
          <t>SOURCE-102</t>
        </is>
      </c>
      <c r="B103" s="5" t="inlineStr">
        <is>
          <t>FILM-037</t>
        </is>
      </c>
      <c r="C103" s="5" t="n"/>
      <c r="D103" s="5" t="inlineStr">
        <is>
          <t>List of accolades received by Mohabbatein</t>
        </is>
      </c>
      <c r="E103" s="5" t="inlineStr">
        <is>
          <t>Wikipedia</t>
        </is>
      </c>
      <c r="F103" s="5" t="n"/>
      <c r="G103" s="5" t="n"/>
      <c r="H103" s="22" t="inlineStr">
        <is>
          <t>https://en.wikipedia.org/wiki/List_of_accolades_received_by_Mohabbatein</t>
        </is>
      </c>
      <c r="I103" s="16" t="n">
        <v>46278</v>
      </c>
      <c r="J103" s="5" t="inlineStr">
        <is>
          <t>Awards and nominations for the film, used for Filmfare and National Film Award wins.</t>
        </is>
      </c>
      <c r="K103" s="5" t="inlineStr">
        <is>
          <t>Reference encyclopedia</t>
        </is>
      </c>
      <c r="L103" s="5" t="inlineStr">
        <is>
          <t>C</t>
        </is>
      </c>
      <c r="M103" s="5" t="inlineStr">
        <is>
          <t>Downloaded as raw wikitext; wins cross-checked against the film article.</t>
        </is>
      </c>
    </row>
    <row r="104" ht="34" customHeight="1">
      <c r="A104" s="15" t="inlineStr">
        <is>
          <t>SOURCE-103</t>
        </is>
      </c>
      <c r="B104" s="5" t="inlineStr">
        <is>
          <t>FILM-043</t>
        </is>
      </c>
      <c r="C104" s="5" t="n"/>
      <c r="D104" s="5" t="inlineStr">
        <is>
          <t>List of accolades received by Devdas (2002 Hindi film)</t>
        </is>
      </c>
      <c r="E104" s="5" t="inlineStr">
        <is>
          <t>Wikipedia</t>
        </is>
      </c>
      <c r="F104" s="5" t="n"/>
      <c r="G104" s="5" t="n"/>
      <c r="H104" s="22" t="inlineStr">
        <is>
          <t>https://en.wikipedia.org/wiki/List_of_accolades_received_by_Devdas_(2002_Hindi_film)</t>
        </is>
      </c>
      <c r="I104" s="16" t="n">
        <v>46278</v>
      </c>
      <c r="J104" s="5" t="inlineStr">
        <is>
          <t>Awards and nominations for the film, used for Filmfare and National Film Award wins.</t>
        </is>
      </c>
      <c r="K104" s="5" t="inlineStr">
        <is>
          <t>Reference encyclopedia</t>
        </is>
      </c>
      <c r="L104" s="5" t="inlineStr">
        <is>
          <t>C</t>
        </is>
      </c>
      <c r="M104" s="5" t="inlineStr">
        <is>
          <t>Downloaded as raw wikitext; wins cross-checked against the film article.</t>
        </is>
      </c>
    </row>
    <row r="105" ht="34" customHeight="1">
      <c r="A105" s="15" t="inlineStr">
        <is>
          <t>SOURCE-104</t>
        </is>
      </c>
      <c r="B105" s="5" t="inlineStr">
        <is>
          <t>FILM-047</t>
        </is>
      </c>
      <c r="C105" s="5" t="n"/>
      <c r="D105" s="5" t="inlineStr">
        <is>
          <t>List of accolades received by Kal Ho Naa Ho</t>
        </is>
      </c>
      <c r="E105" s="5" t="inlineStr">
        <is>
          <t>Wikipedia</t>
        </is>
      </c>
      <c r="F105" s="5" t="n"/>
      <c r="G105" s="5" t="n"/>
      <c r="H105" s="22" t="inlineStr">
        <is>
          <t>https://en.wikipedia.org/wiki/List_of_accolades_received_by_Kal_Ho_Naa_Ho</t>
        </is>
      </c>
      <c r="I105" s="16" t="n">
        <v>46278</v>
      </c>
      <c r="J105" s="5" t="inlineStr">
        <is>
          <t>Awards and nominations for the film, used for Filmfare and National Film Award wins.</t>
        </is>
      </c>
      <c r="K105" s="5" t="inlineStr">
        <is>
          <t>Reference encyclopedia</t>
        </is>
      </c>
      <c r="L105" s="5" t="inlineStr">
        <is>
          <t>C</t>
        </is>
      </c>
      <c r="M105" s="5" t="inlineStr">
        <is>
          <t>Downloaded as raw wikitext; wins cross-checked against the film article.</t>
        </is>
      </c>
    </row>
    <row r="106" ht="34" customHeight="1">
      <c r="A106" s="15" t="inlineStr">
        <is>
          <t>SOURCE-105</t>
        </is>
      </c>
      <c r="B106" s="5" t="inlineStr">
        <is>
          <t>FILM-050</t>
        </is>
      </c>
      <c r="C106" s="5" t="n"/>
      <c r="D106" s="5" t="inlineStr">
        <is>
          <t>List of accolades received by Veer-Zaara</t>
        </is>
      </c>
      <c r="E106" s="5" t="inlineStr">
        <is>
          <t>Wikipedia</t>
        </is>
      </c>
      <c r="F106" s="5" t="n"/>
      <c r="G106" s="5" t="n"/>
      <c r="H106" s="22" t="inlineStr">
        <is>
          <t>https://en.wikipedia.org/wiki/List_of_accolades_received_by_Veer-Zaara</t>
        </is>
      </c>
      <c r="I106" s="16" t="n">
        <v>46278</v>
      </c>
      <c r="J106" s="5" t="inlineStr">
        <is>
          <t>Awards and nominations for the film, used for Filmfare and National Film Award wins.</t>
        </is>
      </c>
      <c r="K106" s="5" t="inlineStr">
        <is>
          <t>Reference encyclopedia</t>
        </is>
      </c>
      <c r="L106" s="5" t="inlineStr">
        <is>
          <t>C</t>
        </is>
      </c>
      <c r="M106" s="5" t="inlineStr">
        <is>
          <t>Downloaded as raw wikitext; wins cross-checked against the film article.</t>
        </is>
      </c>
    </row>
    <row r="107" ht="34" customHeight="1">
      <c r="A107" s="15" t="inlineStr">
        <is>
          <t>SOURCE-106</t>
        </is>
      </c>
      <c r="B107" s="5" t="inlineStr">
        <is>
          <t>FILM-057</t>
        </is>
      </c>
      <c r="C107" s="5" t="n"/>
      <c r="D107" s="5" t="inlineStr">
        <is>
          <t>List of accolades received by Kabhi Alvida Naa Kehna</t>
        </is>
      </c>
      <c r="E107" s="5" t="inlineStr">
        <is>
          <t>Wikipedia</t>
        </is>
      </c>
      <c r="F107" s="5" t="n"/>
      <c r="G107" s="5" t="n"/>
      <c r="H107" s="22" t="inlineStr">
        <is>
          <t>https://en.wikipedia.org/wiki/List_of_accolades_received_by_Kabhi_Alvida_Naa_Kehna</t>
        </is>
      </c>
      <c r="I107" s="16" t="n">
        <v>46278</v>
      </c>
      <c r="J107" s="5" t="inlineStr">
        <is>
          <t>Awards and nominations for the film, used for Filmfare and National Film Award wins.</t>
        </is>
      </c>
      <c r="K107" s="5" t="inlineStr">
        <is>
          <t>Reference encyclopedia</t>
        </is>
      </c>
      <c r="L107" s="5" t="inlineStr">
        <is>
          <t>C</t>
        </is>
      </c>
      <c r="M107" s="5" t="inlineStr">
        <is>
          <t>Downloaded as raw wikitext; wins cross-checked against the film article.</t>
        </is>
      </c>
    </row>
    <row r="108" ht="34" customHeight="1">
      <c r="A108" s="15" t="inlineStr">
        <is>
          <t>SOURCE-107</t>
        </is>
      </c>
      <c r="B108" s="5" t="inlineStr">
        <is>
          <t>FILM-060</t>
        </is>
      </c>
      <c r="C108" s="5" t="n"/>
      <c r="D108" s="5" t="inlineStr">
        <is>
          <t>List of accolades received by Chak De! India</t>
        </is>
      </c>
      <c r="E108" s="5" t="inlineStr">
        <is>
          <t>Wikipedia</t>
        </is>
      </c>
      <c r="F108" s="5" t="n"/>
      <c r="G108" s="5" t="n"/>
      <c r="H108" s="22" t="inlineStr">
        <is>
          <t>https://en.wikipedia.org/wiki/List_of_accolades_received_by_Chak_De!_India</t>
        </is>
      </c>
      <c r="I108" s="16" t="n">
        <v>46278</v>
      </c>
      <c r="J108" s="5" t="inlineStr">
        <is>
          <t>Awards and nominations for the film, used for Filmfare and National Film Award wins.</t>
        </is>
      </c>
      <c r="K108" s="5" t="inlineStr">
        <is>
          <t>Reference encyclopedia</t>
        </is>
      </c>
      <c r="L108" s="5" t="inlineStr">
        <is>
          <t>C</t>
        </is>
      </c>
      <c r="M108" s="5" t="inlineStr">
        <is>
          <t>Downloaded as raw wikitext; wins cross-checked against the film article.</t>
        </is>
      </c>
    </row>
    <row r="109" ht="34" customHeight="1">
      <c r="A109" s="15" t="inlineStr">
        <is>
          <t>SOURCE-108</t>
        </is>
      </c>
      <c r="B109" s="5" t="inlineStr">
        <is>
          <t>FILM-071</t>
        </is>
      </c>
      <c r="C109" s="5" t="n"/>
      <c r="D109" s="5" t="inlineStr">
        <is>
          <t>List of accolades received by My Name Is Khan</t>
        </is>
      </c>
      <c r="E109" s="5" t="inlineStr">
        <is>
          <t>Wikipedia</t>
        </is>
      </c>
      <c r="F109" s="5" t="n"/>
      <c r="G109" s="5" t="n"/>
      <c r="H109" s="22" t="inlineStr">
        <is>
          <t>https://en.wikipedia.org/wiki/List_of_accolades_received_by_My_Name_Is_Khan</t>
        </is>
      </c>
      <c r="I109" s="16" t="n">
        <v>46278</v>
      </c>
      <c r="J109" s="5" t="inlineStr">
        <is>
          <t>Awards and nominations for the film, used for Filmfare and National Film Award wins.</t>
        </is>
      </c>
      <c r="K109" s="5" t="inlineStr">
        <is>
          <t>Reference encyclopedia</t>
        </is>
      </c>
      <c r="L109" s="5" t="inlineStr">
        <is>
          <t>C</t>
        </is>
      </c>
      <c r="M109" s="5" t="inlineStr">
        <is>
          <t>Downloaded as raw wikitext; wins cross-checked against the film article.</t>
        </is>
      </c>
    </row>
    <row r="110" ht="34" customHeight="1">
      <c r="A110" s="15" t="inlineStr">
        <is>
          <t>SOURCE-109</t>
        </is>
      </c>
      <c r="B110" s="5" t="inlineStr">
        <is>
          <t>FILM-075</t>
        </is>
      </c>
      <c r="C110" s="5" t="n"/>
      <c r="D110" s="5" t="inlineStr">
        <is>
          <t>List of accolades received by Ra.One</t>
        </is>
      </c>
      <c r="E110" s="5" t="inlineStr">
        <is>
          <t>Wikipedia</t>
        </is>
      </c>
      <c r="F110" s="5" t="n"/>
      <c r="G110" s="5" t="n"/>
      <c r="H110" s="22" t="inlineStr">
        <is>
          <t>https://en.wikipedia.org/wiki/List_of_accolades_received_by_Ra.One</t>
        </is>
      </c>
      <c r="I110" s="16" t="n">
        <v>46278</v>
      </c>
      <c r="J110" s="5" t="inlineStr">
        <is>
          <t>Awards and nominations for the film, used for Filmfare and National Film Award wins.</t>
        </is>
      </c>
      <c r="K110" s="5" t="inlineStr">
        <is>
          <t>Reference encyclopedia</t>
        </is>
      </c>
      <c r="L110" s="5" t="inlineStr">
        <is>
          <t>C</t>
        </is>
      </c>
      <c r="M110" s="5" t="inlineStr">
        <is>
          <t>Downloaded as raw wikitext; wins cross-checked against the film article.</t>
        </is>
      </c>
    </row>
    <row r="111" ht="34" customHeight="1">
      <c r="A111" s="15" t="inlineStr">
        <is>
          <t>SOURCE-110</t>
        </is>
      </c>
      <c r="B111" s="5" t="inlineStr">
        <is>
          <t>FILM-079</t>
        </is>
      </c>
      <c r="C111" s="5" t="n"/>
      <c r="D111" s="5" t="inlineStr">
        <is>
          <t>List of accolades received by Chennai Express</t>
        </is>
      </c>
      <c r="E111" s="5" t="inlineStr">
        <is>
          <t>Wikipedia</t>
        </is>
      </c>
      <c r="F111" s="5" t="n"/>
      <c r="G111" s="5" t="n"/>
      <c r="H111" s="22" t="inlineStr">
        <is>
          <t>https://en.wikipedia.org/wiki/List_of_accolades_received_by_Chennai_Express</t>
        </is>
      </c>
      <c r="I111" s="16" t="n">
        <v>46278</v>
      </c>
      <c r="J111" s="5" t="inlineStr">
        <is>
          <t>Awards and nominations for the film, used for Filmfare and National Film Award wins.</t>
        </is>
      </c>
      <c r="K111" s="5" t="inlineStr">
        <is>
          <t>Reference encyclopedia</t>
        </is>
      </c>
      <c r="L111" s="5" t="inlineStr">
        <is>
          <t>C</t>
        </is>
      </c>
      <c r="M111" s="5" t="inlineStr">
        <is>
          <t>Downloaded as raw wikitext; wins cross-checked against the film article.</t>
        </is>
      </c>
    </row>
    <row r="112" ht="34" customHeight="1">
      <c r="A112" s="15" t="inlineStr">
        <is>
          <t>SOURCE-111</t>
        </is>
      </c>
      <c r="B112" s="5" t="inlineStr">
        <is>
          <t>FILM-001; FILM-013; FILM-026; FILM-042</t>
        </is>
      </c>
      <c r="C112" s="5" t="n"/>
      <c r="D112" s="5" t="inlineStr">
        <is>
          <t>Nadeem–Shravan</t>
        </is>
      </c>
      <c r="E112" s="5" t="inlineStr">
        <is>
          <t>Wikipedia</t>
        </is>
      </c>
      <c r="F112" s="5" t="n"/>
      <c r="G112" s="5" t="n"/>
      <c r="H112" s="22" t="inlineStr">
        <is>
          <t>https://en.wikipedia.org/wiki/Nadeem%E2%80%93Shravan</t>
        </is>
      </c>
      <c r="I112" s="16" t="n">
        <v>46278</v>
      </c>
      <c r="J112" s="5" t="inlineStr">
        <is>
          <t>Career background, major works and awards of Nadeem–Shravan.</t>
        </is>
      </c>
      <c r="K112" s="5" t="inlineStr">
        <is>
          <t>Reference encyclopedia</t>
        </is>
      </c>
      <c r="L112" s="5" t="inlineStr">
        <is>
          <t>C</t>
        </is>
      </c>
      <c r="M112" s="5" t="inlineStr">
        <is>
          <t>Downloaded as raw wikitext; used for the collaborator biography.</t>
        </is>
      </c>
    </row>
    <row r="113" ht="34" customHeight="1">
      <c r="A113" s="15" t="inlineStr">
        <is>
          <t>SOURCE-112</t>
        </is>
      </c>
      <c r="B113" s="5" t="inlineStr">
        <is>
          <t>FILM-001; FILM-036</t>
        </is>
      </c>
      <c r="C113" s="5" t="n"/>
      <c r="D113" s="5" t="inlineStr">
        <is>
          <t>Raj Kanwar</t>
        </is>
      </c>
      <c r="E113" s="5" t="inlineStr">
        <is>
          <t>Wikipedia</t>
        </is>
      </c>
      <c r="F113" s="5" t="n"/>
      <c r="G113" s="5" t="n"/>
      <c r="H113" s="22" t="inlineStr">
        <is>
          <t>https://en.wikipedia.org/wiki/Raj_Kanwar</t>
        </is>
      </c>
      <c r="I113" s="16" t="n">
        <v>46278</v>
      </c>
      <c r="J113" s="5" t="inlineStr">
        <is>
          <t>Career background, major works and awards of Raj Kanwar.</t>
        </is>
      </c>
      <c r="K113" s="5" t="inlineStr">
        <is>
          <t>Reference encyclopedia</t>
        </is>
      </c>
      <c r="L113" s="5" t="inlineStr">
        <is>
          <t>C</t>
        </is>
      </c>
      <c r="M113" s="5" t="inlineStr">
        <is>
          <t>Downloaded as raw wikitext; used for the collaborator biography.</t>
        </is>
      </c>
    </row>
    <row r="114" ht="34" customHeight="1">
      <c r="A114" s="15" t="inlineStr">
        <is>
          <t>SOURCE-113</t>
        </is>
      </c>
      <c r="B114" s="5" t="inlineStr">
        <is>
          <t>FILM-001; FILM-032; FILM-036; FILM-063</t>
        </is>
      </c>
      <c r="C114" s="5" t="n"/>
      <c r="D114" s="5" t="inlineStr">
        <is>
          <t>Surinder Sodhi</t>
        </is>
      </c>
      <c r="E114" s="5" t="inlineStr">
        <is>
          <t>Wikipedia</t>
        </is>
      </c>
      <c r="F114" s="5" t="n"/>
      <c r="G114" s="5" t="n"/>
      <c r="H114" s="22" t="inlineStr">
        <is>
          <t>https://en.wikipedia.org/wiki/Surinder_Sodhi</t>
        </is>
      </c>
      <c r="I114" s="16" t="n">
        <v>46278</v>
      </c>
      <c r="J114" s="5" t="inlineStr">
        <is>
          <t>Career background, major works and awards of Surinder Sodhi.</t>
        </is>
      </c>
      <c r="K114" s="5" t="inlineStr">
        <is>
          <t>Reference encyclopedia</t>
        </is>
      </c>
      <c r="L114" s="5" t="inlineStr">
        <is>
          <t>C</t>
        </is>
      </c>
      <c r="M114" s="5" t="inlineStr">
        <is>
          <t>Downloaded as raw wikitext; used for the collaborator biography.</t>
        </is>
      </c>
    </row>
    <row r="115" ht="79" customHeight="1">
      <c r="A115" s="15" t="inlineStr">
        <is>
          <t>SOURCE-114</t>
        </is>
      </c>
      <c r="B115" s="5" t="inlineStr">
        <is>
          <t>FILM-002; FILM-008; FILM-017; FILM-020; FILM-022; FILM-028; FILM-032; FILM-035; FILM-036; FILM-040; FILM-044; FILM-049</t>
        </is>
      </c>
      <c r="C115" s="5" t="n"/>
      <c r="D115" s="5" t="inlineStr">
        <is>
          <t>Anu Malik</t>
        </is>
      </c>
      <c r="E115" s="5" t="inlineStr">
        <is>
          <t>Wikipedia</t>
        </is>
      </c>
      <c r="F115" s="5" t="n"/>
      <c r="G115" s="5" t="n"/>
      <c r="H115" s="22" t="inlineStr">
        <is>
          <t>https://en.wikipedia.org/wiki/Anu_Malik</t>
        </is>
      </c>
      <c r="I115" s="16" t="n">
        <v>46278</v>
      </c>
      <c r="J115" s="5" t="inlineStr">
        <is>
          <t>Career background, major works and awards of Anu Malik.</t>
        </is>
      </c>
      <c r="K115" s="5" t="inlineStr">
        <is>
          <t>Reference encyclopedia</t>
        </is>
      </c>
      <c r="L115" s="5" t="inlineStr">
        <is>
          <t>C</t>
        </is>
      </c>
      <c r="M115" s="5" t="inlineStr">
        <is>
          <t>Downloaded as raw wikitext; used for the collaborator biography.</t>
        </is>
      </c>
    </row>
    <row r="116" ht="34" customHeight="1">
      <c r="A116" s="15" t="inlineStr">
        <is>
          <t>SOURCE-115</t>
        </is>
      </c>
      <c r="B116" s="5" t="inlineStr">
        <is>
          <t>FILM-002; FILM-026</t>
        </is>
      </c>
      <c r="C116" s="5" t="n"/>
      <c r="D116" s="5" t="inlineStr">
        <is>
          <t>Vanraj Bhatia</t>
        </is>
      </c>
      <c r="E116" s="5" t="inlineStr">
        <is>
          <t>Wikipedia</t>
        </is>
      </c>
      <c r="F116" s="5" t="n"/>
      <c r="G116" s="5" t="n"/>
      <c r="H116" s="22" t="inlineStr">
        <is>
          <t>https://en.wikipedia.org/wiki/Vanraj_Bhatia</t>
        </is>
      </c>
      <c r="I116" s="16" t="n">
        <v>46278</v>
      </c>
      <c r="J116" s="5" t="inlineStr">
        <is>
          <t>Career background, major works and awards of Vanraj Bhatia.</t>
        </is>
      </c>
      <c r="K116" s="5" t="inlineStr">
        <is>
          <t>Reference encyclopedia</t>
        </is>
      </c>
      <c r="L116" s="5" t="inlineStr">
        <is>
          <t>C</t>
        </is>
      </c>
      <c r="M116" s="5" t="inlineStr">
        <is>
          <t>Downloaded as raw wikitext; used for the collaborator biography.</t>
        </is>
      </c>
    </row>
    <row r="117" ht="49" customHeight="1">
      <c r="A117" s="15" t="inlineStr">
        <is>
          <t>SOURCE-116</t>
        </is>
      </c>
      <c r="B117" s="5" t="inlineStr">
        <is>
          <t>FILM-003; FILM-025; FILM-033; FILM-040; FILM-046; FILM-066</t>
        </is>
      </c>
      <c r="C117" s="5" t="n"/>
      <c r="D117" s="5" t="inlineStr">
        <is>
          <t>Aziz Mirza</t>
        </is>
      </c>
      <c r="E117" s="5" t="inlineStr">
        <is>
          <t>Wikipedia</t>
        </is>
      </c>
      <c r="F117" s="5" t="n"/>
      <c r="G117" s="5" t="n"/>
      <c r="H117" s="22" t="inlineStr">
        <is>
          <t>https://en.wikipedia.org/wiki/Aziz_Mirza</t>
        </is>
      </c>
      <c r="I117" s="16" t="n">
        <v>46278</v>
      </c>
      <c r="J117" s="5" t="inlineStr">
        <is>
          <t>Career background, major works and awards of Aziz Mirza.</t>
        </is>
      </c>
      <c r="K117" s="5" t="inlineStr">
        <is>
          <t>Reference encyclopedia</t>
        </is>
      </c>
      <c r="L117" s="5" t="inlineStr">
        <is>
          <t>C</t>
        </is>
      </c>
      <c r="M117" s="5" t="inlineStr">
        <is>
          <t>Downloaded as raw wikitext; used for the collaborator biography.</t>
        </is>
      </c>
    </row>
    <row r="118" ht="34" customHeight="1">
      <c r="A118" s="15" t="inlineStr">
        <is>
          <t>SOURCE-117</t>
        </is>
      </c>
      <c r="B118" s="5" t="inlineStr">
        <is>
          <t>FILM-003; FILM-013</t>
        </is>
      </c>
      <c r="C118" s="5" t="n"/>
      <c r="D118" s="5" t="inlineStr">
        <is>
          <t>G. P. Sippy</t>
        </is>
      </c>
      <c r="E118" s="5" t="inlineStr">
        <is>
          <t>Wikipedia</t>
        </is>
      </c>
      <c r="F118" s="5" t="n"/>
      <c r="G118" s="5" t="n"/>
      <c r="H118" s="22" t="inlineStr">
        <is>
          <t>https://en.wikipedia.org/wiki/G._P._Sippy</t>
        </is>
      </c>
      <c r="I118" s="16" t="n">
        <v>46278</v>
      </c>
      <c r="J118" s="5" t="inlineStr">
        <is>
          <t>Career background, major works and awards of G. P. Sippy.</t>
        </is>
      </c>
      <c r="K118" s="5" t="inlineStr">
        <is>
          <t>Reference encyclopedia</t>
        </is>
      </c>
      <c r="L118" s="5" t="inlineStr">
        <is>
          <t>C</t>
        </is>
      </c>
      <c r="M118" s="5" t="inlineStr">
        <is>
          <t>Downloaded as raw wikitext; used for the collaborator biography.</t>
        </is>
      </c>
    </row>
    <row r="119" ht="64" customHeight="1">
      <c r="A119" s="15" t="inlineStr">
        <is>
          <t>SOURCE-118</t>
        </is>
      </c>
      <c r="B119" s="5" t="inlineStr">
        <is>
          <t>FILM-003; FILM-010; FILM-016; FILM-025; FILM-031; FILM-033; FILM-037; FILM-041; FILM-046</t>
        </is>
      </c>
      <c r="C119" s="5" t="n"/>
      <c r="D119" s="5" t="inlineStr">
        <is>
          <t>Jatin–Lalit</t>
        </is>
      </c>
      <c r="E119" s="5" t="inlineStr">
        <is>
          <t>Wikipedia</t>
        </is>
      </c>
      <c r="F119" s="5" t="n"/>
      <c r="G119" s="5" t="n"/>
      <c r="H119" s="22" t="inlineStr">
        <is>
          <t>https://en.wikipedia.org/wiki/Jatin%E2%80%93Lalit</t>
        </is>
      </c>
      <c r="I119" s="16" t="n">
        <v>46278</v>
      </c>
      <c r="J119" s="5" t="inlineStr">
        <is>
          <t>Career background, major works and awards of Jatin–Lalit.</t>
        </is>
      </c>
      <c r="K119" s="5" t="inlineStr">
        <is>
          <t>Reference encyclopedia</t>
        </is>
      </c>
      <c r="L119" s="5" t="inlineStr">
        <is>
          <t>C</t>
        </is>
      </c>
      <c r="M119" s="5" t="inlineStr">
        <is>
          <t>Downloaded as raw wikitext; used for the collaborator biography.</t>
        </is>
      </c>
    </row>
    <row r="120" ht="34" customHeight="1">
      <c r="A120" s="15" t="inlineStr">
        <is>
          <t>SOURCE-119</t>
        </is>
      </c>
      <c r="B120" s="5" t="inlineStr">
        <is>
          <t>FILM-004; FILM-011; FILM-021</t>
        </is>
      </c>
      <c r="C120" s="5" t="n"/>
      <c r="D120" s="5" t="inlineStr">
        <is>
          <t>Anand–Milind</t>
        </is>
      </c>
      <c r="E120" s="5" t="inlineStr">
        <is>
          <t>Wikipedia</t>
        </is>
      </c>
      <c r="F120" s="5" t="n"/>
      <c r="G120" s="5" t="n"/>
      <c r="H120" s="22" t="inlineStr">
        <is>
          <t>https://en.wikipedia.org/wiki/Anand%E2%80%93Milind</t>
        </is>
      </c>
      <c r="I120" s="16" t="n">
        <v>46278</v>
      </c>
      <c r="J120" s="5" t="inlineStr">
        <is>
          <t>Career background, major works and awards of Anand–Milind.</t>
        </is>
      </c>
      <c r="K120" s="5" t="inlineStr">
        <is>
          <t>Reference encyclopedia</t>
        </is>
      </c>
      <c r="L120" s="5" t="inlineStr">
        <is>
          <t>C</t>
        </is>
      </c>
      <c r="M120" s="5" t="inlineStr">
        <is>
          <t>Downloaded as raw wikitext; used for the collaborator biography.</t>
        </is>
      </c>
    </row>
    <row r="121" ht="34" customHeight="1">
      <c r="A121" s="15" t="inlineStr">
        <is>
          <t>SOURCE-120</t>
        </is>
      </c>
      <c r="B121" s="5" t="inlineStr">
        <is>
          <t>FILM-005; FILM-012; FILM-024; FILM-064</t>
        </is>
      </c>
      <c r="C121" s="5" t="n"/>
      <c r="D121" s="5" t="inlineStr">
        <is>
          <t>Rajesh Roshan</t>
        </is>
      </c>
      <c r="E121" s="5" t="inlineStr">
        <is>
          <t>Wikipedia</t>
        </is>
      </c>
      <c r="F121" s="5" t="n"/>
      <c r="G121" s="5" t="n"/>
      <c r="H121" s="22" t="inlineStr">
        <is>
          <t>https://en.wikipedia.org/wiki/Rajesh_Roshan</t>
        </is>
      </c>
      <c r="I121" s="16" t="n">
        <v>46278</v>
      </c>
      <c r="J121" s="5" t="inlineStr">
        <is>
          <t>Career background, major works and awards of Rajesh Roshan.</t>
        </is>
      </c>
      <c r="K121" s="5" t="inlineStr">
        <is>
          <t>Reference encyclopedia</t>
        </is>
      </c>
      <c r="L121" s="5" t="inlineStr">
        <is>
          <t>C</t>
        </is>
      </c>
      <c r="M121" s="5" t="inlineStr">
        <is>
          <t>Downloaded as raw wikitext; used for the collaborator biography.</t>
        </is>
      </c>
    </row>
    <row r="122" ht="34" customHeight="1">
      <c r="A122" s="15" t="inlineStr">
        <is>
          <t>SOURCE-121</t>
        </is>
      </c>
      <c r="B122" s="5" t="inlineStr">
        <is>
          <t>FILM-005; FILM-012; FILM-024; FILM-064</t>
        </is>
      </c>
      <c r="C122" s="5" t="n"/>
      <c r="D122" s="5" t="inlineStr">
        <is>
          <t>Rakesh Roshan</t>
        </is>
      </c>
      <c r="E122" s="5" t="inlineStr">
        <is>
          <t>Wikipedia</t>
        </is>
      </c>
      <c r="F122" s="5" t="n"/>
      <c r="G122" s="5" t="n"/>
      <c r="H122" s="22" t="inlineStr">
        <is>
          <t>https://en.wikipedia.org/wiki/Rakesh_Roshan</t>
        </is>
      </c>
      <c r="I122" s="16" t="n">
        <v>46278</v>
      </c>
      <c r="J122" s="5" t="inlineStr">
        <is>
          <t>Career background, major works and awards of Rakesh Roshan.</t>
        </is>
      </c>
      <c r="K122" s="5" t="inlineStr">
        <is>
          <t>Reference encyclopedia</t>
        </is>
      </c>
      <c r="L122" s="5" t="inlineStr">
        <is>
          <t>C</t>
        </is>
      </c>
      <c r="M122" s="5" t="inlineStr">
        <is>
          <t>Downloaded as raw wikitext; used for the collaborator biography.</t>
        </is>
      </c>
    </row>
    <row r="123" ht="34" customHeight="1">
      <c r="A123" s="15" t="inlineStr">
        <is>
          <t>SOURCE-122</t>
        </is>
      </c>
      <c r="B123" s="5" t="inlineStr">
        <is>
          <t>FILM-006; FILM-015</t>
        </is>
      </c>
      <c r="C123" s="5" t="n"/>
      <c r="D123" s="5" t="inlineStr">
        <is>
          <t>Ketan Mehta</t>
        </is>
      </c>
      <c r="E123" s="5" t="inlineStr">
        <is>
          <t>Wikipedia</t>
        </is>
      </c>
      <c r="F123" s="5" t="n"/>
      <c r="G123" s="5" t="n"/>
      <c r="H123" s="22" t="inlineStr">
        <is>
          <t>https://en.wikipedia.org/wiki/Ketan_Mehta</t>
        </is>
      </c>
      <c r="I123" s="16" t="n">
        <v>46278</v>
      </c>
      <c r="J123" s="5" t="inlineStr">
        <is>
          <t>Career background, major works and awards of Ketan Mehta.</t>
        </is>
      </c>
      <c r="K123" s="5" t="inlineStr">
        <is>
          <t>Reference encyclopedia</t>
        </is>
      </c>
      <c r="L123" s="5" t="inlineStr">
        <is>
          <t>C</t>
        </is>
      </c>
      <c r="M123" s="5" t="inlineStr">
        <is>
          <t>Downloaded as raw wikitext; used for the collaborator biography.</t>
        </is>
      </c>
    </row>
    <row r="124" ht="34" customHeight="1">
      <c r="A124" s="15" t="inlineStr">
        <is>
          <t>SOURCE-123</t>
        </is>
      </c>
      <c r="B124" s="5" t="inlineStr">
        <is>
          <t>FILM-007; FILM-051</t>
        </is>
      </c>
      <c r="C124" s="5" t="n"/>
      <c r="D124" s="5" t="inlineStr">
        <is>
          <t>Ashutosh Gowariker</t>
        </is>
      </c>
      <c r="E124" s="5" t="inlineStr">
        <is>
          <t>Wikipedia</t>
        </is>
      </c>
      <c r="F124" s="5" t="n"/>
      <c r="G124" s="5" t="n"/>
      <c r="H124" s="22" t="inlineStr">
        <is>
          <t>https://en.wikipedia.org/wiki/Ashutosh_Gowariker</t>
        </is>
      </c>
      <c r="I124" s="16" t="n">
        <v>46278</v>
      </c>
      <c r="J124" s="5" t="inlineStr">
        <is>
          <t>Career background, major works and awards of Ashutosh Gowariker.</t>
        </is>
      </c>
      <c r="K124" s="5" t="inlineStr">
        <is>
          <t>Reference encyclopedia</t>
        </is>
      </c>
      <c r="L124" s="5" t="inlineStr">
        <is>
          <t>C</t>
        </is>
      </c>
      <c r="M124" s="5" t="inlineStr">
        <is>
          <t>Downloaded as raw wikitext; used for the collaborator biography.</t>
        </is>
      </c>
    </row>
    <row r="125" ht="34" customHeight="1">
      <c r="A125" s="15" t="inlineStr">
        <is>
          <t>SOURCE-124</t>
        </is>
      </c>
      <c r="B125" s="5" t="inlineStr">
        <is>
          <t>FILM-008; FILM-032</t>
        </is>
      </c>
      <c r="C125" s="5" t="n"/>
      <c r="D125" s="5" t="inlineStr">
        <is>
          <t>Abbas–Mustan</t>
        </is>
      </c>
      <c r="E125" s="5" t="inlineStr">
        <is>
          <t>Wikipedia</t>
        </is>
      </c>
      <c r="F125" s="5" t="n"/>
      <c r="G125" s="5" t="n"/>
      <c r="H125" s="22" t="inlineStr">
        <is>
          <t>https://en.wikipedia.org/wiki/Abbas%E2%80%93Mustan</t>
        </is>
      </c>
      <c r="I125" s="16" t="n">
        <v>46278</v>
      </c>
      <c r="J125" s="5" t="inlineStr">
        <is>
          <t>Career background, major works and awards of Abbas–Mustan.</t>
        </is>
      </c>
      <c r="K125" s="5" t="inlineStr">
        <is>
          <t>Reference encyclopedia</t>
        </is>
      </c>
      <c r="L125" s="5" t="inlineStr">
        <is>
          <t>C</t>
        </is>
      </c>
      <c r="M125" s="5" t="inlineStr">
        <is>
          <t>Downloaded as raw wikitext; used for the collaborator biography.</t>
        </is>
      </c>
    </row>
    <row r="126" ht="49" customHeight="1">
      <c r="A126" s="15" t="inlineStr">
        <is>
          <t>SOURCE-125</t>
        </is>
      </c>
      <c r="B126" s="5" t="inlineStr">
        <is>
          <t>FILM-008; FILM-009; FILM-013; FILM-016; FILM-020; FILM-026; FILM-028</t>
        </is>
      </c>
      <c r="C126" s="5" t="n"/>
      <c r="D126" s="5" t="inlineStr">
        <is>
          <t>Javed Siddiqui</t>
        </is>
      </c>
      <c r="E126" s="5" t="inlineStr">
        <is>
          <t>Wikipedia</t>
        </is>
      </c>
      <c r="F126" s="5" t="n"/>
      <c r="G126" s="5" t="n"/>
      <c r="H126" s="22" t="inlineStr">
        <is>
          <t>https://en.wikipedia.org/wiki/Javed_Siddiqui</t>
        </is>
      </c>
      <c r="I126" s="16" t="n">
        <v>46278</v>
      </c>
      <c r="J126" s="5" t="inlineStr">
        <is>
          <t>Career background, major works and awards of Javed Siddiqui.</t>
        </is>
      </c>
      <c r="K126" s="5" t="inlineStr">
        <is>
          <t>Reference encyclopedia</t>
        </is>
      </c>
      <c r="L126" s="5" t="inlineStr">
        <is>
          <t>C</t>
        </is>
      </c>
      <c r="M126" s="5" t="inlineStr">
        <is>
          <t>Downloaded as raw wikitext; used for the collaborator biography.</t>
        </is>
      </c>
    </row>
    <row r="127" ht="34" customHeight="1">
      <c r="A127" s="15" t="inlineStr">
        <is>
          <t>SOURCE-126</t>
        </is>
      </c>
      <c r="B127" s="5" t="inlineStr">
        <is>
          <t>FILM-008; FILM-013; FILM-020; FILM-028; FILM-046</t>
        </is>
      </c>
      <c r="C127" s="5" t="n"/>
      <c r="D127" s="5" t="inlineStr">
        <is>
          <t>Robin Bhatt</t>
        </is>
      </c>
      <c r="E127" s="5" t="inlineStr">
        <is>
          <t>Wikipedia</t>
        </is>
      </c>
      <c r="F127" s="5" t="n"/>
      <c r="G127" s="5" t="n"/>
      <c r="H127" s="22" t="inlineStr">
        <is>
          <t>https://en.wikipedia.org/wiki/Robin_Bhatt</t>
        </is>
      </c>
      <c r="I127" s="16" t="n">
        <v>46278</v>
      </c>
      <c r="J127" s="5" t="inlineStr">
        <is>
          <t>Career background, major works and awards of Robin Bhatt.</t>
        </is>
      </c>
      <c r="K127" s="5" t="inlineStr">
        <is>
          <t>Reference encyclopedia</t>
        </is>
      </c>
      <c r="L127" s="5" t="inlineStr">
        <is>
          <t>C</t>
        </is>
      </c>
      <c r="M127" s="5" t="inlineStr">
        <is>
          <t>Downloaded as raw wikitext; used for the collaborator biography.</t>
        </is>
      </c>
    </row>
    <row r="128" ht="49" customHeight="1">
      <c r="A128" s="15" t="inlineStr">
        <is>
          <t>SOURCE-127</t>
        </is>
      </c>
      <c r="B128" s="5" t="inlineStr">
        <is>
          <t>FILM-008; FILM-025; FILM-032; FILM-035; FILM-049</t>
        </is>
      </c>
      <c r="C128" s="5" t="n"/>
      <c r="D128" s="5" t="inlineStr">
        <is>
          <t>Ishtar Music</t>
        </is>
      </c>
      <c r="E128" s="5" t="inlineStr">
        <is>
          <t>Wikipedia</t>
        </is>
      </c>
      <c r="F128" s="5" t="n"/>
      <c r="G128" s="5" t="n"/>
      <c r="H128" s="22" t="inlineStr">
        <is>
          <t>https://en.wikipedia.org/wiki/Ishtar_Music</t>
        </is>
      </c>
      <c r="I128" s="16" t="n">
        <v>46278</v>
      </c>
      <c r="J128" s="5" t="inlineStr">
        <is>
          <t>Career background, major works and awards of Venus Movies.</t>
        </is>
      </c>
      <c r="K128" s="5" t="inlineStr">
        <is>
          <t>Reference encyclopedia</t>
        </is>
      </c>
      <c r="L128" s="5" t="inlineStr">
        <is>
          <t>C</t>
        </is>
      </c>
      <c r="M128" s="5" t="inlineStr">
        <is>
          <t>Downloaded as raw wikitext; used for the collaborator biography. The article is titled Ishtar Music.</t>
        </is>
      </c>
    </row>
    <row r="129" ht="49" customHeight="1">
      <c r="A129" s="15" t="inlineStr">
        <is>
          <t>SOURCE-128</t>
        </is>
      </c>
      <c r="B129" s="5" t="inlineStr">
        <is>
          <t>FILM-009; FILM-016; FILM-027; FILM-037; FILM-050; FILM-067; FILM-077</t>
        </is>
      </c>
      <c r="C129" s="5" t="n"/>
      <c r="D129" s="5" t="inlineStr">
        <is>
          <t>Yash Chopra</t>
        </is>
      </c>
      <c r="E129" s="5" t="inlineStr">
        <is>
          <t>Wikipedia</t>
        </is>
      </c>
      <c r="F129" s="5" t="n"/>
      <c r="G129" s="5" t="n"/>
      <c r="H129" s="22" t="inlineStr">
        <is>
          <t>https://en.wikipedia.org/wiki/Yash_Chopra</t>
        </is>
      </c>
      <c r="I129" s="16" t="n">
        <v>46278</v>
      </c>
      <c r="J129" s="5" t="inlineStr">
        <is>
          <t>Career background, major works and awards of Yash Chopra.</t>
        </is>
      </c>
      <c r="K129" s="5" t="inlineStr">
        <is>
          <t>Reference encyclopedia</t>
        </is>
      </c>
      <c r="L129" s="5" t="inlineStr">
        <is>
          <t>C</t>
        </is>
      </c>
      <c r="M129" s="5" t="inlineStr">
        <is>
          <t>Downloaded as raw wikitext; used for the collaborator biography.</t>
        </is>
      </c>
    </row>
    <row r="130" ht="79" customHeight="1">
      <c r="A130" s="15" t="inlineStr">
        <is>
          <t>SOURCE-129</t>
        </is>
      </c>
      <c r="B130" s="5" t="inlineStr">
        <is>
          <t>FILM-009; FILM-016; FILM-027; FILM-037; FILM-045; FILM-050; FILM-060; FILM-067; FILM-077; FILM-083; FILM-094; FILM-096</t>
        </is>
      </c>
      <c r="C130" s="5" t="n"/>
      <c r="D130" s="5" t="inlineStr">
        <is>
          <t>Yash Raj Films</t>
        </is>
      </c>
      <c r="E130" s="5" t="inlineStr">
        <is>
          <t>Wikipedia</t>
        </is>
      </c>
      <c r="F130" s="5" t="n"/>
      <c r="G130" s="5" t="n"/>
      <c r="H130" s="22" t="inlineStr">
        <is>
          <t>https://en.wikipedia.org/wiki/Yash_Raj_Films</t>
        </is>
      </c>
      <c r="I130" s="16" t="n">
        <v>46278</v>
      </c>
      <c r="J130" s="5" t="inlineStr">
        <is>
          <t>Career background, major works and awards of Yash Raj Films.</t>
        </is>
      </c>
      <c r="K130" s="5" t="inlineStr">
        <is>
          <t>Reference encyclopedia</t>
        </is>
      </c>
      <c r="L130" s="5" t="inlineStr">
        <is>
          <t>C</t>
        </is>
      </c>
      <c r="M130" s="5" t="inlineStr">
        <is>
          <t>Downloaded as raw wikitext; used for the collaborator biography.</t>
        </is>
      </c>
    </row>
    <row r="131" ht="34" customHeight="1">
      <c r="A131" s="15" t="inlineStr">
        <is>
          <t>SOURCE-130</t>
        </is>
      </c>
      <c r="B131" s="5" t="inlineStr">
        <is>
          <t>FILM-010</t>
        </is>
      </c>
      <c r="C131" s="5" t="n"/>
      <c r="D131" s="5" t="inlineStr">
        <is>
          <t>Kundan Shah</t>
        </is>
      </c>
      <c r="E131" s="5" t="inlineStr">
        <is>
          <t>Wikipedia</t>
        </is>
      </c>
      <c r="F131" s="5" t="n"/>
      <c r="G131" s="5" t="n"/>
      <c r="H131" s="22" t="inlineStr">
        <is>
          <t>https://en.wikipedia.org/wiki/Kundan_Shah</t>
        </is>
      </c>
      <c r="I131" s="16" t="n">
        <v>46278</v>
      </c>
      <c r="J131" s="5" t="inlineStr">
        <is>
          <t>Career background, major works and awards of Kundan Shah.</t>
        </is>
      </c>
      <c r="K131" s="5" t="inlineStr">
        <is>
          <t>Reference encyclopedia</t>
        </is>
      </c>
      <c r="L131" s="5" t="inlineStr">
        <is>
          <t>C</t>
        </is>
      </c>
      <c r="M131" s="5" t="inlineStr">
        <is>
          <t>Downloaded as raw wikitext; used for the collaborator biography.</t>
        </is>
      </c>
    </row>
    <row r="132" ht="34" customHeight="1">
      <c r="A132" s="15" t="inlineStr">
        <is>
          <t>SOURCE-131</t>
        </is>
      </c>
      <c r="B132" s="5" t="inlineStr">
        <is>
          <t>FILM-013</t>
        </is>
      </c>
      <c r="C132" s="5" t="n"/>
      <c r="D132" s="5" t="inlineStr">
        <is>
          <t>Ramesh Sippy</t>
        </is>
      </c>
      <c r="E132" s="5" t="inlineStr">
        <is>
          <t>Wikipedia</t>
        </is>
      </c>
      <c r="F132" s="5" t="n"/>
      <c r="G132" s="5" t="n"/>
      <c r="H132" s="22" t="inlineStr">
        <is>
          <t>https://en.wikipedia.org/wiki/Ramesh_Sippy</t>
        </is>
      </c>
      <c r="I132" s="16" t="n">
        <v>46278</v>
      </c>
      <c r="J132" s="5" t="inlineStr">
        <is>
          <t>Career background, major works and awards of Ramesh Sippy.</t>
        </is>
      </c>
      <c r="K132" s="5" t="inlineStr">
        <is>
          <t>Reference encyclopedia</t>
        </is>
      </c>
      <c r="L132" s="5" t="inlineStr">
        <is>
          <t>C</t>
        </is>
      </c>
      <c r="M132" s="5" t="inlineStr">
        <is>
          <t>Downloaded as raw wikitext; used for the collaborator biography.</t>
        </is>
      </c>
    </row>
    <row r="133" ht="34" customHeight="1">
      <c r="A133" s="15" t="inlineStr">
        <is>
          <t>SOURCE-132</t>
        </is>
      </c>
      <c r="B133" s="5" t="inlineStr">
        <is>
          <t>FILM-015; FILM-049</t>
        </is>
      </c>
      <c r="C133" s="5" t="n"/>
      <c r="D133" s="5" t="inlineStr">
        <is>
          <t>Ranjit Barot</t>
        </is>
      </c>
      <c r="E133" s="5" t="inlineStr">
        <is>
          <t>Wikipedia</t>
        </is>
      </c>
      <c r="F133" s="5" t="n"/>
      <c r="G133" s="5" t="n"/>
      <c r="H133" s="22" t="inlineStr">
        <is>
          <t>https://en.wikipedia.org/wiki/Ranjit_Barot</t>
        </is>
      </c>
      <c r="I133" s="16" t="n">
        <v>46278</v>
      </c>
      <c r="J133" s="5" t="inlineStr">
        <is>
          <t>Career background, major works and awards of Ranjit Barot.</t>
        </is>
      </c>
      <c r="K133" s="5" t="inlineStr">
        <is>
          <t>Reference encyclopedia</t>
        </is>
      </c>
      <c r="L133" s="5" t="inlineStr">
        <is>
          <t>C</t>
        </is>
      </c>
      <c r="M133" s="5" t="inlineStr">
        <is>
          <t>Downloaded as raw wikitext; used for the collaborator biography.</t>
        </is>
      </c>
    </row>
    <row r="134" ht="64" customHeight="1">
      <c r="A134" s="15" t="inlineStr">
        <is>
          <t>SOURCE-133</t>
        </is>
      </c>
      <c r="B134" s="5" t="inlineStr">
        <is>
          <t>FILM-016; FILM-027; FILM-037; FILM-050; FILM-060; FILM-067; FILM-077; FILM-083; FILM-094; FILM-096</t>
        </is>
      </c>
      <c r="C134" s="5" t="n"/>
      <c r="D134" s="5" t="inlineStr">
        <is>
          <t>Aditya Chopra</t>
        </is>
      </c>
      <c r="E134" s="5" t="inlineStr">
        <is>
          <t>Wikipedia</t>
        </is>
      </c>
      <c r="F134" s="5" t="n"/>
      <c r="G134" s="5" t="n"/>
      <c r="H134" s="22" t="inlineStr">
        <is>
          <t>https://en.wikipedia.org/wiki/Aditya_Chopra</t>
        </is>
      </c>
      <c r="I134" s="16" t="n">
        <v>46278</v>
      </c>
      <c r="J134" s="5" t="inlineStr">
        <is>
          <t>Career background, major works and awards of Aditya Chopra.</t>
        </is>
      </c>
      <c r="K134" s="5" t="inlineStr">
        <is>
          <t>Reference encyclopedia</t>
        </is>
      </c>
      <c r="L134" s="5" t="inlineStr">
        <is>
          <t>C</t>
        </is>
      </c>
      <c r="M134" s="5" t="inlineStr">
        <is>
          <t>Downloaded as raw wikitext; used for the collaborator biography.</t>
        </is>
      </c>
    </row>
    <row r="135" ht="34" customHeight="1">
      <c r="A135" s="15" t="inlineStr">
        <is>
          <t>SOURCE-134</t>
        </is>
      </c>
      <c r="B135" s="5" t="inlineStr">
        <is>
          <t>FILM-018; FILM-026</t>
        </is>
      </c>
      <c r="C135" s="5" t="n"/>
      <c r="D135" s="5" t="inlineStr">
        <is>
          <t>Subhash Ghai</t>
        </is>
      </c>
      <c r="E135" s="5" t="inlineStr">
        <is>
          <t>Wikipedia</t>
        </is>
      </c>
      <c r="F135" s="5" t="n"/>
      <c r="G135" s="5" t="n"/>
      <c r="H135" s="22" t="inlineStr">
        <is>
          <t>https://en.wikipedia.org/wiki/Subhash_Ghai</t>
        </is>
      </c>
      <c r="I135" s="16" t="n">
        <v>46278</v>
      </c>
      <c r="J135" s="5" t="inlineStr">
        <is>
          <t>Career background, major works and awards of Subhash Ghai.</t>
        </is>
      </c>
      <c r="K135" s="5" t="inlineStr">
        <is>
          <t>Reference encyclopedia</t>
        </is>
      </c>
      <c r="L135" s="5" t="inlineStr">
        <is>
          <t>C</t>
        </is>
      </c>
      <c r="M135" s="5" t="inlineStr">
        <is>
          <t>Downloaded as raw wikitext; used for the collaborator biography.</t>
        </is>
      </c>
    </row>
    <row r="136" ht="34" customHeight="1">
      <c r="A136" s="15" t="inlineStr">
        <is>
          <t>SOURCE-135</t>
        </is>
      </c>
      <c r="B136" s="5" t="inlineStr">
        <is>
          <t>FILM-019; FILM-042; FILM-048</t>
        </is>
      </c>
      <c r="C136" s="5" t="n"/>
      <c r="D136" s="5" t="inlineStr">
        <is>
          <t>Nikhil–Vinay</t>
        </is>
      </c>
      <c r="E136" s="5" t="inlineStr">
        <is>
          <t>Wikipedia</t>
        </is>
      </c>
      <c r="F136" s="5" t="n"/>
      <c r="G136" s="5" t="n"/>
      <c r="H136" s="22" t="inlineStr">
        <is>
          <t>https://en.wikipedia.org/wiki/Nikhil%E2%80%93Vinay</t>
        </is>
      </c>
      <c r="I136" s="16" t="n">
        <v>46278</v>
      </c>
      <c r="J136" s="5" t="inlineStr">
        <is>
          <t>Career background, major works and awards of Nikhil–Vinay.</t>
        </is>
      </c>
      <c r="K136" s="5" t="inlineStr">
        <is>
          <t>Reference encyclopedia</t>
        </is>
      </c>
      <c r="L136" s="5" t="inlineStr">
        <is>
          <t>C</t>
        </is>
      </c>
      <c r="M136" s="5" t="inlineStr">
        <is>
          <t>Downloaded as raw wikitext; used for the collaborator biography.</t>
        </is>
      </c>
    </row>
    <row r="137" ht="34" customHeight="1">
      <c r="A137" s="15" t="inlineStr">
        <is>
          <t>SOURCE-136</t>
        </is>
      </c>
      <c r="B137" s="5" t="inlineStr">
        <is>
          <t>FILM-020; FILM-023; FILM-028</t>
        </is>
      </c>
      <c r="C137" s="5" t="n"/>
      <c r="D137" s="5" t="inlineStr">
        <is>
          <t>Mahesh Bhatt</t>
        </is>
      </c>
      <c r="E137" s="5" t="inlineStr">
        <is>
          <t>Wikipedia</t>
        </is>
      </c>
      <c r="F137" s="5" t="n"/>
      <c r="G137" s="5" t="n"/>
      <c r="H137" s="22" t="inlineStr">
        <is>
          <t>https://en.wikipedia.org/wiki/Mahesh_Bhatt</t>
        </is>
      </c>
      <c r="I137" s="16" t="n">
        <v>46278</v>
      </c>
      <c r="J137" s="5" t="inlineStr">
        <is>
          <t>Career background, major works and awards of Mahesh Bhatt.</t>
        </is>
      </c>
      <c r="K137" s="5" t="inlineStr">
        <is>
          <t>Reference encyclopedia</t>
        </is>
      </c>
      <c r="L137" s="5" t="inlineStr">
        <is>
          <t>C</t>
        </is>
      </c>
      <c r="M137" s="5" t="inlineStr">
        <is>
          <t>Downloaded as raw wikitext; used for the collaborator biography.</t>
        </is>
      </c>
    </row>
    <row r="138" ht="34" customHeight="1">
      <c r="A138" s="15" t="inlineStr">
        <is>
          <t>SOURCE-137</t>
        </is>
      </c>
      <c r="B138" s="5" t="inlineStr">
        <is>
          <t>FILM-023; FILM-042</t>
        </is>
      </c>
      <c r="C138" s="5" t="n"/>
      <c r="D138" s="5" t="inlineStr">
        <is>
          <t>Bappi Lahiri</t>
        </is>
      </c>
      <c r="E138" s="5" t="inlineStr">
        <is>
          <t>Wikipedia</t>
        </is>
      </c>
      <c r="F138" s="5" t="n"/>
      <c r="G138" s="5" t="n"/>
      <c r="H138" s="22" t="inlineStr">
        <is>
          <t>https://en.wikipedia.org/wiki/Bappi_Lahiri</t>
        </is>
      </c>
      <c r="I138" s="16" t="n">
        <v>46278</v>
      </c>
      <c r="J138" s="5" t="inlineStr">
        <is>
          <t>Career background, major works and awards of Bappi Lahiri.</t>
        </is>
      </c>
      <c r="K138" s="5" t="inlineStr">
        <is>
          <t>Reference encyclopedia</t>
        </is>
      </c>
      <c r="L138" s="5" t="inlineStr">
        <is>
          <t>C</t>
        </is>
      </c>
      <c r="M138" s="5" t="inlineStr">
        <is>
          <t>Downloaded as raw wikitext; used for the collaborator biography.</t>
        </is>
      </c>
    </row>
    <row r="139" ht="79" customHeight="1">
      <c r="A139" s="15" t="inlineStr">
        <is>
          <t>SOURCE-138</t>
        </is>
      </c>
      <c r="B139" s="5" t="inlineStr">
        <is>
          <t>FILM-025; FILM-028; FILM-046; FILM-047; FILM-050; FILM-051; FILM-058; FILM-068; FILM-074; FILM-076; FILM-097</t>
        </is>
      </c>
      <c r="C139" s="5" t="n"/>
      <c r="D139" s="5" t="inlineStr">
        <is>
          <t>Javed Akhtar</t>
        </is>
      </c>
      <c r="E139" s="5" t="inlineStr">
        <is>
          <t>Wikipedia</t>
        </is>
      </c>
      <c r="F139" s="5" t="n"/>
      <c r="G139" s="5" t="n"/>
      <c r="H139" s="22" t="inlineStr">
        <is>
          <t>https://en.wikipedia.org/wiki/Javed_Akhtar</t>
        </is>
      </c>
      <c r="I139" s="16" t="n">
        <v>46278</v>
      </c>
      <c r="J139" s="5" t="inlineStr">
        <is>
          <t>Career background, major works and awards of Javed Akhtar.</t>
        </is>
      </c>
      <c r="K139" s="5" t="inlineStr">
        <is>
          <t>Reference encyclopedia</t>
        </is>
      </c>
      <c r="L139" s="5" t="inlineStr">
        <is>
          <t>C</t>
        </is>
      </c>
      <c r="M139" s="5" t="inlineStr">
        <is>
          <t>Downloaded as raw wikitext; used for the collaborator biography.</t>
        </is>
      </c>
    </row>
    <row r="140" ht="34" customHeight="1">
      <c r="A140" s="15" t="inlineStr">
        <is>
          <t>SOURCE-139</t>
        </is>
      </c>
      <c r="B140" s="5" t="inlineStr">
        <is>
          <t>FILM-027; FILM-042</t>
        </is>
      </c>
      <c r="C140" s="5" t="n"/>
      <c r="D140" s="5" t="inlineStr">
        <is>
          <t>Uttam Singh</t>
        </is>
      </c>
      <c r="E140" s="5" t="inlineStr">
        <is>
          <t>Wikipedia</t>
        </is>
      </c>
      <c r="F140" s="5" t="n"/>
      <c r="G140" s="5" t="n"/>
      <c r="H140" s="22" t="inlineStr">
        <is>
          <t>https://en.wikipedia.org/wiki/Uttam_Singh</t>
        </is>
      </c>
      <c r="I140" s="16" t="n">
        <v>46278</v>
      </c>
      <c r="J140" s="5" t="inlineStr">
        <is>
          <t>Career background, major works and awards of Uttam Singh.</t>
        </is>
      </c>
      <c r="K140" s="5" t="inlineStr">
        <is>
          <t>Reference encyclopedia</t>
        </is>
      </c>
      <c r="L140" s="5" t="inlineStr">
        <is>
          <t>C</t>
        </is>
      </c>
      <c r="M140" s="5" t="inlineStr">
        <is>
          <t>Downloaded as raw wikitext; used for the collaborator biography.</t>
        </is>
      </c>
    </row>
    <row r="141" ht="64" customHeight="1">
      <c r="A141" s="15" t="inlineStr">
        <is>
          <t>SOURCE-140</t>
        </is>
      </c>
      <c r="B141" s="5" t="inlineStr">
        <is>
          <t>FILM-028; FILM-031; FILM-041; FILM-047; FILM-053; FILM-057; FILM-071; FILM-084; FILM-085; FILM-093</t>
        </is>
      </c>
      <c r="C141" s="5" t="n"/>
      <c r="D141" s="5" t="inlineStr">
        <is>
          <t>Dharma Productions</t>
        </is>
      </c>
      <c r="E141" s="5" t="inlineStr">
        <is>
          <t>Wikipedia</t>
        </is>
      </c>
      <c r="F141" s="5" t="n"/>
      <c r="G141" s="5" t="n"/>
      <c r="H141" s="22" t="inlineStr">
        <is>
          <t>https://en.wikipedia.org/wiki/Dharma_Productions</t>
        </is>
      </c>
      <c r="I141" s="16" t="n">
        <v>46278</v>
      </c>
      <c r="J141" s="5" t="inlineStr">
        <is>
          <t>Career background, major works and awards of Dharma Productions.</t>
        </is>
      </c>
      <c r="K141" s="5" t="inlineStr">
        <is>
          <t>Reference encyclopedia</t>
        </is>
      </c>
      <c r="L141" s="5" t="inlineStr">
        <is>
          <t>C</t>
        </is>
      </c>
      <c r="M141" s="5" t="inlineStr">
        <is>
          <t>Downloaded as raw wikitext; used for the collaborator biography.</t>
        </is>
      </c>
    </row>
    <row r="142" ht="34" customHeight="1">
      <c r="A142" s="15" t="inlineStr">
        <is>
          <t>SOURCE-141</t>
        </is>
      </c>
      <c r="B142" s="5" t="inlineStr">
        <is>
          <t>FILM-028; FILM-031; FILM-041; FILM-047</t>
        </is>
      </c>
      <c r="C142" s="5" t="n"/>
      <c r="D142" s="5" t="inlineStr">
        <is>
          <t>Yash Johar</t>
        </is>
      </c>
      <c r="E142" s="5" t="inlineStr">
        <is>
          <t>Wikipedia</t>
        </is>
      </c>
      <c r="F142" s="5" t="n"/>
      <c r="G142" s="5" t="n"/>
      <c r="H142" s="22" t="inlineStr">
        <is>
          <t>https://en.wikipedia.org/wiki/Yash_Johar</t>
        </is>
      </c>
      <c r="I142" s="16" t="n">
        <v>46278</v>
      </c>
      <c r="J142" s="5" t="inlineStr">
        <is>
          <t>Career background, major works and awards of Yash Johar.</t>
        </is>
      </c>
      <c r="K142" s="5" t="inlineStr">
        <is>
          <t>Reference encyclopedia</t>
        </is>
      </c>
      <c r="L142" s="5" t="inlineStr">
        <is>
          <t>C</t>
        </is>
      </c>
      <c r="M142" s="5" t="inlineStr">
        <is>
          <t>Downloaded as raw wikitext; used for the collaborator biography.</t>
        </is>
      </c>
    </row>
    <row r="143" ht="34" customHeight="1">
      <c r="A143" s="15" t="inlineStr">
        <is>
          <t>SOURCE-142</t>
        </is>
      </c>
      <c r="B143" s="5" t="inlineStr">
        <is>
          <t>FILM-030; FILM-039; FILM-045; FILM-051; FILM-077</t>
        </is>
      </c>
      <c r="C143" s="5" t="n"/>
      <c r="D143" s="5" t="inlineStr">
        <is>
          <t>A. R. Rahman</t>
        </is>
      </c>
      <c r="E143" s="5" t="inlineStr">
        <is>
          <t>Wikipedia</t>
        </is>
      </c>
      <c r="F143" s="5" t="n"/>
      <c r="G143" s="5" t="n"/>
      <c r="H143" s="22" t="inlineStr">
        <is>
          <t>https://en.wikipedia.org/wiki/A._R._Rahman</t>
        </is>
      </c>
      <c r="I143" s="16" t="n">
        <v>46278</v>
      </c>
      <c r="J143" s="5" t="inlineStr">
        <is>
          <t>Career background, major works and awards of A. R. Rahman.</t>
        </is>
      </c>
      <c r="K143" s="5" t="inlineStr">
        <is>
          <t>Reference encyclopedia</t>
        </is>
      </c>
      <c r="L143" s="5" t="inlineStr">
        <is>
          <t>C</t>
        </is>
      </c>
      <c r="M143" s="5" t="inlineStr">
        <is>
          <t>Downloaded as raw wikitext; used for the collaborator biography.</t>
        </is>
      </c>
    </row>
    <row r="144" ht="34" customHeight="1">
      <c r="A144" s="15" t="inlineStr">
        <is>
          <t>SOURCE-143</t>
        </is>
      </c>
      <c r="B144" s="5" t="inlineStr">
        <is>
          <t>FILM-030; FILM-043</t>
        </is>
      </c>
      <c r="C144" s="5" t="n"/>
      <c r="D144" s="5" t="inlineStr">
        <is>
          <t>Bharat Shah</t>
        </is>
      </c>
      <c r="E144" s="5" t="inlineStr">
        <is>
          <t>Wikipedia</t>
        </is>
      </c>
      <c r="F144" s="5" t="n"/>
      <c r="G144" s="5" t="n"/>
      <c r="H144" s="22" t="inlineStr">
        <is>
          <t>https://en.wikipedia.org/wiki/Bharat_Shah</t>
        </is>
      </c>
      <c r="I144" s="16" t="n">
        <v>46278</v>
      </c>
      <c r="J144" s="5" t="inlineStr">
        <is>
          <t>Career background, major works and awards of Bharat Shah.</t>
        </is>
      </c>
      <c r="K144" s="5" t="inlineStr">
        <is>
          <t>Reference encyclopedia</t>
        </is>
      </c>
      <c r="L144" s="5" t="inlineStr">
        <is>
          <t>C</t>
        </is>
      </c>
      <c r="M144" s="5" t="inlineStr">
        <is>
          <t>Downloaded as raw wikitext; used for the collaborator biography.</t>
        </is>
      </c>
    </row>
    <row r="145" ht="34" customHeight="1">
      <c r="A145" s="15" t="inlineStr">
        <is>
          <t>SOURCE-144</t>
        </is>
      </c>
      <c r="B145" s="5" t="inlineStr">
        <is>
          <t>FILM-030; FILM-049; FILM-062; FILM-081</t>
        </is>
      </c>
      <c r="C145" s="5" t="n"/>
      <c r="D145" s="5" t="inlineStr">
        <is>
          <t>Farah Khan</t>
        </is>
      </c>
      <c r="E145" s="5" t="inlineStr">
        <is>
          <t>Wikipedia</t>
        </is>
      </c>
      <c r="F145" s="5" t="n"/>
      <c r="G145" s="5" t="n"/>
      <c r="H145" s="22" t="inlineStr">
        <is>
          <t>https://en.wikipedia.org/wiki/Farah_Khan</t>
        </is>
      </c>
      <c r="I145" s="16" t="n">
        <v>46278</v>
      </c>
      <c r="J145" s="5" t="inlineStr">
        <is>
          <t>Career background, major works and awards of Farah Khan.</t>
        </is>
      </c>
      <c r="K145" s="5" t="inlineStr">
        <is>
          <t>Reference encyclopedia</t>
        </is>
      </c>
      <c r="L145" s="5" t="inlineStr">
        <is>
          <t>C</t>
        </is>
      </c>
      <c r="M145" s="5" t="inlineStr">
        <is>
          <t>Downloaded as raw wikitext; used for the collaborator biography.</t>
        </is>
      </c>
    </row>
    <row r="146" ht="34" customHeight="1">
      <c r="A146" s="15" t="inlineStr">
        <is>
          <t>SOURCE-145</t>
        </is>
      </c>
      <c r="B146" s="5" t="inlineStr">
        <is>
          <t>FILM-030; FILM-045</t>
        </is>
      </c>
      <c r="C146" s="5" t="n"/>
      <c r="D146" s="5" t="inlineStr">
        <is>
          <t>Mani Ratnam</t>
        </is>
      </c>
      <c r="E146" s="5" t="inlineStr">
        <is>
          <t>Wikipedia</t>
        </is>
      </c>
      <c r="F146" s="5" t="n"/>
      <c r="G146" s="5" t="n"/>
      <c r="H146" s="22" t="inlineStr">
        <is>
          <t>https://en.wikipedia.org/wiki/Mani_Ratnam</t>
        </is>
      </c>
      <c r="I146" s="16" t="n">
        <v>46278</v>
      </c>
      <c r="J146" s="5" t="inlineStr">
        <is>
          <t>Career background, major works and awards of Mani Ratnam.</t>
        </is>
      </c>
      <c r="K146" s="5" t="inlineStr">
        <is>
          <t>Reference encyclopedia</t>
        </is>
      </c>
      <c r="L146" s="5" t="inlineStr">
        <is>
          <t>C</t>
        </is>
      </c>
      <c r="M146" s="5" t="inlineStr">
        <is>
          <t>Downloaded as raw wikitext; used for the collaborator biography.</t>
        </is>
      </c>
    </row>
    <row r="147" ht="34" customHeight="1">
      <c r="A147" s="15" t="inlineStr">
        <is>
          <t>SOURCE-146</t>
        </is>
      </c>
      <c r="B147" s="5" t="inlineStr">
        <is>
          <t>FILM-030; FILM-040</t>
        </is>
      </c>
      <c r="C147" s="5" t="n"/>
      <c r="D147" s="5" t="inlineStr">
        <is>
          <t>Santosh Sivan</t>
        </is>
      </c>
      <c r="E147" s="5" t="inlineStr">
        <is>
          <t>Wikipedia</t>
        </is>
      </c>
      <c r="F147" s="5" t="n"/>
      <c r="G147" s="5" t="n"/>
      <c r="H147" s="22" t="inlineStr">
        <is>
          <t>https://en.wikipedia.org/wiki/Santosh_Sivan</t>
        </is>
      </c>
      <c r="I147" s="16" t="n">
        <v>46278</v>
      </c>
      <c r="J147" s="5" t="inlineStr">
        <is>
          <t>Career background, major works and awards of Santosh Sivan.</t>
        </is>
      </c>
      <c r="K147" s="5" t="inlineStr">
        <is>
          <t>Reference encyclopedia</t>
        </is>
      </c>
      <c r="L147" s="5" t="inlineStr">
        <is>
          <t>C</t>
        </is>
      </c>
      <c r="M147" s="5" t="inlineStr">
        <is>
          <t>Downloaded as raw wikitext; used for the collaborator biography.</t>
        </is>
      </c>
    </row>
    <row r="148" ht="64" customHeight="1">
      <c r="A148" s="15" t="inlineStr">
        <is>
          <t>SOURCE-147</t>
        </is>
      </c>
      <c r="B148" s="5" t="inlineStr">
        <is>
          <t>FILM-031; FILM-041; FILM-047; FILM-053; FILM-057; FILM-071; FILM-078; FILM-084; FILM-085; FILM-093</t>
        </is>
      </c>
      <c r="C148" s="5" t="n"/>
      <c r="D148" s="5" t="inlineStr">
        <is>
          <t>Karan Johar</t>
        </is>
      </c>
      <c r="E148" s="5" t="inlineStr">
        <is>
          <t>Wikipedia</t>
        </is>
      </c>
      <c r="F148" s="5" t="n"/>
      <c r="G148" s="5" t="n"/>
      <c r="H148" s="22" t="inlineStr">
        <is>
          <t>https://en.wikipedia.org/wiki/Karan_Johar</t>
        </is>
      </c>
      <c r="I148" s="16" t="n">
        <v>46278</v>
      </c>
      <c r="J148" s="5" t="inlineStr">
        <is>
          <t>Career background, major works and awards of Karan Johar.</t>
        </is>
      </c>
      <c r="K148" s="5" t="inlineStr">
        <is>
          <t>Reference encyclopedia</t>
        </is>
      </c>
      <c r="L148" s="5" t="inlineStr">
        <is>
          <t>C</t>
        </is>
      </c>
      <c r="M148" s="5" t="inlineStr">
        <is>
          <t>Downloaded as raw wikitext; used for the collaborator biography.</t>
        </is>
      </c>
    </row>
    <row r="149" ht="124" customHeight="1">
      <c r="A149" s="15" t="inlineStr">
        <is>
          <t>SOURCE-148</t>
        </is>
      </c>
      <c r="B149" s="5" t="inlineStr">
        <is>
          <t>FILM-033; FILM-040; FILM-046; FILM-049; FILM-053; FILM-055; FILM-062; FILM-069; FILM-071; FILM-073; FILM-075; FILM-076; FILM-079; FILM-081; FILM-082; FILM-085; FILM-086; FILM-088; FILM-089; FILM-095; FILM-097</t>
        </is>
      </c>
      <c r="C149" s="5" t="n"/>
      <c r="D149" s="5" t="inlineStr">
        <is>
          <t>Red Chillies Entertainment</t>
        </is>
      </c>
      <c r="E149" s="5" t="inlineStr">
        <is>
          <t>Wikipedia</t>
        </is>
      </c>
      <c r="F149" s="5" t="n"/>
      <c r="G149" s="5" t="n"/>
      <c r="H149" s="22" t="inlineStr">
        <is>
          <t>https://en.wikipedia.org/wiki/Red_Chillies_Entertainment</t>
        </is>
      </c>
      <c r="I149" s="16" t="n">
        <v>46278</v>
      </c>
      <c r="J149" s="5" t="inlineStr">
        <is>
          <t>Career background, major works and awards of Dreamz Unlimited.</t>
        </is>
      </c>
      <c r="K149" s="5" t="inlineStr">
        <is>
          <t>Reference encyclopedia</t>
        </is>
      </c>
      <c r="L149" s="5" t="inlineStr">
        <is>
          <t>C</t>
        </is>
      </c>
      <c r="M149" s="5" t="inlineStr">
        <is>
          <t>Downloaded as raw wikitext; used for the collaborator biography. The article is titled Red Chillies Entertainment.</t>
        </is>
      </c>
    </row>
    <row r="150" ht="34" customHeight="1">
      <c r="A150" s="15" t="inlineStr">
        <is>
          <t>SOURCE-149</t>
        </is>
      </c>
      <c r="B150" s="5" t="inlineStr">
        <is>
          <t>FILM-034</t>
        </is>
      </c>
      <c r="C150" s="5" t="n"/>
      <c r="D150" s="5" t="inlineStr">
        <is>
          <t>Kamal Haasan</t>
        </is>
      </c>
      <c r="E150" s="5" t="inlineStr">
        <is>
          <t>Wikipedia</t>
        </is>
      </c>
      <c r="F150" s="5" t="n"/>
      <c r="G150" s="5" t="n"/>
      <c r="H150" s="22" t="inlineStr">
        <is>
          <t>https://en.wikipedia.org/wiki/Kamal_Haasan</t>
        </is>
      </c>
      <c r="I150" s="16" t="n">
        <v>46278</v>
      </c>
      <c r="J150" s="5" t="inlineStr">
        <is>
          <t>Career background, major works and awards of Kamal Haasan.</t>
        </is>
      </c>
      <c r="K150" s="5" t="inlineStr">
        <is>
          <t>Reference encyclopedia</t>
        </is>
      </c>
      <c r="L150" s="5" t="inlineStr">
        <is>
          <t>C</t>
        </is>
      </c>
      <c r="M150" s="5" t="inlineStr">
        <is>
          <t>Downloaded as raw wikitext; used for the collaborator biography.</t>
        </is>
      </c>
    </row>
    <row r="151" ht="34" customHeight="1">
      <c r="A151" s="15" t="inlineStr">
        <is>
          <t>SOURCE-150</t>
        </is>
      </c>
      <c r="B151" s="5" t="inlineStr">
        <is>
          <t>FILM-035</t>
        </is>
      </c>
      <c r="C151" s="5" t="n"/>
      <c r="D151" s="5" t="inlineStr">
        <is>
          <t>Mansoor Khan</t>
        </is>
      </c>
      <c r="E151" s="5" t="inlineStr">
        <is>
          <t>Wikipedia</t>
        </is>
      </c>
      <c r="F151" s="5" t="n"/>
      <c r="G151" s="5" t="n"/>
      <c r="H151" s="22" t="inlineStr">
        <is>
          <t>https://en.wikipedia.org/wiki/Mansoor_Khan</t>
        </is>
      </c>
      <c r="I151" s="16" t="n">
        <v>46278</v>
      </c>
      <c r="J151" s="5" t="inlineStr">
        <is>
          <t>Career background, major works and awards of Mansoor Khan.</t>
        </is>
      </c>
      <c r="K151" s="5" t="inlineStr">
        <is>
          <t>Reference encyclopedia</t>
        </is>
      </c>
      <c r="L151" s="5" t="inlineStr">
        <is>
          <t>C</t>
        </is>
      </c>
      <c r="M151" s="5" t="inlineStr">
        <is>
          <t>Downloaded as raw wikitext; used for the collaborator biography.</t>
        </is>
      </c>
    </row>
    <row r="152" ht="34" customHeight="1">
      <c r="A152" s="15" t="inlineStr">
        <is>
          <t>SOURCE-151</t>
        </is>
      </c>
      <c r="B152" s="5" t="inlineStr">
        <is>
          <t>FILM-036; FILM-069</t>
        </is>
      </c>
      <c r="C152" s="5" t="n"/>
      <c r="D152" s="5" t="inlineStr">
        <is>
          <t>Priyadarshan</t>
        </is>
      </c>
      <c r="E152" s="5" t="inlineStr">
        <is>
          <t>Wikipedia</t>
        </is>
      </c>
      <c r="F152" s="5" t="n"/>
      <c r="G152" s="5" t="n"/>
      <c r="H152" s="22" t="inlineStr">
        <is>
          <t>https://en.wikipedia.org/wiki/Priyadarshan</t>
        </is>
      </c>
      <c r="I152" s="16" t="n">
        <v>46278</v>
      </c>
      <c r="J152" s="5" t="inlineStr">
        <is>
          <t>Career background, major works and awards of Priyadarshan.</t>
        </is>
      </c>
      <c r="K152" s="5" t="inlineStr">
        <is>
          <t>Reference encyclopedia</t>
        </is>
      </c>
      <c r="L152" s="5" t="inlineStr">
        <is>
          <t>C</t>
        </is>
      </c>
      <c r="M152" s="5" t="inlineStr">
        <is>
          <t>Downloaded as raw wikitext; used for the collaborator biography.</t>
        </is>
      </c>
    </row>
    <row r="153" ht="34" customHeight="1">
      <c r="A153" s="15" t="inlineStr">
        <is>
          <t>SOURCE-152</t>
        </is>
      </c>
      <c r="B153" s="5" t="inlineStr">
        <is>
          <t>FILM-036; FILM-061</t>
        </is>
      </c>
      <c r="C153" s="5" t="n"/>
      <c r="D153" s="5" t="inlineStr">
        <is>
          <t>Sajid Nadiadwala</t>
        </is>
      </c>
      <c r="E153" s="5" t="inlineStr">
        <is>
          <t>Wikipedia</t>
        </is>
      </c>
      <c r="F153" s="5" t="n"/>
      <c r="G153" s="5" t="n"/>
      <c r="H153" s="22" t="inlineStr">
        <is>
          <t>https://en.wikipedia.org/wiki/Sajid_Nadiadwala</t>
        </is>
      </c>
      <c r="I153" s="16" t="n">
        <v>46278</v>
      </c>
      <c r="J153" s="5" t="inlineStr">
        <is>
          <t>Career background, major works and awards of Sajid Nadiadwala.</t>
        </is>
      </c>
      <c r="K153" s="5" t="inlineStr">
        <is>
          <t>Reference encyclopedia</t>
        </is>
      </c>
      <c r="L153" s="5" t="inlineStr">
        <is>
          <t>C</t>
        </is>
      </c>
      <c r="M153" s="5" t="inlineStr">
        <is>
          <t>Downloaded as raw wikitext; used for the collaborator biography.</t>
        </is>
      </c>
    </row>
    <row r="154" ht="34" customHeight="1">
      <c r="A154" s="15" t="inlineStr">
        <is>
          <t>SOURCE-153</t>
        </is>
      </c>
      <c r="B154" s="5" t="inlineStr">
        <is>
          <t>FILM-040; FILM-062; FILM-069</t>
        </is>
      </c>
      <c r="C154" s="5" t="n"/>
      <c r="D154" s="5" t="inlineStr">
        <is>
          <t>Sandeep Chowta</t>
        </is>
      </c>
      <c r="E154" s="5" t="inlineStr">
        <is>
          <t>Wikipedia</t>
        </is>
      </c>
      <c r="F154" s="5" t="n"/>
      <c r="G154" s="5" t="n"/>
      <c r="H154" s="22" t="inlineStr">
        <is>
          <t>https://en.wikipedia.org/wiki/Sandeep_Chowta</t>
        </is>
      </c>
      <c r="I154" s="16" t="n">
        <v>46278</v>
      </c>
      <c r="J154" s="5" t="inlineStr">
        <is>
          <t>Career background, major works and awards of Sandeep Chowta.</t>
        </is>
      </c>
      <c r="K154" s="5" t="inlineStr">
        <is>
          <t>Reference encyclopedia</t>
        </is>
      </c>
      <c r="L154" s="5" t="inlineStr">
        <is>
          <t>C</t>
        </is>
      </c>
      <c r="M154" s="5" t="inlineStr">
        <is>
          <t>Downloaded as raw wikitext; used for the collaborator biography.</t>
        </is>
      </c>
    </row>
    <row r="155" ht="34" customHeight="1">
      <c r="A155" s="15" t="inlineStr">
        <is>
          <t>SOURCE-154</t>
        </is>
      </c>
      <c r="B155" s="5" t="inlineStr">
        <is>
          <t>FILM-041; FILM-046; FILM-055; FILM-056</t>
        </is>
      </c>
      <c r="C155" s="5" t="n"/>
      <c r="D155" s="5" t="inlineStr">
        <is>
          <t>Aadesh Shrivastava</t>
        </is>
      </c>
      <c r="E155" s="5" t="inlineStr">
        <is>
          <t>Wikipedia</t>
        </is>
      </c>
      <c r="F155" s="5" t="n"/>
      <c r="G155" s="5" t="n"/>
      <c r="H155" s="22" t="inlineStr">
        <is>
          <t>https://en.wikipedia.org/wiki/Aadesh_Shrivastava</t>
        </is>
      </c>
      <c r="I155" s="16" t="n">
        <v>46278</v>
      </c>
      <c r="J155" s="5" t="inlineStr">
        <is>
          <t>Career background, major works and awards of Aadesh Shrivastava.</t>
        </is>
      </c>
      <c r="K155" s="5" t="inlineStr">
        <is>
          <t>Reference encyclopedia</t>
        </is>
      </c>
      <c r="L155" s="5" t="inlineStr">
        <is>
          <t>C</t>
        </is>
      </c>
      <c r="M155" s="5" t="inlineStr">
        <is>
          <t>Downloaded as raw wikitext; used for the collaborator biography.</t>
        </is>
      </c>
    </row>
    <row r="156" ht="34" customHeight="1">
      <c r="A156" s="15" t="inlineStr">
        <is>
          <t>SOURCE-155</t>
        </is>
      </c>
      <c r="B156" s="5" t="inlineStr">
        <is>
          <t>FILM-042; FILM-066</t>
        </is>
      </c>
      <c r="C156" s="5" t="n"/>
      <c r="D156" s="5" t="inlineStr">
        <is>
          <t>Sajid–Wajid</t>
        </is>
      </c>
      <c r="E156" s="5" t="inlineStr">
        <is>
          <t>Wikipedia</t>
        </is>
      </c>
      <c r="F156" s="5" t="n"/>
      <c r="G156" s="5" t="n"/>
      <c r="H156" s="22" t="inlineStr">
        <is>
          <t>https://en.wikipedia.org/wiki/Sajid%E2%80%93Wajid</t>
        </is>
      </c>
      <c r="I156" s="16" t="n">
        <v>46278</v>
      </c>
      <c r="J156" s="5" t="inlineStr">
        <is>
          <t>Career background, major works and awards of Sajid–Wajid.</t>
        </is>
      </c>
      <c r="K156" s="5" t="inlineStr">
        <is>
          <t>Reference encyclopedia</t>
        </is>
      </c>
      <c r="L156" s="5" t="inlineStr">
        <is>
          <t>C</t>
        </is>
      </c>
      <c r="M156" s="5" t="inlineStr">
        <is>
          <t>Downloaded as raw wikitext; used for the collaborator biography.</t>
        </is>
      </c>
    </row>
    <row r="157" ht="34" customHeight="1">
      <c r="A157" s="15" t="inlineStr">
        <is>
          <t>SOURCE-156</t>
        </is>
      </c>
      <c r="B157" s="5" t="inlineStr">
        <is>
          <t>FILM-043; FILM-044</t>
        </is>
      </c>
      <c r="C157" s="5" t="n"/>
      <c r="D157" s="5" t="inlineStr">
        <is>
          <t>Ismail Darbar</t>
        </is>
      </c>
      <c r="E157" s="5" t="inlineStr">
        <is>
          <t>Wikipedia</t>
        </is>
      </c>
      <c r="F157" s="5" t="n"/>
      <c r="G157" s="5" t="n"/>
      <c r="H157" s="22" t="inlineStr">
        <is>
          <t>https://en.wikipedia.org/wiki/Ismail_Darbar</t>
        </is>
      </c>
      <c r="I157" s="16" t="n">
        <v>46278</v>
      </c>
      <c r="J157" s="5" t="inlineStr">
        <is>
          <t>Career background, major works and awards of Ismail Darbar.</t>
        </is>
      </c>
      <c r="K157" s="5" t="inlineStr">
        <is>
          <t>Reference encyclopedia</t>
        </is>
      </c>
      <c r="L157" s="5" t="inlineStr">
        <is>
          <t>C</t>
        </is>
      </c>
      <c r="M157" s="5" t="inlineStr">
        <is>
          <t>Downloaded as raw wikitext; used for the collaborator biography.</t>
        </is>
      </c>
    </row>
    <row r="158" ht="34" customHeight="1">
      <c r="A158" s="15" t="inlineStr">
        <is>
          <t>SOURCE-157</t>
        </is>
      </c>
      <c r="B158" s="5" t="inlineStr">
        <is>
          <t>FILM-043; FILM-054</t>
        </is>
      </c>
      <c r="C158" s="5" t="n"/>
      <c r="D158" s="5" t="inlineStr">
        <is>
          <t>Monty Sharma</t>
        </is>
      </c>
      <c r="E158" s="5" t="inlineStr">
        <is>
          <t>Wikipedia</t>
        </is>
      </c>
      <c r="F158" s="5" t="n"/>
      <c r="G158" s="5" t="n"/>
      <c r="H158" s="22" t="inlineStr">
        <is>
          <t>https://en.wikipedia.org/wiki/Monty_Sharma</t>
        </is>
      </c>
      <c r="I158" s="16" t="n">
        <v>46278</v>
      </c>
      <c r="J158" s="5" t="inlineStr">
        <is>
          <t>Career background, major works and awards of Monty Sharma.</t>
        </is>
      </c>
      <c r="K158" s="5" t="inlineStr">
        <is>
          <t>Reference encyclopedia</t>
        </is>
      </c>
      <c r="L158" s="5" t="inlineStr">
        <is>
          <t>C</t>
        </is>
      </c>
      <c r="M158" s="5" t="inlineStr">
        <is>
          <t>Downloaded as raw wikitext; used for the collaborator biography.</t>
        </is>
      </c>
    </row>
    <row r="159" ht="34" customHeight="1">
      <c r="A159" s="15" t="inlineStr">
        <is>
          <t>SOURCE-158</t>
        </is>
      </c>
      <c r="B159" s="5" t="inlineStr">
        <is>
          <t>FILM-043</t>
        </is>
      </c>
      <c r="C159" s="5" t="n"/>
      <c r="D159" s="5" t="inlineStr">
        <is>
          <t>Sanjay Leela Bhansali</t>
        </is>
      </c>
      <c r="E159" s="5" t="inlineStr">
        <is>
          <t>Wikipedia</t>
        </is>
      </c>
      <c r="F159" s="5" t="n"/>
      <c r="G159" s="5" t="n"/>
      <c r="H159" s="22" t="inlineStr">
        <is>
          <t>https://en.wikipedia.org/wiki/Sanjay_Leela_Bhansali</t>
        </is>
      </c>
      <c r="I159" s="16" t="n">
        <v>46278</v>
      </c>
      <c r="J159" s="5" t="inlineStr">
        <is>
          <t>Career background, major works and awards of Sanjay Leela Bhansali.</t>
        </is>
      </c>
      <c r="K159" s="5" t="inlineStr">
        <is>
          <t>Reference encyclopedia</t>
        </is>
      </c>
      <c r="L159" s="5" t="inlineStr">
        <is>
          <t>C</t>
        </is>
      </c>
      <c r="M159" s="5" t="inlineStr">
        <is>
          <t>Downloaded as raw wikitext; used for the collaborator biography.</t>
        </is>
      </c>
    </row>
    <row r="160" ht="34" customHeight="1">
      <c r="A160" s="15" t="inlineStr">
        <is>
          <t>SOURCE-159</t>
        </is>
      </c>
      <c r="B160" s="5" t="inlineStr">
        <is>
          <t>FILM-047</t>
        </is>
      </c>
      <c r="C160" s="5" t="n"/>
      <c r="D160" s="5" t="inlineStr">
        <is>
          <t>Nikkhil Advani</t>
        </is>
      </c>
      <c r="E160" s="5" t="inlineStr">
        <is>
          <t>Wikipedia</t>
        </is>
      </c>
      <c r="F160" s="5" t="n"/>
      <c r="G160" s="5" t="n"/>
      <c r="H160" s="22" t="inlineStr">
        <is>
          <t>https://en.wikipedia.org/wiki/Nikkhil_Advani</t>
        </is>
      </c>
      <c r="I160" s="16" t="n">
        <v>46278</v>
      </c>
      <c r="J160" s="5" t="inlineStr">
        <is>
          <t>Career background, major works and awards of Nikkhil Advani.</t>
        </is>
      </c>
      <c r="K160" s="5" t="inlineStr">
        <is>
          <t>Reference encyclopedia</t>
        </is>
      </c>
      <c r="L160" s="5" t="inlineStr">
        <is>
          <t>C</t>
        </is>
      </c>
      <c r="M160" s="5" t="inlineStr">
        <is>
          <t>Downloaded as raw wikitext; used for the collaborator biography.</t>
        </is>
      </c>
    </row>
    <row r="161" ht="34" customHeight="1">
      <c r="A161" s="15" t="inlineStr">
        <is>
          <t>SOURCE-160</t>
        </is>
      </c>
      <c r="B161" s="5" t="inlineStr">
        <is>
          <t>FILM-047; FILM-057; FILM-071; FILM-084</t>
        </is>
      </c>
      <c r="C161" s="5" t="n"/>
      <c r="D161" s="5" t="inlineStr">
        <is>
          <t>Niranjan Iyengar</t>
        </is>
      </c>
      <c r="E161" s="5" t="inlineStr">
        <is>
          <t>Wikipedia</t>
        </is>
      </c>
      <c r="F161" s="5" t="n"/>
      <c r="G161" s="5" t="n"/>
      <c r="H161" s="22" t="inlineStr">
        <is>
          <t>https://en.wikipedia.org/wiki/Niranjan_Iyengar</t>
        </is>
      </c>
      <c r="I161" s="16" t="n">
        <v>46278</v>
      </c>
      <c r="J161" s="5" t="inlineStr">
        <is>
          <t>Career background, major works and awards of Niranjan Iyengar.</t>
        </is>
      </c>
      <c r="K161" s="5" t="inlineStr">
        <is>
          <t>Reference encyclopedia</t>
        </is>
      </c>
      <c r="L161" s="5" t="inlineStr">
        <is>
          <t>C</t>
        </is>
      </c>
      <c r="M161" s="5" t="inlineStr">
        <is>
          <t>Downloaded as raw wikitext; used for the collaborator biography.</t>
        </is>
      </c>
    </row>
    <row r="162" ht="49" customHeight="1">
      <c r="A162" s="15" t="inlineStr">
        <is>
          <t>SOURCE-161</t>
        </is>
      </c>
      <c r="B162" s="5" t="inlineStr">
        <is>
          <t>FILM-047; FILM-057; FILM-058; FILM-061; FILM-068; FILM-071; FILM-076; FILM-090</t>
        </is>
      </c>
      <c r="C162" s="5" t="n"/>
      <c r="D162" s="5" t="inlineStr">
        <is>
          <t>Shankar–Ehsaan–Loy</t>
        </is>
      </c>
      <c r="E162" s="5" t="inlineStr">
        <is>
          <t>Wikipedia</t>
        </is>
      </c>
      <c r="F162" s="5" t="n"/>
      <c r="G162" s="5" t="n"/>
      <c r="H162" s="22" t="inlineStr">
        <is>
          <t>https://en.wikipedia.org/wiki/Shankar%E2%80%93Ehsaan%E2%80%93Loy</t>
        </is>
      </c>
      <c r="I162" s="16" t="n">
        <v>46278</v>
      </c>
      <c r="J162" s="5" t="inlineStr">
        <is>
          <t>Career background, major works and awards of Shankar–Ehsaan–Loy.</t>
        </is>
      </c>
      <c r="K162" s="5" t="inlineStr">
        <is>
          <t>Reference encyclopedia</t>
        </is>
      </c>
      <c r="L162" s="5" t="inlineStr">
        <is>
          <t>C</t>
        </is>
      </c>
      <c r="M162" s="5" t="inlineStr">
        <is>
          <t>Downloaded as raw wikitext; used for the collaborator biography.</t>
        </is>
      </c>
    </row>
    <row r="163" ht="109" customHeight="1">
      <c r="A163" s="15" t="inlineStr">
        <is>
          <t>SOURCE-162</t>
        </is>
      </c>
      <c r="B163" s="5" t="inlineStr">
        <is>
          <t>FILM-049; FILM-055; FILM-062; FILM-069; FILM-071; FILM-073; FILM-075; FILM-079; FILM-081; FILM-082; FILM-085; FILM-086; FILM-088; FILM-089; FILM-095; FILM-097</t>
        </is>
      </c>
      <c r="C163" s="5" t="n"/>
      <c r="D163" s="5" t="inlineStr">
        <is>
          <t>Gauri Khan</t>
        </is>
      </c>
      <c r="E163" s="5" t="inlineStr">
        <is>
          <t>Wikipedia</t>
        </is>
      </c>
      <c r="F163" s="5" t="n"/>
      <c r="G163" s="5" t="n"/>
      <c r="H163" s="22" t="inlineStr">
        <is>
          <t>https://en.wikipedia.org/wiki/Gauri_Khan</t>
        </is>
      </c>
      <c r="I163" s="16" t="n">
        <v>46278</v>
      </c>
      <c r="J163" s="5" t="inlineStr">
        <is>
          <t>Career background, major works and awards of Gauri Khan.</t>
        </is>
      </c>
      <c r="K163" s="5" t="inlineStr">
        <is>
          <t>Reference encyclopedia</t>
        </is>
      </c>
      <c r="L163" s="5" t="inlineStr">
        <is>
          <t>C</t>
        </is>
      </c>
      <c r="M163" s="5" t="inlineStr">
        <is>
          <t>Downloaded as raw wikitext; used for the collaborator biography.</t>
        </is>
      </c>
    </row>
    <row r="164" ht="34" customHeight="1">
      <c r="A164" s="15" t="inlineStr">
        <is>
          <t>SOURCE-163</t>
        </is>
      </c>
      <c r="B164" s="5" t="inlineStr">
        <is>
          <t>FILM-051; FILM-079</t>
        </is>
      </c>
      <c r="C164" s="5" t="n"/>
      <c r="D164" s="5" t="inlineStr">
        <is>
          <t>UTV Motion Pictures</t>
        </is>
      </c>
      <c r="E164" s="5" t="inlineStr">
        <is>
          <t>Wikipedia</t>
        </is>
      </c>
      <c r="F164" s="5" t="n"/>
      <c r="G164" s="5" t="n"/>
      <c r="H164" s="22" t="inlineStr">
        <is>
          <t>https://en.wikipedia.org/wiki/UTV_Motion_Pictures</t>
        </is>
      </c>
      <c r="I164" s="16" t="n">
        <v>46278</v>
      </c>
      <c r="J164" s="5" t="inlineStr">
        <is>
          <t>Career background, major works and awards of UTV Motion Pictures.</t>
        </is>
      </c>
      <c r="K164" s="5" t="inlineStr">
        <is>
          <t>Reference encyclopedia</t>
        </is>
      </c>
      <c r="L164" s="5" t="inlineStr">
        <is>
          <t>C</t>
        </is>
      </c>
      <c r="M164" s="5" t="inlineStr">
        <is>
          <t>Downloaded as raw wikitext; used for the collaborator biography.</t>
        </is>
      </c>
    </row>
    <row r="165" ht="34" customHeight="1">
      <c r="A165" s="15" t="inlineStr">
        <is>
          <t>SOURCE-164</t>
        </is>
      </c>
      <c r="B165" s="5" t="inlineStr">
        <is>
          <t>FILM-052; FILM-054</t>
        </is>
      </c>
      <c r="C165" s="5" t="n"/>
      <c r="D165" s="5" t="inlineStr">
        <is>
          <t>Himesh Reshammiya</t>
        </is>
      </c>
      <c r="E165" s="5" t="inlineStr">
        <is>
          <t>Wikipedia</t>
        </is>
      </c>
      <c r="F165" s="5" t="n"/>
      <c r="G165" s="5" t="n"/>
      <c r="H165" s="22" t="inlineStr">
        <is>
          <t>https://en.wikipedia.org/wiki/Himesh_Reshammiya</t>
        </is>
      </c>
      <c r="I165" s="16" t="n">
        <v>46278</v>
      </c>
      <c r="J165" s="5" t="inlineStr">
        <is>
          <t>Career background, major works and awards of Himesh Reshammiya.</t>
        </is>
      </c>
      <c r="K165" s="5" t="inlineStr">
        <is>
          <t>Reference encyclopedia</t>
        </is>
      </c>
      <c r="L165" s="5" t="inlineStr">
        <is>
          <t>C</t>
        </is>
      </c>
      <c r="M165" s="5" t="inlineStr">
        <is>
          <t>Downloaded as raw wikitext; used for the collaborator biography.</t>
        </is>
      </c>
    </row>
    <row r="166" ht="49" customHeight="1">
      <c r="A166" s="15" t="inlineStr">
        <is>
          <t>SOURCE-165</t>
        </is>
      </c>
      <c r="B166" s="5" t="inlineStr">
        <is>
          <t>FILM-053; FILM-060; FILM-061; FILM-065; FILM-067; FILM-074</t>
        </is>
      </c>
      <c r="C166" s="5" t="n"/>
      <c r="D166" s="5" t="inlineStr">
        <is>
          <t>Salim–Sulaiman</t>
        </is>
      </c>
      <c r="E166" s="5" t="inlineStr">
        <is>
          <t>Wikipedia</t>
        </is>
      </c>
      <c r="F166" s="5" t="n"/>
      <c r="G166" s="5" t="n"/>
      <c r="H166" s="22" t="inlineStr">
        <is>
          <t>https://en.wikipedia.org/wiki/Salim%E2%80%93Sulaiman</t>
        </is>
      </c>
      <c r="I166" s="16" t="n">
        <v>46278</v>
      </c>
      <c r="J166" s="5" t="inlineStr">
        <is>
          <t>Career background, major works and awards of Salim–Sulaiman.</t>
        </is>
      </c>
      <c r="K166" s="5" t="inlineStr">
        <is>
          <t>Reference encyclopedia</t>
        </is>
      </c>
      <c r="L166" s="5" t="inlineStr">
        <is>
          <t>C</t>
        </is>
      </c>
      <c r="M166" s="5" t="inlineStr">
        <is>
          <t>Downloaded as raw wikitext; used for the collaborator biography.</t>
        </is>
      </c>
    </row>
    <row r="167" ht="34" customHeight="1">
      <c r="A167" s="15" t="inlineStr">
        <is>
          <t>SOURCE-166</t>
        </is>
      </c>
      <c r="B167" s="5" t="inlineStr">
        <is>
          <t>FILM-055</t>
        </is>
      </c>
      <c r="C167" s="5" t="n"/>
      <c r="D167" s="5" t="inlineStr">
        <is>
          <t>Amol Palekar</t>
        </is>
      </c>
      <c r="E167" s="5" t="inlineStr">
        <is>
          <t>Wikipedia</t>
        </is>
      </c>
      <c r="F167" s="5" t="n"/>
      <c r="G167" s="5" t="n"/>
      <c r="H167" s="22" t="inlineStr">
        <is>
          <t>https://en.wikipedia.org/wiki/Amol_Palekar</t>
        </is>
      </c>
      <c r="I167" s="16" t="n">
        <v>46278</v>
      </c>
      <c r="J167" s="5" t="inlineStr">
        <is>
          <t>Career background, major works and awards of Amol Palekar.</t>
        </is>
      </c>
      <c r="K167" s="5" t="inlineStr">
        <is>
          <t>Reference encyclopedia</t>
        </is>
      </c>
      <c r="L167" s="5" t="inlineStr">
        <is>
          <t>C</t>
        </is>
      </c>
      <c r="M167" s="5" t="inlineStr">
        <is>
          <t>Downloaded as raw wikitext; used for the collaborator biography.</t>
        </is>
      </c>
    </row>
    <row r="168" ht="34" customHeight="1">
      <c r="A168" s="15" t="inlineStr">
        <is>
          <t>SOURCE-167</t>
        </is>
      </c>
      <c r="B168" s="5" t="inlineStr">
        <is>
          <t>FILM-058; FILM-068; FILM-076; FILM-086</t>
        </is>
      </c>
      <c r="C168" s="5" t="n"/>
      <c r="D168" s="5" t="inlineStr">
        <is>
          <t>Excel Entertainment</t>
        </is>
      </c>
      <c r="E168" s="5" t="inlineStr">
        <is>
          <t>Wikipedia</t>
        </is>
      </c>
      <c r="F168" s="5" t="n"/>
      <c r="G168" s="5" t="n"/>
      <c r="H168" s="22" t="inlineStr">
        <is>
          <t>https://en.wikipedia.org/wiki/Excel_Entertainment</t>
        </is>
      </c>
      <c r="I168" s="16" t="n">
        <v>46278</v>
      </c>
      <c r="J168" s="5" t="inlineStr">
        <is>
          <t>Career background, major works and awards of Excel Entertainment.</t>
        </is>
      </c>
      <c r="K168" s="5" t="inlineStr">
        <is>
          <t>Reference encyclopedia</t>
        </is>
      </c>
      <c r="L168" s="5" t="inlineStr">
        <is>
          <t>C</t>
        </is>
      </c>
      <c r="M168" s="5" t="inlineStr">
        <is>
          <t>Downloaded as raw wikitext; used for the collaborator biography.</t>
        </is>
      </c>
    </row>
    <row r="169" ht="49" customHeight="1">
      <c r="A169" s="15" t="inlineStr">
        <is>
          <t>SOURCE-168</t>
        </is>
      </c>
      <c r="B169" s="5" t="inlineStr">
        <is>
          <t>FILM-058; FILM-068; FILM-076; FILM-086</t>
        </is>
      </c>
      <c r="C169" s="5" t="n"/>
      <c r="D169" s="5" t="inlineStr">
        <is>
          <t>Ritesh Sidhwani</t>
        </is>
      </c>
      <c r="E169" s="5" t="inlineStr">
        <is>
          <t>Wikipedia</t>
        </is>
      </c>
      <c r="F169" s="5" t="n"/>
      <c r="G169" s="5" t="n"/>
      <c r="H169" s="22" t="inlineStr">
        <is>
          <t>https://en.wikipedia.org/wiki/Ritesh_Sidhwani</t>
        </is>
      </c>
      <c r="I169" s="16" t="n">
        <v>46278</v>
      </c>
      <c r="J169" s="5" t="inlineStr">
        <is>
          <t>Career background, major works and awards of Excel Entertainment.</t>
        </is>
      </c>
      <c r="K169" s="5" t="inlineStr">
        <is>
          <t>Reference encyclopedia</t>
        </is>
      </c>
      <c r="L169" s="5" t="inlineStr">
        <is>
          <t>C</t>
        </is>
      </c>
      <c r="M169" s="5" t="inlineStr">
        <is>
          <t>Downloaded as raw wikitext; used for the collaborator biography. The article is titled Ritesh Sidhwani.</t>
        </is>
      </c>
    </row>
    <row r="170" ht="34" customHeight="1">
      <c r="A170" s="15" t="inlineStr">
        <is>
          <t>SOURCE-169</t>
        </is>
      </c>
      <c r="B170" s="5" t="inlineStr">
        <is>
          <t>FILM-058; FILM-068; FILM-076; FILM-086</t>
        </is>
      </c>
      <c r="C170" s="5" t="n"/>
      <c r="D170" s="5" t="inlineStr">
        <is>
          <t>Farhan Akhtar</t>
        </is>
      </c>
      <c r="E170" s="5" t="inlineStr">
        <is>
          <t>Wikipedia</t>
        </is>
      </c>
      <c r="F170" s="5" t="n"/>
      <c r="G170" s="5" t="n"/>
      <c r="H170" s="22" t="inlineStr">
        <is>
          <t>https://en.wikipedia.org/wiki/Farhan_Akhtar</t>
        </is>
      </c>
      <c r="I170" s="16" t="n">
        <v>46278</v>
      </c>
      <c r="J170" s="5" t="inlineStr">
        <is>
          <t>Career background, major works and awards of Farhan Akhtar.</t>
        </is>
      </c>
      <c r="K170" s="5" t="inlineStr">
        <is>
          <t>Reference encyclopedia</t>
        </is>
      </c>
      <c r="L170" s="5" t="inlineStr">
        <is>
          <t>C</t>
        </is>
      </c>
      <c r="M170" s="5" t="inlineStr">
        <is>
          <t>Downloaded as raw wikitext; used for the collaborator biography.</t>
        </is>
      </c>
    </row>
    <row r="171" ht="49" customHeight="1">
      <c r="A171" s="15" t="inlineStr">
        <is>
          <t>SOURCE-170</t>
        </is>
      </c>
      <c r="B171" s="5" t="inlineStr">
        <is>
          <t>FILM-059; FILM-062; FILM-065; FILM-075; FILM-079; FILM-081; FILM-083; FILM-094</t>
        </is>
      </c>
      <c r="C171" s="5" t="n"/>
      <c r="D171" s="5" t="inlineStr">
        <is>
          <t>Vishal–Shekhar</t>
        </is>
      </c>
      <c r="E171" s="5" t="inlineStr">
        <is>
          <t>Wikipedia</t>
        </is>
      </c>
      <c r="F171" s="5" t="n"/>
      <c r="G171" s="5" t="n"/>
      <c r="H171" s="22" t="inlineStr">
        <is>
          <t>https://en.wikipedia.org/wiki/Vishal%E2%80%93Shekhar</t>
        </is>
      </c>
      <c r="I171" s="16" t="n">
        <v>46278</v>
      </c>
      <c r="J171" s="5" t="inlineStr">
        <is>
          <t>Career background, major works and awards of Vishal–Shekhar.</t>
        </is>
      </c>
      <c r="K171" s="5" t="inlineStr">
        <is>
          <t>Reference encyclopedia</t>
        </is>
      </c>
      <c r="L171" s="5" t="inlineStr">
        <is>
          <t>C</t>
        </is>
      </c>
      <c r="M171" s="5" t="inlineStr">
        <is>
          <t>Downloaded as raw wikitext; used for the collaborator biography.</t>
        </is>
      </c>
    </row>
    <row r="172" ht="34" customHeight="1">
      <c r="A172" s="15" t="inlineStr">
        <is>
          <t>SOURCE-171</t>
        </is>
      </c>
      <c r="B172" s="5" t="inlineStr">
        <is>
          <t>FILM-060</t>
        </is>
      </c>
      <c r="C172" s="5" t="n"/>
      <c r="D172" s="5" t="inlineStr">
        <is>
          <t>Shimit Amin</t>
        </is>
      </c>
      <c r="E172" s="5" t="inlineStr">
        <is>
          <t>Wikipedia</t>
        </is>
      </c>
      <c r="F172" s="5" t="n"/>
      <c r="G172" s="5" t="n"/>
      <c r="H172" s="22" t="inlineStr">
        <is>
          <t>https://en.wikipedia.org/wiki/Shimit_Amin</t>
        </is>
      </c>
      <c r="I172" s="16" t="n">
        <v>46278</v>
      </c>
      <c r="J172" s="5" t="inlineStr">
        <is>
          <t>Career background, major works and awards of Shimit Amin.</t>
        </is>
      </c>
      <c r="K172" s="5" t="inlineStr">
        <is>
          <t>Reference encyclopedia</t>
        </is>
      </c>
      <c r="L172" s="5" t="inlineStr">
        <is>
          <t>C</t>
        </is>
      </c>
      <c r="M172" s="5" t="inlineStr">
        <is>
          <t>Downloaded as raw wikitext; used for the collaborator biography.</t>
        </is>
      </c>
    </row>
    <row r="173" ht="49" customHeight="1">
      <c r="A173" s="15" t="inlineStr">
        <is>
          <t>SOURCE-172</t>
        </is>
      </c>
      <c r="B173" s="5" t="inlineStr">
        <is>
          <t>FILM-065; FILM-080</t>
        </is>
      </c>
      <c r="C173" s="5" t="n"/>
      <c r="D173" s="5" t="inlineStr">
        <is>
          <t>B. R. Chopra</t>
        </is>
      </c>
      <c r="E173" s="5" t="inlineStr">
        <is>
          <t>Wikipedia</t>
        </is>
      </c>
      <c r="F173" s="5" t="n"/>
      <c r="G173" s="5" t="n"/>
      <c r="H173" s="22" t="inlineStr">
        <is>
          <t>https://en.wikipedia.org/wiki/B._R._Chopra</t>
        </is>
      </c>
      <c r="I173" s="16" t="n">
        <v>46278</v>
      </c>
      <c r="J173" s="5" t="inlineStr">
        <is>
          <t>Career background, major works and awards of B. R. Films.</t>
        </is>
      </c>
      <c r="K173" s="5" t="inlineStr">
        <is>
          <t>Reference encyclopedia</t>
        </is>
      </c>
      <c r="L173" s="5" t="inlineStr">
        <is>
          <t>C</t>
        </is>
      </c>
      <c r="M173" s="5" t="inlineStr">
        <is>
          <t>Downloaded as raw wikitext; used for the collaborator biography. The article is titled B. R. Chopra.</t>
        </is>
      </c>
    </row>
    <row r="174" ht="79" customHeight="1">
      <c r="A174" s="15" t="inlineStr">
        <is>
          <t>SOURCE-173</t>
        </is>
      </c>
      <c r="B174" s="5" t="inlineStr">
        <is>
          <t>FILM-066; FILM-069; FILM-070; FILM-073; FILM-082; FILM-084; FILM-087; FILM-088; FILM-092; FILM-093; FILM-096; FILM-097</t>
        </is>
      </c>
      <c r="C174" s="5" t="n"/>
      <c r="D174" s="5" t="inlineStr">
        <is>
          <t>Pritam</t>
        </is>
      </c>
      <c r="E174" s="5" t="inlineStr">
        <is>
          <t>Wikipedia</t>
        </is>
      </c>
      <c r="F174" s="5" t="n"/>
      <c r="G174" s="5" t="n"/>
      <c r="H174" s="22" t="inlineStr">
        <is>
          <t>https://en.wikipedia.org/wiki/Pritam</t>
        </is>
      </c>
      <c r="I174" s="16" t="n">
        <v>46278</v>
      </c>
      <c r="J174" s="5" t="inlineStr">
        <is>
          <t>Career background, major works and awards of Pritam.</t>
        </is>
      </c>
      <c r="K174" s="5" t="inlineStr">
        <is>
          <t>Reference encyclopedia</t>
        </is>
      </c>
      <c r="L174" s="5" t="inlineStr">
        <is>
          <t>C</t>
        </is>
      </c>
      <c r="M174" s="5" t="inlineStr">
        <is>
          <t>Downloaded as raw wikitext; used for the collaborator biography.</t>
        </is>
      </c>
    </row>
    <row r="175" ht="34" customHeight="1">
      <c r="A175" s="15" t="inlineStr">
        <is>
          <t>SOURCE-174</t>
        </is>
      </c>
      <c r="B175" s="5" t="inlineStr">
        <is>
          <t>FILM-068; FILM-078</t>
        </is>
      </c>
      <c r="C175" s="5" t="n"/>
      <c r="D175" s="5" t="inlineStr">
        <is>
          <t>Zoya Akhtar</t>
        </is>
      </c>
      <c r="E175" s="5" t="inlineStr">
        <is>
          <t>Wikipedia</t>
        </is>
      </c>
      <c r="F175" s="5" t="n"/>
      <c r="G175" s="5" t="n"/>
      <c r="H175" s="22" t="inlineStr">
        <is>
          <t>https://en.wikipedia.org/wiki/Zoya_Akhtar</t>
        </is>
      </c>
      <c r="I175" s="16" t="n">
        <v>46278</v>
      </c>
      <c r="J175" s="5" t="inlineStr">
        <is>
          <t>Career background, major works and awards of Zoya Akhtar.</t>
        </is>
      </c>
      <c r="K175" s="5" t="inlineStr">
        <is>
          <t>Reference encyclopedia</t>
        </is>
      </c>
      <c r="L175" s="5" t="inlineStr">
        <is>
          <t>C</t>
        </is>
      </c>
      <c r="M175" s="5" t="inlineStr">
        <is>
          <t>Downloaded as raw wikitext; used for the collaborator biography.</t>
        </is>
      </c>
    </row>
    <row r="176" ht="49" customHeight="1">
      <c r="A176" s="15" t="inlineStr">
        <is>
          <t>SOURCE-175</t>
        </is>
      </c>
      <c r="B176" s="5" t="inlineStr">
        <is>
          <t>FILM-071; FILM-090</t>
        </is>
      </c>
      <c r="C176" s="5" t="n"/>
      <c r="D176" s="5" t="inlineStr">
        <is>
          <t>Star Studio18</t>
        </is>
      </c>
      <c r="E176" s="5" t="inlineStr">
        <is>
          <t>Wikipedia</t>
        </is>
      </c>
      <c r="F176" s="5" t="n"/>
      <c r="G176" s="5" t="n"/>
      <c r="H176" s="22" t="inlineStr">
        <is>
          <t>https://en.wikipedia.org/wiki/Star_Studio18</t>
        </is>
      </c>
      <c r="I176" s="16" t="n">
        <v>46278</v>
      </c>
      <c r="J176" s="5" t="inlineStr">
        <is>
          <t>Career background, major works and awards of Fox Star Studios.</t>
        </is>
      </c>
      <c r="K176" s="5" t="inlineStr">
        <is>
          <t>Reference encyclopedia</t>
        </is>
      </c>
      <c r="L176" s="5" t="inlineStr">
        <is>
          <t>C</t>
        </is>
      </c>
      <c r="M176" s="5" t="inlineStr">
        <is>
          <t>Downloaded as raw wikitext; used for the collaborator biography. The article is titled Star Studio18.</t>
        </is>
      </c>
    </row>
    <row r="177" ht="34" customHeight="1">
      <c r="A177" s="15" t="inlineStr">
        <is>
          <t>SOURCE-176</t>
        </is>
      </c>
      <c r="B177" s="5" t="inlineStr">
        <is>
          <t>FILM-078; FILM-085</t>
        </is>
      </c>
      <c r="C177" s="5" t="n"/>
      <c r="D177" s="5" t="inlineStr">
        <is>
          <t>Amit Trivedi</t>
        </is>
      </c>
      <c r="E177" s="5" t="inlineStr">
        <is>
          <t>Wikipedia</t>
        </is>
      </c>
      <c r="F177" s="5" t="n"/>
      <c r="G177" s="5" t="n"/>
      <c r="H177" s="22" t="inlineStr">
        <is>
          <t>https://en.wikipedia.org/wiki/Amit_Trivedi</t>
        </is>
      </c>
      <c r="I177" s="16" t="n">
        <v>46278</v>
      </c>
      <c r="J177" s="5" t="inlineStr">
        <is>
          <t>Career background, major works and awards of Amit Trivedi.</t>
        </is>
      </c>
      <c r="K177" s="5" t="inlineStr">
        <is>
          <t>Reference encyclopedia</t>
        </is>
      </c>
      <c r="L177" s="5" t="inlineStr">
        <is>
          <t>C</t>
        </is>
      </c>
      <c r="M177" s="5" t="inlineStr">
        <is>
          <t>Downloaded as raw wikitext; used for the collaborator biography.</t>
        </is>
      </c>
    </row>
    <row r="178" ht="34" customHeight="1">
      <c r="A178" s="15" t="inlineStr">
        <is>
          <t>SOURCE-177</t>
        </is>
      </c>
      <c r="B178" s="5" t="inlineStr">
        <is>
          <t>FILM-079; FILM-082</t>
        </is>
      </c>
      <c r="C178" s="5" t="n"/>
      <c r="D178" s="5" t="inlineStr">
        <is>
          <t>Amar Mohile</t>
        </is>
      </c>
      <c r="E178" s="5" t="inlineStr">
        <is>
          <t>Wikipedia</t>
        </is>
      </c>
      <c r="F178" s="5" t="n"/>
      <c r="G178" s="5" t="n"/>
      <c r="H178" s="22" t="inlineStr">
        <is>
          <t>https://en.wikipedia.org/wiki/Amar_Mohile</t>
        </is>
      </c>
      <c r="I178" s="16" t="n">
        <v>46278</v>
      </c>
      <c r="J178" s="5" t="inlineStr">
        <is>
          <t>Career background, major works and awards of Amar Mohile.</t>
        </is>
      </c>
      <c r="K178" s="5" t="inlineStr">
        <is>
          <t>Reference encyclopedia</t>
        </is>
      </c>
      <c r="L178" s="5" t="inlineStr">
        <is>
          <t>C</t>
        </is>
      </c>
      <c r="M178" s="5" t="inlineStr">
        <is>
          <t>Downloaded as raw wikitext; used for the collaborator biography.</t>
        </is>
      </c>
    </row>
    <row r="179" ht="34" customHeight="1">
      <c r="A179" s="15" t="inlineStr">
        <is>
          <t>SOURCE-178</t>
        </is>
      </c>
      <c r="B179" s="5" t="inlineStr">
        <is>
          <t>FILM-079; FILM-082</t>
        </is>
      </c>
      <c r="C179" s="5" t="n"/>
      <c r="D179" s="5" t="inlineStr">
        <is>
          <t>Rohit Shetty</t>
        </is>
      </c>
      <c r="E179" s="5" t="inlineStr">
        <is>
          <t>Wikipedia</t>
        </is>
      </c>
      <c r="F179" s="5" t="n"/>
      <c r="G179" s="5" t="n"/>
      <c r="H179" s="22" t="inlineStr">
        <is>
          <t>https://en.wikipedia.org/wiki/Rohit_Shetty</t>
        </is>
      </c>
      <c r="I179" s="16" t="n">
        <v>46278</v>
      </c>
      <c r="J179" s="5" t="inlineStr">
        <is>
          <t>Career background, major works and awards of Rohit Shetty.</t>
        </is>
      </c>
      <c r="K179" s="5" t="inlineStr">
        <is>
          <t>Reference encyclopedia</t>
        </is>
      </c>
      <c r="L179" s="5" t="inlineStr">
        <is>
          <t>C</t>
        </is>
      </c>
      <c r="M179" s="5" t="inlineStr">
        <is>
          <t>Downloaded as raw wikitext; used for the collaborator biography.</t>
        </is>
      </c>
    </row>
    <row r="180" ht="34" customHeight="1">
      <c r="A180" s="15" t="inlineStr">
        <is>
          <t>SOURCE-179</t>
        </is>
      </c>
      <c r="B180" s="5" t="inlineStr">
        <is>
          <t>FILM-080; FILM-086</t>
        </is>
      </c>
      <c r="C180" s="5" t="n"/>
      <c r="D180" s="5" t="inlineStr">
        <is>
          <t>Ram Sampath</t>
        </is>
      </c>
      <c r="E180" s="5" t="inlineStr">
        <is>
          <t>Wikipedia</t>
        </is>
      </c>
      <c r="F180" s="5" t="n"/>
      <c r="G180" s="5" t="n"/>
      <c r="H180" s="22" t="inlineStr">
        <is>
          <t>https://en.wikipedia.org/wiki/Ram_Sampath</t>
        </is>
      </c>
      <c r="I180" s="16" t="n">
        <v>46278</v>
      </c>
      <c r="J180" s="5" t="inlineStr">
        <is>
          <t>Career background, major works and awards of Ram Sampath.</t>
        </is>
      </c>
      <c r="K180" s="5" t="inlineStr">
        <is>
          <t>Reference encyclopedia</t>
        </is>
      </c>
      <c r="L180" s="5" t="inlineStr">
        <is>
          <t>C</t>
        </is>
      </c>
      <c r="M180" s="5" t="inlineStr">
        <is>
          <t>Downloaded as raw wikitext; used for the collaborator biography.</t>
        </is>
      </c>
    </row>
    <row r="181" ht="34" customHeight="1">
      <c r="A181" s="15" t="inlineStr">
        <is>
          <t>SOURCE-180</t>
        </is>
      </c>
      <c r="B181" s="5" t="inlineStr">
        <is>
          <t>FILM-083; FILM-096</t>
        </is>
      </c>
      <c r="C181" s="5" t="n"/>
      <c r="D181" s="5" t="inlineStr">
        <is>
          <t>Maneesh Sharma</t>
        </is>
      </c>
      <c r="E181" s="5" t="inlineStr">
        <is>
          <t>Wikipedia</t>
        </is>
      </c>
      <c r="F181" s="5" t="n"/>
      <c r="G181" s="5" t="n"/>
      <c r="H181" s="22" t="inlineStr">
        <is>
          <t>https://en.wikipedia.org/wiki/Maneesh_Sharma</t>
        </is>
      </c>
      <c r="I181" s="16" t="n">
        <v>46278</v>
      </c>
      <c r="J181" s="5" t="inlineStr">
        <is>
          <t>Career background, major works and awards of Maneesh Sharma.</t>
        </is>
      </c>
      <c r="K181" s="5" t="inlineStr">
        <is>
          <t>Reference encyclopedia</t>
        </is>
      </c>
      <c r="L181" s="5" t="inlineStr">
        <is>
          <t>C</t>
        </is>
      </c>
      <c r="M181" s="5" t="inlineStr">
        <is>
          <t>Downloaded as raw wikitext; used for the collaborator biography.</t>
        </is>
      </c>
    </row>
    <row r="182" ht="34" customHeight="1">
      <c r="A182" s="15" t="inlineStr">
        <is>
          <t>SOURCE-181</t>
        </is>
      </c>
      <c r="B182" s="5" t="inlineStr">
        <is>
          <t>FILM-085</t>
        </is>
      </c>
      <c r="C182" s="5" t="n"/>
      <c r="D182" s="5" t="inlineStr">
        <is>
          <t>Gauri Shinde</t>
        </is>
      </c>
      <c r="E182" s="5" t="inlineStr">
        <is>
          <t>Wikipedia</t>
        </is>
      </c>
      <c r="F182" s="5" t="n"/>
      <c r="G182" s="5" t="n"/>
      <c r="H182" s="22" t="inlineStr">
        <is>
          <t>https://en.wikipedia.org/wiki/Gauri_Shinde</t>
        </is>
      </c>
      <c r="I182" s="16" t="n">
        <v>46278</v>
      </c>
      <c r="J182" s="5" t="inlineStr">
        <is>
          <t>Career background, major works and awards of Gauri Shinde.</t>
        </is>
      </c>
      <c r="K182" s="5" t="inlineStr">
        <is>
          <t>Reference encyclopedia</t>
        </is>
      </c>
      <c r="L182" s="5" t="inlineStr">
        <is>
          <t>C</t>
        </is>
      </c>
      <c r="M182" s="5" t="inlineStr">
        <is>
          <t>Downloaded as raw wikitext; used for the collaborator biography.</t>
        </is>
      </c>
    </row>
    <row r="183" ht="49" customHeight="1">
      <c r="A183" s="15" t="inlineStr">
        <is>
          <t>SOURCE-182</t>
        </is>
      </c>
      <c r="B183" s="5" t="inlineStr">
        <is>
          <t>FILM-088</t>
        </is>
      </c>
      <c r="C183" s="5" t="n"/>
      <c r="D183" s="5" t="inlineStr">
        <is>
          <t>Imtiaz Ali (director)</t>
        </is>
      </c>
      <c r="E183" s="5" t="inlineStr">
        <is>
          <t>Wikipedia</t>
        </is>
      </c>
      <c r="F183" s="5" t="n"/>
      <c r="G183" s="5" t="n"/>
      <c r="H183" s="22" t="inlineStr">
        <is>
          <t>https://en.wikipedia.org/wiki/Imtiaz_Ali_(director)</t>
        </is>
      </c>
      <c r="I183" s="16" t="n">
        <v>46278</v>
      </c>
      <c r="J183" s="5" t="inlineStr">
        <is>
          <t>Career background, major works and awards of Imtiaz Ali.</t>
        </is>
      </c>
      <c r="K183" s="5" t="inlineStr">
        <is>
          <t>Reference encyclopedia</t>
        </is>
      </c>
      <c r="L183" s="5" t="inlineStr">
        <is>
          <t>C</t>
        </is>
      </c>
      <c r="M183" s="5" t="inlineStr">
        <is>
          <t>Downloaded as raw wikitext; used for the collaborator biography. The article is titled Imtiaz Ali (director).</t>
        </is>
      </c>
    </row>
    <row r="184" ht="34" customHeight="1">
      <c r="A184" s="15" t="inlineStr">
        <is>
          <t>SOURCE-183</t>
        </is>
      </c>
      <c r="B184" s="5" t="inlineStr">
        <is>
          <t>FILM-089</t>
        </is>
      </c>
      <c r="C184" s="5" t="n"/>
      <c r="D184" s="5" t="inlineStr">
        <is>
          <t>Aanand L. Rai</t>
        </is>
      </c>
      <c r="E184" s="5" t="inlineStr">
        <is>
          <t>Wikipedia</t>
        </is>
      </c>
      <c r="F184" s="5" t="n"/>
      <c r="G184" s="5" t="n"/>
      <c r="H184" s="22" t="inlineStr">
        <is>
          <t>https://en.wikipedia.org/wiki/Aanand_L._Rai</t>
        </is>
      </c>
      <c r="I184" s="16" t="n">
        <v>46278</v>
      </c>
      <c r="J184" s="5" t="inlineStr">
        <is>
          <t>Career background, major works and awards of Aanand L. Rai.</t>
        </is>
      </c>
      <c r="K184" s="5" t="inlineStr">
        <is>
          <t>Reference encyclopedia</t>
        </is>
      </c>
      <c r="L184" s="5" t="inlineStr">
        <is>
          <t>C</t>
        </is>
      </c>
      <c r="M184" s="5" t="inlineStr">
        <is>
          <t>Downloaded as raw wikitext; used for the collaborator biography.</t>
        </is>
      </c>
    </row>
    <row r="185" ht="34" customHeight="1">
      <c r="A185" s="15" t="inlineStr">
        <is>
          <t>SOURCE-184</t>
        </is>
      </c>
      <c r="B185" s="5" t="inlineStr">
        <is>
          <t>FILM-094</t>
        </is>
      </c>
      <c r="C185" s="5" t="n"/>
      <c r="D185" s="5" t="inlineStr">
        <is>
          <t>Siddharth Anand</t>
        </is>
      </c>
      <c r="E185" s="5" t="inlineStr">
        <is>
          <t>Wikipedia</t>
        </is>
      </c>
      <c r="F185" s="5" t="n"/>
      <c r="G185" s="5" t="n"/>
      <c r="H185" s="22" t="inlineStr">
        <is>
          <t>https://en.wikipedia.org/wiki/Siddharth_Anand</t>
        </is>
      </c>
      <c r="I185" s="16" t="n">
        <v>46278</v>
      </c>
      <c r="J185" s="5" t="inlineStr">
        <is>
          <t>Career background, major works and awards of Siddharth Anand.</t>
        </is>
      </c>
      <c r="K185" s="5" t="inlineStr">
        <is>
          <t>Reference encyclopedia</t>
        </is>
      </c>
      <c r="L185" s="5" t="inlineStr">
        <is>
          <t>C</t>
        </is>
      </c>
      <c r="M185" s="5" t="inlineStr">
        <is>
          <t>Downloaded as raw wikitext; used for the collaborator biography.</t>
        </is>
      </c>
    </row>
    <row r="186" ht="49" customHeight="1">
      <c r="A186" s="15" t="inlineStr">
        <is>
          <t>SOURCE-185</t>
        </is>
      </c>
      <c r="B186" s="5" t="inlineStr">
        <is>
          <t>FILM-095</t>
        </is>
      </c>
      <c r="C186" s="5" t="n"/>
      <c r="D186" s="5" t="inlineStr">
        <is>
          <t>Atlee (director)</t>
        </is>
      </c>
      <c r="E186" s="5" t="inlineStr">
        <is>
          <t>Wikipedia</t>
        </is>
      </c>
      <c r="F186" s="5" t="n"/>
      <c r="G186" s="5" t="n"/>
      <c r="H186" s="22" t="inlineStr">
        <is>
          <t>https://en.wikipedia.org/wiki/Atlee_(director)</t>
        </is>
      </c>
      <c r="I186" s="16" t="n">
        <v>46278</v>
      </c>
      <c r="J186" s="5" t="inlineStr">
        <is>
          <t>Career background, major works and awards of Atlee.</t>
        </is>
      </c>
      <c r="K186" s="5" t="inlineStr">
        <is>
          <t>Reference encyclopedia</t>
        </is>
      </c>
      <c r="L186" s="5" t="inlineStr">
        <is>
          <t>C</t>
        </is>
      </c>
      <c r="M186" s="5" t="inlineStr">
        <is>
          <t>Downloaded as raw wikitext; used for the collaborator biography. The article is titled Atlee (director).</t>
        </is>
      </c>
    </row>
    <row r="187" ht="34" customHeight="1">
      <c r="A187" s="15" t="inlineStr">
        <is>
          <t>SOURCE-186</t>
        </is>
      </c>
      <c r="B187" s="5" t="inlineStr">
        <is>
          <t>FILM-097</t>
        </is>
      </c>
      <c r="C187" s="5" t="n"/>
      <c r="D187" s="5" t="inlineStr">
        <is>
          <t>Rajkumar Hirani</t>
        </is>
      </c>
      <c r="E187" s="5" t="inlineStr">
        <is>
          <t>Wikipedia</t>
        </is>
      </c>
      <c r="F187" s="5" t="n"/>
      <c r="G187" s="5" t="n"/>
      <c r="H187" s="22" t="inlineStr">
        <is>
          <t>https://en.wikipedia.org/wiki/Rajkumar_Hirani</t>
        </is>
      </c>
      <c r="I187" s="16" t="n">
        <v>46278</v>
      </c>
      <c r="J187" s="5" t="inlineStr">
        <is>
          <t>Career background, major works and awards of Rajkumar Hirani.</t>
        </is>
      </c>
      <c r="K187" s="5" t="inlineStr">
        <is>
          <t>Reference encyclopedia</t>
        </is>
      </c>
      <c r="L187" s="5" t="inlineStr">
        <is>
          <t>C</t>
        </is>
      </c>
      <c r="M187" s="5" t="inlineStr">
        <is>
          <t>Downloaded as raw wikitext; used for the collaborator biography.</t>
        </is>
      </c>
    </row>
    <row r="188" ht="34" customHeight="1">
      <c r="A188" s="15" t="inlineStr">
        <is>
          <t>SOURCE-187</t>
        </is>
      </c>
      <c r="B188" s="5" t="n"/>
      <c r="C188" s="5" t="n"/>
      <c r="D188" s="5" t="inlineStr">
        <is>
          <t>Akash Khurana</t>
        </is>
      </c>
      <c r="E188" s="5" t="inlineStr">
        <is>
          <t>Wikipedia</t>
        </is>
      </c>
      <c r="F188" s="5" t="n"/>
      <c r="G188" s="5" t="n"/>
      <c r="H188" s="22" t="inlineStr">
        <is>
          <t>https://en.wikipedia.org/wiki/Akash_Khurana</t>
        </is>
      </c>
      <c r="I188" s="16" t="n">
        <v>46303</v>
      </c>
      <c r="J188" s="5" t="inlineStr">
        <is>
          <t>Career background, major works and awards of Akash Khurana.</t>
        </is>
      </c>
      <c r="K188" s="5" t="inlineStr">
        <is>
          <t>Reference encyclopedia</t>
        </is>
      </c>
      <c r="L188" s="5" t="inlineStr">
        <is>
          <t>C</t>
        </is>
      </c>
      <c r="M188" s="5" t="inlineStr">
        <is>
          <t>Collaborator article; downloaded as raw wikitext.</t>
        </is>
      </c>
    </row>
    <row r="189" ht="34" customHeight="1">
      <c r="A189" s="15" t="inlineStr">
        <is>
          <t>SOURCE-188</t>
        </is>
      </c>
      <c r="B189" s="5" t="n"/>
      <c r="C189" s="5" t="n"/>
      <c r="D189" s="5" t="inlineStr">
        <is>
          <t>Champak Jain</t>
        </is>
      </c>
      <c r="E189" s="5" t="inlineStr">
        <is>
          <t>Wikipedia</t>
        </is>
      </c>
      <c r="F189" s="5" t="n"/>
      <c r="G189" s="5" t="n"/>
      <c r="H189" s="22" t="inlineStr">
        <is>
          <t>https://en.wikipedia.org/wiki/Champak_Jain</t>
        </is>
      </c>
      <c r="I189" s="16" t="n">
        <v>46303</v>
      </c>
      <c r="J189" s="5" t="inlineStr">
        <is>
          <t>Career background, major works and awards of Champak Jain.</t>
        </is>
      </c>
      <c r="K189" s="5" t="inlineStr">
        <is>
          <t>Reference encyclopedia</t>
        </is>
      </c>
      <c r="L189" s="5" t="inlineStr">
        <is>
          <t>C</t>
        </is>
      </c>
      <c r="M189" s="5" t="inlineStr">
        <is>
          <t>Collaborator article; downloaded as raw wikitext.</t>
        </is>
      </c>
    </row>
    <row r="190" ht="34" customHeight="1">
      <c r="A190" s="15" t="inlineStr">
        <is>
          <t>SOURCE-189</t>
        </is>
      </c>
      <c r="B190" s="5" t="n"/>
      <c r="C190" s="5" t="n"/>
      <c r="D190" s="5" t="inlineStr">
        <is>
          <t>Ganesh Jain</t>
        </is>
      </c>
      <c r="E190" s="5" t="inlineStr">
        <is>
          <t>Wikipedia</t>
        </is>
      </c>
      <c r="F190" s="5" t="n"/>
      <c r="G190" s="5" t="n"/>
      <c r="H190" s="22" t="inlineStr">
        <is>
          <t>https://en.wikipedia.org/wiki/Ganesh_Jain</t>
        </is>
      </c>
      <c r="I190" s="16" t="n">
        <v>46303</v>
      </c>
      <c r="J190" s="5" t="inlineStr">
        <is>
          <t>Career background, major works and awards of Ganesh Jain.</t>
        </is>
      </c>
      <c r="K190" s="5" t="inlineStr">
        <is>
          <t>Reference encyclopedia</t>
        </is>
      </c>
      <c r="L190" s="5" t="inlineStr">
        <is>
          <t>C</t>
        </is>
      </c>
      <c r="M190" s="5" t="inlineStr">
        <is>
          <t>Collaborator article; downloaded as raw wikitext.</t>
        </is>
      </c>
    </row>
    <row r="191" ht="34" customHeight="1">
      <c r="A191" s="15" t="inlineStr">
        <is>
          <t>SOURCE-190</t>
        </is>
      </c>
      <c r="B191" s="5" t="n"/>
      <c r="C191" s="5" t="n"/>
      <c r="D191" s="5" t="inlineStr">
        <is>
          <t>Juhi Chawla</t>
        </is>
      </c>
      <c r="E191" s="5" t="inlineStr">
        <is>
          <t>Wikipedia</t>
        </is>
      </c>
      <c r="F191" s="5" t="n"/>
      <c r="G191" s="5" t="n"/>
      <c r="H191" s="22" t="inlineStr">
        <is>
          <t>https://en.wikipedia.org/wiki/Juhi_Chawla</t>
        </is>
      </c>
      <c r="I191" s="16" t="n">
        <v>46303</v>
      </c>
      <c r="J191" s="5" t="inlineStr">
        <is>
          <t>Career background, major works and awards of Juhi Chawla.</t>
        </is>
      </c>
      <c r="K191" s="5" t="inlineStr">
        <is>
          <t>Reference encyclopedia</t>
        </is>
      </c>
      <c r="L191" s="5" t="inlineStr">
        <is>
          <t>C</t>
        </is>
      </c>
      <c r="M191" s="5" t="inlineStr">
        <is>
          <t>Collaborator article; downloaded as raw wikitext.</t>
        </is>
      </c>
    </row>
    <row r="192" ht="34" customHeight="1">
      <c r="A192" s="15" t="inlineStr">
        <is>
          <t>SOURCE-191</t>
        </is>
      </c>
      <c r="B192" s="5" t="n"/>
      <c r="C192" s="5" t="n"/>
      <c r="D192" s="5" t="inlineStr">
        <is>
          <t>Mushtaq Shiekh</t>
        </is>
      </c>
      <c r="E192" s="5" t="inlineStr">
        <is>
          <t>Wikipedia</t>
        </is>
      </c>
      <c r="F192" s="5" t="n"/>
      <c r="G192" s="5" t="n"/>
      <c r="H192" s="22" t="inlineStr">
        <is>
          <t>https://en.wikipedia.org/wiki/Mushtaq_Shiekh</t>
        </is>
      </c>
      <c r="I192" s="16" t="n">
        <v>46303</v>
      </c>
      <c r="J192" s="5" t="inlineStr">
        <is>
          <t>Career background, major works and awards of Mushtaq Shiekh.</t>
        </is>
      </c>
      <c r="K192" s="5" t="inlineStr">
        <is>
          <t>Reference encyclopedia</t>
        </is>
      </c>
      <c r="L192" s="5" t="inlineStr">
        <is>
          <t>C</t>
        </is>
      </c>
      <c r="M192" s="5" t="inlineStr">
        <is>
          <t>Collaborator article; downloaded as raw wikitext.</t>
        </is>
      </c>
    </row>
    <row r="193" ht="34" customHeight="1">
      <c r="A193" s="15" t="inlineStr">
        <is>
          <t>SOURCE-192</t>
        </is>
      </c>
      <c r="B193" s="5" t="n"/>
      <c r="C193" s="5" t="n"/>
      <c r="D193" s="5" t="inlineStr">
        <is>
          <t>Neeraj Vora</t>
        </is>
      </c>
      <c r="E193" s="5" t="inlineStr">
        <is>
          <t>Wikipedia</t>
        </is>
      </c>
      <c r="F193" s="5" t="n"/>
      <c r="G193" s="5" t="n"/>
      <c r="H193" s="22" t="inlineStr">
        <is>
          <t>https://en.wikipedia.org/wiki/Neeraj_Vora</t>
        </is>
      </c>
      <c r="I193" s="16" t="n">
        <v>46303</v>
      </c>
      <c r="J193" s="5" t="inlineStr">
        <is>
          <t>Career background, major works and awards of Neeraj Vora.</t>
        </is>
      </c>
      <c r="K193" s="5" t="inlineStr">
        <is>
          <t>Reference encyclopedia</t>
        </is>
      </c>
      <c r="L193" s="5" t="inlineStr">
        <is>
          <t>C</t>
        </is>
      </c>
      <c r="M193" s="5" t="inlineStr">
        <is>
          <t>Collaborator article; downloaded as raw wikitext.</t>
        </is>
      </c>
    </row>
    <row r="194" ht="34" customHeight="1">
      <c r="A194" s="15" t="inlineStr">
        <is>
          <t>SOURCE-193</t>
        </is>
      </c>
      <c r="B194" s="5" t="n"/>
      <c r="C194" s="5" t="n"/>
      <c r="D194" s="5" t="inlineStr">
        <is>
          <t>Sachin Bhowmick</t>
        </is>
      </c>
      <c r="E194" s="5" t="inlineStr">
        <is>
          <t>Wikipedia</t>
        </is>
      </c>
      <c r="F194" s="5" t="n"/>
      <c r="G194" s="5" t="n"/>
      <c r="H194" s="22" t="inlineStr">
        <is>
          <t>https://en.wikipedia.org/wiki/Sachin_Bhowmick</t>
        </is>
      </c>
      <c r="I194" s="16" t="n">
        <v>46303</v>
      </c>
      <c r="J194" s="5" t="inlineStr">
        <is>
          <t>Career background, major works and awards of Sachin Bhowmick.</t>
        </is>
      </c>
      <c r="K194" s="5" t="inlineStr">
        <is>
          <t>Reference encyclopedia</t>
        </is>
      </c>
      <c r="L194" s="5" t="inlineStr">
        <is>
          <t>C</t>
        </is>
      </c>
      <c r="M194" s="5" t="inlineStr">
        <is>
          <t>Collaborator article; downloaded as raw wikitext.</t>
        </is>
      </c>
    </row>
    <row r="195" ht="34" customHeight="1">
      <c r="A195" s="15" t="inlineStr">
        <is>
          <t>SOURCE-194</t>
        </is>
      </c>
      <c r="B195" s="5" t="n"/>
      <c r="C195" s="5" t="n"/>
      <c r="D195" s="5" t="inlineStr">
        <is>
          <t>Sanjay Chhel</t>
        </is>
      </c>
      <c r="E195" s="5" t="inlineStr">
        <is>
          <t>Wikipedia</t>
        </is>
      </c>
      <c r="F195" s="5" t="n"/>
      <c r="G195" s="5" t="n"/>
      <c r="H195" s="22" t="inlineStr">
        <is>
          <t>https://en.wikipedia.org/wiki/Sanjay_Chhel</t>
        </is>
      </c>
      <c r="I195" s="16" t="n">
        <v>46303</v>
      </c>
      <c r="J195" s="5" t="inlineStr">
        <is>
          <t>Career background, major works and awards of Sanjay Chhel.</t>
        </is>
      </c>
      <c r="K195" s="5" t="inlineStr">
        <is>
          <t>Reference encyclopedia</t>
        </is>
      </c>
      <c r="L195" s="5" t="inlineStr">
        <is>
          <t>C</t>
        </is>
      </c>
      <c r="M195" s="5" t="inlineStr">
        <is>
          <t>Collaborator article; downloaded as raw wikitext.</t>
        </is>
      </c>
    </row>
    <row r="196" ht="34" customHeight="1">
      <c r="A196" s="15" t="inlineStr">
        <is>
          <t>SOURCE-195</t>
        </is>
      </c>
      <c r="B196" s="5" t="n"/>
      <c r="C196" s="5" t="n"/>
      <c r="D196" s="5" t="inlineStr">
        <is>
          <t>Abbas Tyrewala</t>
        </is>
      </c>
      <c r="E196" s="5" t="inlineStr">
        <is>
          <t>Wikipedia</t>
        </is>
      </c>
      <c r="F196" s="5" t="n"/>
      <c r="G196" s="5" t="n"/>
      <c r="H196" s="22" t="inlineStr">
        <is>
          <t>https://en.wikipedia.org/wiki/Abbas_Tyrewala</t>
        </is>
      </c>
      <c r="I196" s="16" t="n">
        <v>46303</v>
      </c>
      <c r="J196" s="5" t="inlineStr">
        <is>
          <t>Career background, major works and awards of Abbas Tyrewala.</t>
        </is>
      </c>
      <c r="K196" s="5" t="inlineStr">
        <is>
          <t>Reference encyclopedia</t>
        </is>
      </c>
      <c r="L196" s="5" t="inlineStr">
        <is>
          <t>C</t>
        </is>
      </c>
      <c r="M196" s="5" t="inlineStr">
        <is>
          <t>Collaborator article; downloaded as raw wikitext.</t>
        </is>
      </c>
    </row>
    <row r="197" ht="34" customHeight="1">
      <c r="A197" s="15" t="inlineStr">
        <is>
          <t>SOURCE-196</t>
        </is>
      </c>
      <c r="B197" s="5" t="n"/>
      <c r="C197" s="5" t="n"/>
      <c r="D197" s="5" t="inlineStr">
        <is>
          <t>Anees Bazmee</t>
        </is>
      </c>
      <c r="E197" s="5" t="inlineStr">
        <is>
          <t>Wikipedia</t>
        </is>
      </c>
      <c r="F197" s="5" t="n"/>
      <c r="G197" s="5" t="n"/>
      <c r="H197" s="22" t="inlineStr">
        <is>
          <t>https://en.wikipedia.org/wiki/Anees_Bazmee</t>
        </is>
      </c>
      <c r="I197" s="16" t="n">
        <v>46303</v>
      </c>
      <c r="J197" s="5" t="inlineStr">
        <is>
          <t>Career background, major works and awards of Anees Bazmee.</t>
        </is>
      </c>
      <c r="K197" s="5" t="inlineStr">
        <is>
          <t>Reference encyclopedia</t>
        </is>
      </c>
      <c r="L197" s="5" t="inlineStr">
        <is>
          <t>C</t>
        </is>
      </c>
      <c r="M197" s="5" t="inlineStr">
        <is>
          <t>Collaborator article; downloaded as raw wikitext.</t>
        </is>
      </c>
    </row>
    <row r="198" ht="34" customHeight="1">
      <c r="A198" s="15" t="inlineStr">
        <is>
          <t>SOURCE-197</t>
        </is>
      </c>
      <c r="B198" s="5" t="n"/>
      <c r="C198" s="5" t="n"/>
      <c r="D198" s="5" t="inlineStr">
        <is>
          <t>K. Subash</t>
        </is>
      </c>
      <c r="E198" s="5" t="inlineStr">
        <is>
          <t>Wikipedia</t>
        </is>
      </c>
      <c r="F198" s="5" t="n"/>
      <c r="G198" s="5" t="n"/>
      <c r="H198" s="22" t="inlineStr">
        <is>
          <t>https://en.wikipedia.org/wiki/K._Subash</t>
        </is>
      </c>
      <c r="I198" s="16" t="n">
        <v>46303</v>
      </c>
      <c r="J198" s="5" t="inlineStr">
        <is>
          <t>Career background, major works and awards of K. Subash.</t>
        </is>
      </c>
      <c r="K198" s="5" t="inlineStr">
        <is>
          <t>Reference encyclopedia</t>
        </is>
      </c>
      <c r="L198" s="5" t="inlineStr">
        <is>
          <t>C</t>
        </is>
      </c>
      <c r="M198" s="5" t="inlineStr">
        <is>
          <t>Collaborator article; downloaded as raw wikitext.</t>
        </is>
      </c>
    </row>
    <row r="199" ht="34" customHeight="1">
      <c r="A199" s="15" t="inlineStr">
        <is>
          <t>SOURCE-198</t>
        </is>
      </c>
      <c r="B199" s="5" t="n"/>
      <c r="C199" s="5" t="n"/>
      <c r="D199" s="5" t="inlineStr">
        <is>
          <t>Kanika Dhillon</t>
        </is>
      </c>
      <c r="E199" s="5" t="inlineStr">
        <is>
          <t>Wikipedia</t>
        </is>
      </c>
      <c r="F199" s="5" t="n"/>
      <c r="G199" s="5" t="n"/>
      <c r="H199" s="22" t="inlineStr">
        <is>
          <t>https://en.wikipedia.org/wiki/Kanika_Dhillon</t>
        </is>
      </c>
      <c r="I199" s="16" t="n">
        <v>46303</v>
      </c>
      <c r="J199" s="5" t="inlineStr">
        <is>
          <t>Career background, major works and awards of Kanika Dhillon.</t>
        </is>
      </c>
      <c r="K199" s="5" t="inlineStr">
        <is>
          <t>Reference encyclopedia</t>
        </is>
      </c>
      <c r="L199" s="5" t="inlineStr">
        <is>
          <t>C</t>
        </is>
      </c>
      <c r="M199" s="5" t="inlineStr">
        <is>
          <t>Collaborator article; downloaded as raw wikitext.</t>
        </is>
      </c>
    </row>
    <row r="200" ht="34" customHeight="1">
      <c r="A200" s="15" t="inlineStr">
        <is>
          <t>SOURCE-199</t>
        </is>
      </c>
      <c r="B200" s="5" t="n"/>
      <c r="C200" s="5" t="n"/>
      <c r="D200" s="5" t="inlineStr">
        <is>
          <t>Mukta Arts</t>
        </is>
      </c>
      <c r="E200" s="5" t="inlineStr">
        <is>
          <t>Wikipedia</t>
        </is>
      </c>
      <c r="F200" s="5" t="n"/>
      <c r="G200" s="5" t="n"/>
      <c r="H200" s="22" t="inlineStr">
        <is>
          <t>https://en.wikipedia.org/wiki/Mukta_Arts</t>
        </is>
      </c>
      <c r="I200" s="16" t="n">
        <v>46303</v>
      </c>
      <c r="J200" s="5" t="inlineStr">
        <is>
          <t>Career background, major works and awards of Mukta Arts.</t>
        </is>
      </c>
      <c r="K200" s="5" t="inlineStr">
        <is>
          <t>Reference encyclopedia</t>
        </is>
      </c>
      <c r="L200" s="5" t="inlineStr">
        <is>
          <t>C</t>
        </is>
      </c>
      <c r="M200" s="5" t="inlineStr">
        <is>
          <t>Collaborator article; downloaded as raw wikitext.</t>
        </is>
      </c>
    </row>
    <row r="201" ht="34" customHeight="1">
      <c r="A201" s="15" t="inlineStr">
        <is>
          <t>SOURCE-200</t>
        </is>
      </c>
      <c r="B201" s="5" t="n"/>
      <c r="C201" s="5" t="n"/>
      <c r="D201" s="5" t="inlineStr">
        <is>
          <t>Mukul S. Anand</t>
        </is>
      </c>
      <c r="E201" s="5" t="inlineStr">
        <is>
          <t>Wikipedia</t>
        </is>
      </c>
      <c r="F201" s="5" t="n"/>
      <c r="G201" s="5" t="n"/>
      <c r="H201" s="22" t="inlineStr">
        <is>
          <t>https://en.wikipedia.org/wiki/Mukul_S._Anand</t>
        </is>
      </c>
      <c r="I201" s="16" t="n">
        <v>46303</v>
      </c>
      <c r="J201" s="5" t="inlineStr">
        <is>
          <t>Career background, major works and awards of Mukul S. Anand.</t>
        </is>
      </c>
      <c r="K201" s="5" t="inlineStr">
        <is>
          <t>Reference encyclopedia</t>
        </is>
      </c>
      <c r="L201" s="5" t="inlineStr">
        <is>
          <t>C</t>
        </is>
      </c>
      <c r="M201" s="5" t="inlineStr">
        <is>
          <t>Collaborator article; downloaded as raw wikitext.</t>
        </is>
      </c>
    </row>
    <row r="202" ht="34" customHeight="1">
      <c r="A202" s="15" t="inlineStr">
        <is>
          <t>SOURCE-201</t>
        </is>
      </c>
      <c r="B202" s="5" t="n"/>
      <c r="C202" s="5" t="n"/>
      <c r="D202" s="5" t="inlineStr">
        <is>
          <t>Rumi Jaffery</t>
        </is>
      </c>
      <c r="E202" s="5" t="inlineStr">
        <is>
          <t>Wikipedia</t>
        </is>
      </c>
      <c r="F202" s="5" t="n"/>
      <c r="G202" s="5" t="n"/>
      <c r="H202" s="22" t="inlineStr">
        <is>
          <t>https://en.wikipedia.org/wiki/Rumi_Jaffery</t>
        </is>
      </c>
      <c r="I202" s="16" t="n">
        <v>46303</v>
      </c>
      <c r="J202" s="5" t="inlineStr">
        <is>
          <t>Career background, major works and awards of Rumi Jaffery.</t>
        </is>
      </c>
      <c r="K202" s="5" t="inlineStr">
        <is>
          <t>Reference encyclopedia</t>
        </is>
      </c>
      <c r="L202" s="5" t="inlineStr">
        <is>
          <t>C</t>
        </is>
      </c>
      <c r="M202" s="5" t="inlineStr">
        <is>
          <t>Collaborator article; downloaded as raw wikitext.</t>
        </is>
      </c>
    </row>
    <row r="203" ht="34" customHeight="1">
      <c r="A203" s="15" t="inlineStr">
        <is>
          <t>SOURCE-202</t>
        </is>
      </c>
      <c r="B203" s="5" t="n"/>
      <c r="C203" s="5" t="n"/>
      <c r="D203" s="5" t="inlineStr">
        <is>
          <t>Shibani Bathija</t>
        </is>
      </c>
      <c r="E203" s="5" t="inlineStr">
        <is>
          <t>Wikipedia</t>
        </is>
      </c>
      <c r="F203" s="5" t="n"/>
      <c r="G203" s="5" t="n"/>
      <c r="H203" s="22" t="inlineStr">
        <is>
          <t>https://en.wikipedia.org/wiki/Shibani_Bathija</t>
        </is>
      </c>
      <c r="I203" s="16" t="n">
        <v>46303</v>
      </c>
      <c r="J203" s="5" t="inlineStr">
        <is>
          <t>Career background, major works and awards of Shibani Bathija.</t>
        </is>
      </c>
      <c r="K203" s="5" t="inlineStr">
        <is>
          <t>Reference encyclopedia</t>
        </is>
      </c>
      <c r="L203" s="5" t="inlineStr">
        <is>
          <t>C</t>
        </is>
      </c>
      <c r="M203" s="5" t="inlineStr">
        <is>
          <t>Collaborator article; downloaded as raw wikitext.</t>
        </is>
      </c>
    </row>
    <row r="204" ht="34" customHeight="1">
      <c r="A204" s="15" t="inlineStr">
        <is>
          <t>SOURCE-203</t>
        </is>
      </c>
      <c r="B204" s="5" t="n"/>
      <c r="C204" s="5" t="n"/>
      <c r="D204" s="5" t="inlineStr">
        <is>
          <t>Shridhar Raghavan</t>
        </is>
      </c>
      <c r="E204" s="5" t="inlineStr">
        <is>
          <t>Wikipedia</t>
        </is>
      </c>
      <c r="F204" s="5" t="n"/>
      <c r="G204" s="5" t="n"/>
      <c r="H204" s="22" t="inlineStr">
        <is>
          <t>https://en.wikipedia.org/wiki/Shridhar_Raghavan</t>
        </is>
      </c>
      <c r="I204" s="16" t="n">
        <v>46303</v>
      </c>
      <c r="J204" s="5" t="inlineStr">
        <is>
          <t>Career background, major works and awards of Shridhar Raghavan.</t>
        </is>
      </c>
      <c r="K204" s="5" t="inlineStr">
        <is>
          <t>Reference encyclopedia</t>
        </is>
      </c>
      <c r="L204" s="5" t="inlineStr">
        <is>
          <t>C</t>
        </is>
      </c>
      <c r="M204" s="5" t="inlineStr">
        <is>
          <t>Collaborator article; downloaded as raw wikitext.</t>
        </is>
      </c>
    </row>
    <row r="205" ht="34" customHeight="1">
      <c r="A205" s="15" t="inlineStr">
        <is>
          <t>SOURCE-204</t>
        </is>
      </c>
      <c r="B205" s="5" t="n"/>
      <c r="C205" s="5" t="n"/>
      <c r="D205" s="5" t="inlineStr">
        <is>
          <t>Viveck Vaswani</t>
        </is>
      </c>
      <c r="E205" s="5" t="inlineStr">
        <is>
          <t>Wikipedia</t>
        </is>
      </c>
      <c r="F205" s="5" t="n"/>
      <c r="G205" s="5" t="n"/>
      <c r="H205" s="22" t="inlineStr">
        <is>
          <t>https://en.wikipedia.org/wiki/Viveck_Vaswani</t>
        </is>
      </c>
      <c r="I205" s="16" t="n">
        <v>46303</v>
      </c>
      <c r="J205" s="5" t="inlineStr">
        <is>
          <t>Career background of Vivek Vaswani, drawn from the article on Viveck Vaswani.</t>
        </is>
      </c>
      <c r="K205" s="5" t="inlineStr">
        <is>
          <t>Reference encyclopedia</t>
        </is>
      </c>
      <c r="L205" s="5" t="inlineStr">
        <is>
          <t>C</t>
        </is>
      </c>
      <c r="M205" s="5" t="inlineStr">
        <is>
          <t>Collaborator article; downloaded as raw wikitext.</t>
        </is>
      </c>
    </row>
    <row r="206" ht="34" customHeight="1">
      <c r="A206" s="15" t="inlineStr">
        <is>
          <t>SOURCE-205</t>
        </is>
      </c>
      <c r="B206" s="5" t="n"/>
      <c r="C206" s="5" t="n"/>
      <c r="D206" s="5" t="inlineStr">
        <is>
          <t>Aamir Khan</t>
        </is>
      </c>
      <c r="E206" s="5" t="inlineStr">
        <is>
          <t>Wikipedia</t>
        </is>
      </c>
      <c r="F206" s="5" t="n"/>
      <c r="G206" s="5" t="n"/>
      <c r="H206" s="22" t="inlineStr">
        <is>
          <t>https://en.wikipedia.org/wiki/Aamir_Khan</t>
        </is>
      </c>
      <c r="I206" s="16" t="n">
        <v>46303</v>
      </c>
      <c r="J206" s="5" t="inlineStr">
        <is>
          <t>Career background, major works and awards of Aamir Khan.</t>
        </is>
      </c>
      <c r="K206" s="5" t="inlineStr">
        <is>
          <t>Reference encyclopedia</t>
        </is>
      </c>
      <c r="L206" s="5" t="inlineStr">
        <is>
          <t>C</t>
        </is>
      </c>
      <c r="M206" s="5" t="inlineStr">
        <is>
          <t>Collaborator article; downloaded as raw wikitext.</t>
        </is>
      </c>
    </row>
    <row r="207" ht="34" customHeight="1">
      <c r="A207" s="15" t="inlineStr">
        <is>
          <t>SOURCE-206</t>
        </is>
      </c>
      <c r="B207" s="5" t="n"/>
      <c r="C207" s="5" t="n"/>
      <c r="D207" s="5" t="inlineStr">
        <is>
          <t>Abhijat Joshi</t>
        </is>
      </c>
      <c r="E207" s="5" t="inlineStr">
        <is>
          <t>Wikipedia</t>
        </is>
      </c>
      <c r="F207" s="5" t="n"/>
      <c r="G207" s="5" t="n"/>
      <c r="H207" s="22" t="inlineStr">
        <is>
          <t>https://en.wikipedia.org/wiki/Abhijat_Joshi</t>
        </is>
      </c>
      <c r="I207" s="16" t="n">
        <v>46303</v>
      </c>
      <c r="J207" s="5" t="inlineStr">
        <is>
          <t>Career background, major works and awards of Abhijat Joshi.</t>
        </is>
      </c>
      <c r="K207" s="5" t="inlineStr">
        <is>
          <t>Reference encyclopedia</t>
        </is>
      </c>
      <c r="L207" s="5" t="inlineStr">
        <is>
          <t>C</t>
        </is>
      </c>
      <c r="M207" s="5" t="inlineStr">
        <is>
          <t>Collaborator article; downloaded as raw wikitext.</t>
        </is>
      </c>
    </row>
    <row r="208" ht="34" customHeight="1">
      <c r="A208" s="15" t="inlineStr">
        <is>
          <t>SOURCE-207</t>
        </is>
      </c>
      <c r="B208" s="5" t="n"/>
      <c r="C208" s="5" t="n"/>
      <c r="D208" s="5" t="inlineStr">
        <is>
          <t>Abhishek Sharma (director)</t>
        </is>
      </c>
      <c r="E208" s="5" t="inlineStr">
        <is>
          <t>Wikipedia</t>
        </is>
      </c>
      <c r="F208" s="5" t="n"/>
      <c r="G208" s="5" t="n"/>
      <c r="H208" s="22" t="inlineStr">
        <is>
          <t>https://en.wikipedia.org/wiki/Abhishek_Sharma_(director)</t>
        </is>
      </c>
      <c r="I208" s="16" t="n">
        <v>46303</v>
      </c>
      <c r="J208" s="5" t="inlineStr">
        <is>
          <t>Career background of Abhishek Sharma, drawn from the article on Abhishek Sharma (director).</t>
        </is>
      </c>
      <c r="K208" s="5" t="inlineStr">
        <is>
          <t>Reference encyclopedia</t>
        </is>
      </c>
      <c r="L208" s="5" t="inlineStr">
        <is>
          <t>C</t>
        </is>
      </c>
      <c r="M208" s="5" t="inlineStr">
        <is>
          <t>Collaborator article; downloaded as raw wikitext.</t>
        </is>
      </c>
    </row>
    <row r="209" ht="34" customHeight="1">
      <c r="A209" s="15" t="inlineStr">
        <is>
          <t>SOURCE-208</t>
        </is>
      </c>
      <c r="B209" s="5" t="n"/>
      <c r="C209" s="5" t="n"/>
      <c r="D209" s="5" t="inlineStr">
        <is>
          <t>Abrar Alvi</t>
        </is>
      </c>
      <c r="E209" s="5" t="inlineStr">
        <is>
          <t>Wikipedia</t>
        </is>
      </c>
      <c r="F209" s="5" t="n"/>
      <c r="G209" s="5" t="n"/>
      <c r="H209" s="22" t="inlineStr">
        <is>
          <t>https://en.wikipedia.org/wiki/Abrar_Alvi</t>
        </is>
      </c>
      <c r="I209" s="16" t="n">
        <v>46303</v>
      </c>
      <c r="J209" s="5" t="inlineStr">
        <is>
          <t>Career background, major works and awards of Abrar Alvi.</t>
        </is>
      </c>
      <c r="K209" s="5" t="inlineStr">
        <is>
          <t>Reference encyclopedia</t>
        </is>
      </c>
      <c r="L209" s="5" t="inlineStr">
        <is>
          <t>C</t>
        </is>
      </c>
      <c r="M209" s="5" t="inlineStr">
        <is>
          <t>Collaborator article; downloaded as raw wikitext.</t>
        </is>
      </c>
    </row>
    <row r="210" ht="34" customHeight="1">
      <c r="A210" s="15" t="inlineStr">
        <is>
          <t>SOURCE-209</t>
        </is>
      </c>
      <c r="B210" s="5" t="n"/>
      <c r="C210" s="5" t="n"/>
      <c r="D210" s="5" t="inlineStr">
        <is>
          <t>Reliance MediaWorks</t>
        </is>
      </c>
      <c r="E210" s="5" t="inlineStr">
        <is>
          <t>Wikipedia</t>
        </is>
      </c>
      <c r="F210" s="5" t="n"/>
      <c r="G210" s="5" t="n"/>
      <c r="H210" s="22" t="inlineStr">
        <is>
          <t>https://en.wikipedia.org/wiki/Reliance_MediaWorks</t>
        </is>
      </c>
      <c r="I210" s="16" t="n">
        <v>46303</v>
      </c>
      <c r="J210" s="5" t="inlineStr">
        <is>
          <t>Career background of Ad-Labs Films, drawn from the article on Reliance MediaWorks.</t>
        </is>
      </c>
      <c r="K210" s="5" t="inlineStr">
        <is>
          <t>Reference encyclopedia</t>
        </is>
      </c>
      <c r="L210" s="5" t="inlineStr">
        <is>
          <t>C</t>
        </is>
      </c>
      <c r="M210" s="5" t="inlineStr">
        <is>
          <t>Collaborator article; downloaded as raw wikitext.</t>
        </is>
      </c>
    </row>
    <row r="211" ht="34" customHeight="1">
      <c r="A211" s="15" t="inlineStr">
        <is>
          <t>SOURCE-210</t>
        </is>
      </c>
      <c r="B211" s="5" t="n"/>
      <c r="C211" s="5" t="n"/>
      <c r="D211" s="5" t="inlineStr">
        <is>
          <t>Adnan Sami</t>
        </is>
      </c>
      <c r="E211" s="5" t="inlineStr">
        <is>
          <t>Wikipedia</t>
        </is>
      </c>
      <c r="F211" s="5" t="n"/>
      <c r="G211" s="5" t="n"/>
      <c r="H211" s="22" t="inlineStr">
        <is>
          <t>https://en.wikipedia.org/wiki/Adnan_Sami</t>
        </is>
      </c>
      <c r="I211" s="16" t="n">
        <v>46303</v>
      </c>
      <c r="J211" s="5" t="inlineStr">
        <is>
          <t>Career background, major works and awards of Adnan Sami.</t>
        </is>
      </c>
      <c r="K211" s="5" t="inlineStr">
        <is>
          <t>Reference encyclopedia</t>
        </is>
      </c>
      <c r="L211" s="5" t="inlineStr">
        <is>
          <t>C</t>
        </is>
      </c>
      <c r="M211" s="5" t="inlineStr">
        <is>
          <t>Collaborator article; downloaded as raw wikitext.</t>
        </is>
      </c>
    </row>
    <row r="212" ht="34" customHeight="1">
      <c r="A212" s="15" t="inlineStr">
        <is>
          <t>SOURCE-211</t>
        </is>
      </c>
      <c r="B212" s="5" t="n"/>
      <c r="C212" s="5" t="n"/>
      <c r="D212" s="5" t="inlineStr">
        <is>
          <t>Advait Chandan</t>
        </is>
      </c>
      <c r="E212" s="5" t="inlineStr">
        <is>
          <t>Wikipedia</t>
        </is>
      </c>
      <c r="F212" s="5" t="n"/>
      <c r="G212" s="5" t="n"/>
      <c r="H212" s="22" t="inlineStr">
        <is>
          <t>https://en.wikipedia.org/wiki/Advait_Chandan</t>
        </is>
      </c>
      <c r="I212" s="16" t="n">
        <v>46303</v>
      </c>
      <c r="J212" s="5" t="inlineStr">
        <is>
          <t>Career background, major works and awards of Advait Chandan.</t>
        </is>
      </c>
      <c r="K212" s="5" t="inlineStr">
        <is>
          <t>Reference encyclopedia</t>
        </is>
      </c>
      <c r="L212" s="5" t="inlineStr">
        <is>
          <t>C</t>
        </is>
      </c>
      <c r="M212" s="5" t="inlineStr">
        <is>
          <t>Collaborator article; downloaded as raw wikitext.</t>
        </is>
      </c>
    </row>
    <row r="213" ht="34" customHeight="1">
      <c r="A213" s="15" t="inlineStr">
        <is>
          <t>SOURCE-212</t>
        </is>
      </c>
      <c r="B213" s="5" t="n"/>
      <c r="C213" s="5" t="n"/>
      <c r="D213" s="5" t="inlineStr">
        <is>
          <t>Ajay-Atul</t>
        </is>
      </c>
      <c r="E213" s="5" t="inlineStr">
        <is>
          <t>Wikipedia</t>
        </is>
      </c>
      <c r="F213" s="5" t="n"/>
      <c r="G213" s="5" t="n"/>
      <c r="H213" s="22" t="inlineStr">
        <is>
          <t>https://en.wikipedia.org/wiki/Ajay-Atul</t>
        </is>
      </c>
      <c r="I213" s="16" t="n">
        <v>46303</v>
      </c>
      <c r="J213" s="5" t="inlineStr">
        <is>
          <t>Career background of Ajay–Atul, drawn from the article on Ajay-Atul.</t>
        </is>
      </c>
      <c r="K213" s="5" t="inlineStr">
        <is>
          <t>Reference encyclopedia</t>
        </is>
      </c>
      <c r="L213" s="5" t="inlineStr">
        <is>
          <t>C</t>
        </is>
      </c>
      <c r="M213" s="5" t="inlineStr">
        <is>
          <t>Collaborator article; downloaded as raw wikitext.</t>
        </is>
      </c>
    </row>
    <row r="214" ht="34" customHeight="1">
      <c r="A214" s="15" t="inlineStr">
        <is>
          <t>SOURCE-213</t>
        </is>
      </c>
      <c r="B214" s="5" t="n"/>
      <c r="C214" s="5" t="n"/>
      <c r="D214" s="5" t="inlineStr">
        <is>
          <t>Ajit Andhare</t>
        </is>
      </c>
      <c r="E214" s="5" t="inlineStr">
        <is>
          <t>Wikipedia</t>
        </is>
      </c>
      <c r="F214" s="5" t="n"/>
      <c r="G214" s="5" t="n"/>
      <c r="H214" s="22" t="inlineStr">
        <is>
          <t>https://en.wikipedia.org/wiki/Ajit_Andhare</t>
        </is>
      </c>
      <c r="I214" s="16" t="n">
        <v>46303</v>
      </c>
      <c r="J214" s="5" t="inlineStr">
        <is>
          <t>Career background, major works and awards of Ajit Andhare.</t>
        </is>
      </c>
      <c r="K214" s="5" t="inlineStr">
        <is>
          <t>Reference encyclopedia</t>
        </is>
      </c>
      <c r="L214" s="5" t="inlineStr">
        <is>
          <t>C</t>
        </is>
      </c>
      <c r="M214" s="5" t="inlineStr">
        <is>
          <t>Collaborator article; downloaded as raw wikitext.</t>
        </is>
      </c>
    </row>
    <row r="215" ht="34" customHeight="1">
      <c r="A215" s="15" t="inlineStr">
        <is>
          <t>SOURCE-214</t>
        </is>
      </c>
      <c r="B215" s="5" t="n"/>
      <c r="C215" s="5" t="n"/>
      <c r="D215" s="5" t="inlineStr">
        <is>
          <t>Alejandro Gómez Monteverde</t>
        </is>
      </c>
      <c r="E215" s="5" t="inlineStr">
        <is>
          <t>Wikipedia</t>
        </is>
      </c>
      <c r="F215" s="5" t="n"/>
      <c r="G215" s="5" t="n"/>
      <c r="H215" s="22" t="inlineStr">
        <is>
          <t>https://en.wikipedia.org/wiki/Alejandro_G%C3%B3mez_Monteverde</t>
        </is>
      </c>
      <c r="I215" s="16" t="n">
        <v>46303</v>
      </c>
      <c r="J215" s="5" t="inlineStr">
        <is>
          <t>Career background of Alejandro Monteverde, drawn from the article on Alejandro Gómez Monteverde.</t>
        </is>
      </c>
      <c r="K215" s="5" t="inlineStr">
        <is>
          <t>Reference encyclopedia</t>
        </is>
      </c>
      <c r="L215" s="5" t="inlineStr">
        <is>
          <t>C</t>
        </is>
      </c>
      <c r="M215" s="5" t="inlineStr">
        <is>
          <t>Collaborator article; downloaded as raw wikitext.</t>
        </is>
      </c>
    </row>
    <row r="216" ht="34" customHeight="1">
      <c r="A216" s="15" t="inlineStr">
        <is>
          <t>SOURCE-215</t>
        </is>
      </c>
      <c r="B216" s="5" t="n"/>
      <c r="C216" s="5" t="n"/>
      <c r="D216" s="5" t="inlineStr">
        <is>
          <t>Amar Haldipur</t>
        </is>
      </c>
      <c r="E216" s="5" t="inlineStr">
        <is>
          <t>Wikipedia</t>
        </is>
      </c>
      <c r="F216" s="5" t="n"/>
      <c r="G216" s="5" t="n"/>
      <c r="H216" s="22" t="inlineStr">
        <is>
          <t>https://en.wikipedia.org/wiki/Amar_Haldipur</t>
        </is>
      </c>
      <c r="I216" s="16" t="n">
        <v>46303</v>
      </c>
      <c r="J216" s="5" t="inlineStr">
        <is>
          <t>Career background, major works and awards of Amar Haldipur.</t>
        </is>
      </c>
      <c r="K216" s="5" t="inlineStr">
        <is>
          <t>Reference encyclopedia</t>
        </is>
      </c>
      <c r="L216" s="5" t="inlineStr">
        <is>
          <t>C</t>
        </is>
      </c>
      <c r="M216" s="5" t="inlineStr">
        <is>
          <t>Collaborator article; downloaded as raw wikitext.</t>
        </is>
      </c>
    </row>
    <row r="217" ht="34" customHeight="1">
      <c r="A217" s="15" t="inlineStr">
        <is>
          <t>SOURCE-216</t>
        </is>
      </c>
      <c r="B217" s="5" t="n"/>
      <c r="C217" s="5" t="n"/>
      <c r="D217" s="5" t="inlineStr">
        <is>
          <t>Anand Raaj Anand</t>
        </is>
      </c>
      <c r="E217" s="5" t="inlineStr">
        <is>
          <t>Wikipedia</t>
        </is>
      </c>
      <c r="F217" s="5" t="n"/>
      <c r="G217" s="5" t="n"/>
      <c r="H217" s="22" t="inlineStr">
        <is>
          <t>https://en.wikipedia.org/wiki/Anand_Raaj_Anand</t>
        </is>
      </c>
      <c r="I217" s="16" t="n">
        <v>46303</v>
      </c>
      <c r="J217" s="5" t="inlineStr">
        <is>
          <t>Career background of Anand Raj Anand, drawn from the article on Anand Raaj Anand.</t>
        </is>
      </c>
      <c r="K217" s="5" t="inlineStr">
        <is>
          <t>Reference encyclopedia</t>
        </is>
      </c>
      <c r="L217" s="5" t="inlineStr">
        <is>
          <t>C</t>
        </is>
      </c>
      <c r="M217" s="5" t="inlineStr">
        <is>
          <t>Collaborator article; downloaded as raw wikitext.</t>
        </is>
      </c>
    </row>
    <row r="218" ht="34" customHeight="1">
      <c r="A218" s="15" t="inlineStr">
        <is>
          <t>SOURCE-217</t>
        </is>
      </c>
      <c r="B218" s="5" t="n"/>
      <c r="C218" s="5" t="n"/>
      <c r="D218" s="5" t="inlineStr">
        <is>
          <t>Andrea Guerra (composer)</t>
        </is>
      </c>
      <c r="E218" s="5" t="inlineStr">
        <is>
          <t>Wikipedia</t>
        </is>
      </c>
      <c r="F218" s="5" t="n"/>
      <c r="G218" s="5" t="n"/>
      <c r="H218" s="22" t="inlineStr">
        <is>
          <t>https://en.wikipedia.org/wiki/Andrea_Guerra_(composer)</t>
        </is>
      </c>
      <c r="I218" s="16" t="n">
        <v>46303</v>
      </c>
      <c r="J218" s="5" t="inlineStr">
        <is>
          <t>Career background of Andrea Guerra, drawn from the article on Andrea Guerra (composer).</t>
        </is>
      </c>
      <c r="K218" s="5" t="inlineStr">
        <is>
          <t>Reference encyclopedia</t>
        </is>
      </c>
      <c r="L218" s="5" t="inlineStr">
        <is>
          <t>C</t>
        </is>
      </c>
      <c r="M218" s="5" t="inlineStr">
        <is>
          <t>Collaborator article; downloaded as raw wikitext.</t>
        </is>
      </c>
    </row>
    <row r="219" ht="34" customHeight="1">
      <c r="A219" s="15" t="inlineStr">
        <is>
          <t>SOURCE-218</t>
        </is>
      </c>
      <c r="B219" s="5" t="n"/>
      <c r="C219" s="5" t="n"/>
      <c r="D219" s="5" t="inlineStr">
        <is>
          <t>Anirudh Ravichander</t>
        </is>
      </c>
      <c r="E219" s="5" t="inlineStr">
        <is>
          <t>Wikipedia</t>
        </is>
      </c>
      <c r="F219" s="5" t="n"/>
      <c r="G219" s="5" t="n"/>
      <c r="H219" s="22" t="inlineStr">
        <is>
          <t>https://en.wikipedia.org/wiki/Anirudh_Ravichander</t>
        </is>
      </c>
      <c r="I219" s="16" t="n">
        <v>46303</v>
      </c>
      <c r="J219" s="5" t="inlineStr">
        <is>
          <t>Career background, major works and awards of Anirudh Ravichander.</t>
        </is>
      </c>
      <c r="K219" s="5" t="inlineStr">
        <is>
          <t>Reference encyclopedia</t>
        </is>
      </c>
      <c r="L219" s="5" t="inlineStr">
        <is>
          <t>C</t>
        </is>
      </c>
      <c r="M219" s="5" t="inlineStr">
        <is>
          <t>Collaborator article; downloaded as raw wikitext.</t>
        </is>
      </c>
    </row>
    <row r="220" ht="34" customHeight="1">
      <c r="A220" s="15" t="inlineStr">
        <is>
          <t>SOURCE-219</t>
        </is>
      </c>
      <c r="B220" s="5" t="n"/>
      <c r="C220" s="5" t="n"/>
      <c r="D220" s="5" t="inlineStr">
        <is>
          <t>Sanchit Balhara and Ankit Balhara</t>
        </is>
      </c>
      <c r="E220" s="5" t="inlineStr">
        <is>
          <t>Wikipedia</t>
        </is>
      </c>
      <c r="F220" s="5" t="n"/>
      <c r="G220" s="5" t="n"/>
      <c r="H220" s="22" t="inlineStr">
        <is>
          <t>https://en.wikipedia.org/wiki/Sanchit_Balhara_and_Ankit_Balhara</t>
        </is>
      </c>
      <c r="I220" s="16" t="n">
        <v>46303</v>
      </c>
      <c r="J220" s="5" t="inlineStr">
        <is>
          <t>Career background of Ankit Balhara, drawn from the article on Sanchit Balhara and Ankit Balhara.</t>
        </is>
      </c>
      <c r="K220" s="5" t="inlineStr">
        <is>
          <t>Reference encyclopedia</t>
        </is>
      </c>
      <c r="L220" s="5" t="inlineStr">
        <is>
          <t>C</t>
        </is>
      </c>
      <c r="M220" s="5" t="inlineStr">
        <is>
          <t>Collaborator article; downloaded as raw wikitext.</t>
        </is>
      </c>
    </row>
    <row r="221" ht="34" customHeight="1">
      <c r="A221" s="15" t="inlineStr">
        <is>
          <t>SOURCE-220</t>
        </is>
      </c>
      <c r="B221" s="5" t="n"/>
      <c r="C221" s="5" t="n"/>
      <c r="D221" s="5" t="inlineStr">
        <is>
          <t>Anubhav Sinha</t>
        </is>
      </c>
      <c r="E221" s="5" t="inlineStr">
        <is>
          <t>Wikipedia</t>
        </is>
      </c>
      <c r="F221" s="5" t="n"/>
      <c r="G221" s="5" t="n"/>
      <c r="H221" s="22" t="inlineStr">
        <is>
          <t>https://en.wikipedia.org/wiki/Anubhav_Sinha</t>
        </is>
      </c>
      <c r="I221" s="16" t="n">
        <v>46303</v>
      </c>
      <c r="J221" s="5" t="inlineStr">
        <is>
          <t>Career background, major works and awards of Anubhav Sinha.</t>
        </is>
      </c>
      <c r="K221" s="5" t="inlineStr">
        <is>
          <t>Reference encyclopedia</t>
        </is>
      </c>
      <c r="L221" s="5" t="inlineStr">
        <is>
          <t>C</t>
        </is>
      </c>
      <c r="M221" s="5" t="inlineStr">
        <is>
          <t>Collaborator article; downloaded as raw wikitext.</t>
        </is>
      </c>
    </row>
    <row r="222" ht="34" customHeight="1">
      <c r="A222" s="15" t="inlineStr">
        <is>
          <t>SOURCE-221</t>
        </is>
      </c>
      <c r="B222" s="5" t="n"/>
      <c r="C222" s="5" t="n"/>
      <c r="D222" s="5" t="inlineStr">
        <is>
          <t>Anuja Chauhan</t>
        </is>
      </c>
      <c r="E222" s="5" t="inlineStr">
        <is>
          <t>Wikipedia</t>
        </is>
      </c>
      <c r="F222" s="5" t="n"/>
      <c r="G222" s="5" t="n"/>
      <c r="H222" s="22" t="inlineStr">
        <is>
          <t>https://en.wikipedia.org/wiki/Anuja_Chauhan</t>
        </is>
      </c>
      <c r="I222" s="16" t="n">
        <v>46303</v>
      </c>
      <c r="J222" s="5" t="inlineStr">
        <is>
          <t>Career background, major works and awards of Anuja Chauhan.</t>
        </is>
      </c>
      <c r="K222" s="5" t="inlineStr">
        <is>
          <t>Reference encyclopedia</t>
        </is>
      </c>
      <c r="L222" s="5" t="inlineStr">
        <is>
          <t>C</t>
        </is>
      </c>
      <c r="M222" s="5" t="inlineStr">
        <is>
          <t>Collaborator article; downloaded as raw wikitext.</t>
        </is>
      </c>
    </row>
    <row r="223" ht="34" customHeight="1">
      <c r="A223" s="15" t="inlineStr">
        <is>
          <t>SOURCE-222</t>
        </is>
      </c>
      <c r="B223" s="5" t="n"/>
      <c r="C223" s="5" t="n"/>
      <c r="D223" s="5" t="inlineStr">
        <is>
          <t>Anurag Kashyap</t>
        </is>
      </c>
      <c r="E223" s="5" t="inlineStr">
        <is>
          <t>Wikipedia</t>
        </is>
      </c>
      <c r="F223" s="5" t="n"/>
      <c r="G223" s="5" t="n"/>
      <c r="H223" s="22" t="inlineStr">
        <is>
          <t>https://en.wikipedia.org/wiki/Anurag_Kashyap</t>
        </is>
      </c>
      <c r="I223" s="16" t="n">
        <v>46303</v>
      </c>
      <c r="J223" s="5" t="inlineStr">
        <is>
          <t>Career background, major works and awards of Anurag Kashyap.</t>
        </is>
      </c>
      <c r="K223" s="5" t="inlineStr">
        <is>
          <t>Reference encyclopedia</t>
        </is>
      </c>
      <c r="L223" s="5" t="inlineStr">
        <is>
          <t>C</t>
        </is>
      </c>
      <c r="M223" s="5" t="inlineStr">
        <is>
          <t>Collaborator article; downloaded as raw wikitext.</t>
        </is>
      </c>
    </row>
    <row r="224" ht="34" customHeight="1">
      <c r="A224" s="15" t="inlineStr">
        <is>
          <t>SOURCE-223</t>
        </is>
      </c>
      <c r="B224" s="5" t="n"/>
      <c r="C224" s="5" t="n"/>
      <c r="D224" s="5" t="inlineStr">
        <is>
          <t>Ashu Trikha</t>
        </is>
      </c>
      <c r="E224" s="5" t="inlineStr">
        <is>
          <t>Wikipedia</t>
        </is>
      </c>
      <c r="F224" s="5" t="n"/>
      <c r="G224" s="5" t="n"/>
      <c r="H224" s="22" t="inlineStr">
        <is>
          <t>https://en.wikipedia.org/wiki/Ashu_Trikha</t>
        </is>
      </c>
      <c r="I224" s="16" t="n">
        <v>46303</v>
      </c>
      <c r="J224" s="5" t="inlineStr">
        <is>
          <t>Career background, major works and awards of Ashu Trikha.</t>
        </is>
      </c>
      <c r="K224" s="5" t="inlineStr">
        <is>
          <t>Reference encyclopedia</t>
        </is>
      </c>
      <c r="L224" s="5" t="inlineStr">
        <is>
          <t>C</t>
        </is>
      </c>
      <c r="M224" s="5" t="inlineStr">
        <is>
          <t>Collaborator article; downloaded as raw wikitext.</t>
        </is>
      </c>
    </row>
    <row r="225" ht="34" customHeight="1">
      <c r="A225" s="15" t="inlineStr">
        <is>
          <t>SOURCE-224</t>
        </is>
      </c>
      <c r="B225" s="5" t="n"/>
      <c r="C225" s="5" t="n"/>
      <c r="D225" s="5" t="inlineStr">
        <is>
          <t>Ashwni Dhir</t>
        </is>
      </c>
      <c r="E225" s="5" t="inlineStr">
        <is>
          <t>Wikipedia</t>
        </is>
      </c>
      <c r="F225" s="5" t="n"/>
      <c r="G225" s="5" t="n"/>
      <c r="H225" s="22" t="inlineStr">
        <is>
          <t>https://en.wikipedia.org/wiki/Ashwni_Dhir</t>
        </is>
      </c>
      <c r="I225" s="16" t="n">
        <v>46303</v>
      </c>
      <c r="J225" s="5" t="inlineStr">
        <is>
          <t>Career background, major works and awards of Ashwni Dhir.</t>
        </is>
      </c>
      <c r="K225" s="5" t="inlineStr">
        <is>
          <t>Reference encyclopedia</t>
        </is>
      </c>
      <c r="L225" s="5" t="inlineStr">
        <is>
          <t>C</t>
        </is>
      </c>
      <c r="M225" s="5" t="inlineStr">
        <is>
          <t>Collaborator article; downloaded as raw wikitext.</t>
        </is>
      </c>
    </row>
    <row r="226" ht="34" customHeight="1">
      <c r="A226" s="15" t="inlineStr">
        <is>
          <t>SOURCE-225</t>
        </is>
      </c>
      <c r="B226" s="5" t="n"/>
      <c r="C226" s="5" t="n"/>
      <c r="D226" s="5" t="inlineStr">
        <is>
          <t>Atul Kulkarni</t>
        </is>
      </c>
      <c r="E226" s="5" t="inlineStr">
        <is>
          <t>Wikipedia</t>
        </is>
      </c>
      <c r="F226" s="5" t="n"/>
      <c r="G226" s="5" t="n"/>
      <c r="H226" s="22" t="inlineStr">
        <is>
          <t>https://en.wikipedia.org/wiki/Atul_Kulkarni</t>
        </is>
      </c>
      <c r="I226" s="16" t="n">
        <v>46303</v>
      </c>
      <c r="J226" s="5" t="inlineStr">
        <is>
          <t>Career background, major works and awards of Atul Kulkarni.</t>
        </is>
      </c>
      <c r="K226" s="5" t="inlineStr">
        <is>
          <t>Reference encyclopedia</t>
        </is>
      </c>
      <c r="L226" s="5" t="inlineStr">
        <is>
          <t>C</t>
        </is>
      </c>
      <c r="M226" s="5" t="inlineStr">
        <is>
          <t>Collaborator article; downloaded as raw wikitext.</t>
        </is>
      </c>
    </row>
    <row r="227" ht="34" customHeight="1">
      <c r="A227" s="15" t="inlineStr">
        <is>
          <t>SOURCE-226</t>
        </is>
      </c>
      <c r="B227" s="5" t="n"/>
      <c r="C227" s="5" t="n"/>
      <c r="D227" s="5" t="inlineStr">
        <is>
          <t>Ayan Mukerji</t>
        </is>
      </c>
      <c r="E227" s="5" t="inlineStr">
        <is>
          <t>Wikipedia</t>
        </is>
      </c>
      <c r="F227" s="5" t="n"/>
      <c r="G227" s="5" t="n"/>
      <c r="H227" s="22" t="inlineStr">
        <is>
          <t>https://en.wikipedia.org/wiki/Ayan_Mukerji</t>
        </is>
      </c>
      <c r="I227" s="16" t="n">
        <v>46303</v>
      </c>
      <c r="J227" s="5" t="inlineStr">
        <is>
          <t>Career background, major works and awards of Ayan Mukerji.</t>
        </is>
      </c>
      <c r="K227" s="5" t="inlineStr">
        <is>
          <t>Reference encyclopedia</t>
        </is>
      </c>
      <c r="L227" s="5" t="inlineStr">
        <is>
          <t>C</t>
        </is>
      </c>
      <c r="M227" s="5" t="inlineStr">
        <is>
          <t>Collaborator article; downloaded as raw wikitext.</t>
        </is>
      </c>
    </row>
    <row r="228" ht="34" customHeight="1">
      <c r="A228" s="15" t="inlineStr">
        <is>
          <t>SOURCE-227</t>
        </is>
      </c>
      <c r="B228" s="5" t="n"/>
      <c r="C228" s="5" t="n"/>
      <c r="D228" s="5" t="inlineStr">
        <is>
          <t>Bali Brahmbhatt</t>
        </is>
      </c>
      <c r="E228" s="5" t="inlineStr">
        <is>
          <t>Wikipedia</t>
        </is>
      </c>
      <c r="F228" s="5" t="n"/>
      <c r="G228" s="5" t="n"/>
      <c r="H228" s="22" t="inlineStr">
        <is>
          <t>https://en.wikipedia.org/wiki/Bali_Brahmbhatt</t>
        </is>
      </c>
      <c r="I228" s="16" t="n">
        <v>46303</v>
      </c>
      <c r="J228" s="5" t="inlineStr">
        <is>
          <t>Career background of Bali Brahmabhatt, drawn from the article on Bali Brahmbhatt.</t>
        </is>
      </c>
      <c r="K228" s="5" t="inlineStr">
        <is>
          <t>Reference encyclopedia</t>
        </is>
      </c>
      <c r="L228" s="5" t="inlineStr">
        <is>
          <t>C</t>
        </is>
      </c>
      <c r="M228" s="5" t="inlineStr">
        <is>
          <t>Collaborator article; downloaded as raw wikitext.</t>
        </is>
      </c>
    </row>
    <row r="229" ht="34" customHeight="1">
      <c r="A229" s="15" t="inlineStr">
        <is>
          <t>SOURCE-228</t>
        </is>
      </c>
      <c r="B229" s="5" t="n"/>
      <c r="C229" s="5" t="n"/>
      <c r="D229" s="5" t="inlineStr">
        <is>
          <t>Basu Chatterjee</t>
        </is>
      </c>
      <c r="E229" s="5" t="inlineStr">
        <is>
          <t>Wikipedia</t>
        </is>
      </c>
      <c r="F229" s="5" t="n"/>
      <c r="G229" s="5" t="n"/>
      <c r="H229" s="22" t="inlineStr">
        <is>
          <t>https://en.wikipedia.org/wiki/Basu_Chatterjee</t>
        </is>
      </c>
      <c r="I229" s="16" t="n">
        <v>46303</v>
      </c>
      <c r="J229" s="5" t="inlineStr">
        <is>
          <t>Career background, major works and awards of Basu Chatterjee.</t>
        </is>
      </c>
      <c r="K229" s="5" t="inlineStr">
        <is>
          <t>Reference encyclopedia</t>
        </is>
      </c>
      <c r="L229" s="5" t="inlineStr">
        <is>
          <t>C</t>
        </is>
      </c>
      <c r="M229" s="5" t="inlineStr">
        <is>
          <t>Collaborator article; downloaded as raw wikitext.</t>
        </is>
      </c>
    </row>
    <row r="230" ht="34" customHeight="1">
      <c r="A230" s="15" t="inlineStr">
        <is>
          <t>SOURCE-229</t>
        </is>
      </c>
      <c r="B230" s="5" t="n"/>
      <c r="C230" s="5" t="n"/>
      <c r="D230" s="5" t="inlineStr">
        <is>
          <t>Bhupen Hazarika</t>
        </is>
      </c>
      <c r="E230" s="5" t="inlineStr">
        <is>
          <t>Wikipedia</t>
        </is>
      </c>
      <c r="F230" s="5" t="n"/>
      <c r="G230" s="5" t="n"/>
      <c r="H230" s="22" t="inlineStr">
        <is>
          <t>https://en.wikipedia.org/wiki/Bhupen_Hazarika</t>
        </is>
      </c>
      <c r="I230" s="16" t="n">
        <v>46303</v>
      </c>
      <c r="J230" s="5" t="inlineStr">
        <is>
          <t>Career background, major works and awards of Bhupen Hazarika.</t>
        </is>
      </c>
      <c r="K230" s="5" t="inlineStr">
        <is>
          <t>Reference encyclopedia</t>
        </is>
      </c>
      <c r="L230" s="5" t="inlineStr">
        <is>
          <t>C</t>
        </is>
      </c>
      <c r="M230" s="5" t="inlineStr">
        <is>
          <t>Collaborator article; downloaded as raw wikitext.</t>
        </is>
      </c>
    </row>
    <row r="231" ht="34" customHeight="1">
      <c r="A231" s="15" t="inlineStr">
        <is>
          <t>SOURCE-230</t>
        </is>
      </c>
      <c r="B231" s="5" t="n"/>
      <c r="C231" s="5" t="n"/>
      <c r="D231" s="5" t="inlineStr">
        <is>
          <t>Bhushan Kumar</t>
        </is>
      </c>
      <c r="E231" s="5" t="inlineStr">
        <is>
          <t>Wikipedia</t>
        </is>
      </c>
      <c r="F231" s="5" t="n"/>
      <c r="G231" s="5" t="n"/>
      <c r="H231" s="22" t="inlineStr">
        <is>
          <t>https://en.wikipedia.org/wiki/Bhushan_Kumar</t>
        </is>
      </c>
      <c r="I231" s="16" t="n">
        <v>46303</v>
      </c>
      <c r="J231" s="5" t="inlineStr">
        <is>
          <t>Career background, major works and awards of Bhushan Kumar.</t>
        </is>
      </c>
      <c r="K231" s="5" t="inlineStr">
        <is>
          <t>Reference encyclopedia</t>
        </is>
      </c>
      <c r="L231" s="5" t="inlineStr">
        <is>
          <t>C</t>
        </is>
      </c>
      <c r="M231" s="5" t="inlineStr">
        <is>
          <t>Collaborator article; downloaded as raw wikitext.</t>
        </is>
      </c>
    </row>
    <row r="232" ht="34" customHeight="1">
      <c r="A232" s="15" t="inlineStr">
        <is>
          <t>SOURCE-231</t>
        </is>
      </c>
      <c r="B232" s="5" t="n"/>
      <c r="C232" s="5" t="n"/>
      <c r="D232" s="5" t="inlineStr">
        <is>
          <t>Birju Maharaj</t>
        </is>
      </c>
      <c r="E232" s="5" t="inlineStr">
        <is>
          <t>Wikipedia</t>
        </is>
      </c>
      <c r="F232" s="5" t="n"/>
      <c r="G232" s="5" t="n"/>
      <c r="H232" s="22" t="inlineStr">
        <is>
          <t>https://en.wikipedia.org/wiki/Birju_Maharaj</t>
        </is>
      </c>
      <c r="I232" s="16" t="n">
        <v>46303</v>
      </c>
      <c r="J232" s="5" t="inlineStr">
        <is>
          <t>Career background, major works and awards of Birju Maharaj.</t>
        </is>
      </c>
      <c r="K232" s="5" t="inlineStr">
        <is>
          <t>Reference encyclopedia</t>
        </is>
      </c>
      <c r="L232" s="5" t="inlineStr">
        <is>
          <t>C</t>
        </is>
      </c>
      <c r="M232" s="5" t="inlineStr">
        <is>
          <t>Collaborator article; downloaded as raw wikitext.</t>
        </is>
      </c>
    </row>
    <row r="233" ht="34" customHeight="1">
      <c r="A233" s="15" t="inlineStr">
        <is>
          <t>SOURCE-232</t>
        </is>
      </c>
      <c r="B233" s="5" t="n"/>
      <c r="C233" s="5" t="n"/>
      <c r="D233" s="5" t="inlineStr">
        <is>
          <t>Kaleidoscope Entertainment</t>
        </is>
      </c>
      <c r="E233" s="5" t="inlineStr">
        <is>
          <t>Wikipedia</t>
        </is>
      </c>
      <c r="F233" s="5" t="n"/>
      <c r="G233" s="5" t="n"/>
      <c r="H233" s="22" t="inlineStr">
        <is>
          <t>https://en.wikipedia.org/wiki/Kaleidoscope_Entertainment</t>
        </is>
      </c>
      <c r="I233" s="16" t="n">
        <v>46303</v>
      </c>
      <c r="J233" s="5" t="inlineStr">
        <is>
          <t>Career background of Bobby Bedi, drawn from the article on Kaleidoscope Entertainment.</t>
        </is>
      </c>
      <c r="K233" s="5" t="inlineStr">
        <is>
          <t>Reference encyclopedia</t>
        </is>
      </c>
      <c r="L233" s="5" t="inlineStr">
        <is>
          <t>C</t>
        </is>
      </c>
      <c r="M233" s="5" t="inlineStr">
        <is>
          <t>Collaborator article; downloaded as raw wikitext.</t>
        </is>
      </c>
    </row>
    <row r="234" ht="34" customHeight="1">
      <c r="A234" s="15" t="inlineStr">
        <is>
          <t>SOURCE-233</t>
        </is>
      </c>
      <c r="B234" s="5" t="n"/>
      <c r="C234" s="5" t="n"/>
      <c r="D234" s="5" t="inlineStr">
        <is>
          <t>Boney Kapoor</t>
        </is>
      </c>
      <c r="E234" s="5" t="inlineStr">
        <is>
          <t>Wikipedia</t>
        </is>
      </c>
      <c r="F234" s="5" t="n"/>
      <c r="G234" s="5" t="n"/>
      <c r="H234" s="22" t="inlineStr">
        <is>
          <t>https://en.wikipedia.org/wiki/Boney_Kapoor</t>
        </is>
      </c>
      <c r="I234" s="16" t="n">
        <v>46303</v>
      </c>
      <c r="J234" s="5" t="inlineStr">
        <is>
          <t>Career background, major works and awards of Boney Kapoor.</t>
        </is>
      </c>
      <c r="K234" s="5" t="inlineStr">
        <is>
          <t>Reference encyclopedia</t>
        </is>
      </c>
      <c r="L234" s="5" t="inlineStr">
        <is>
          <t>C</t>
        </is>
      </c>
      <c r="M234" s="5" t="inlineStr">
        <is>
          <t>Collaborator article; downloaded as raw wikitext.</t>
        </is>
      </c>
    </row>
    <row r="235" ht="34" customHeight="1">
      <c r="A235" s="15" t="inlineStr">
        <is>
          <t>SOURCE-234</t>
        </is>
      </c>
      <c r="B235" s="5" t="n"/>
      <c r="C235" s="5" t="n"/>
      <c r="D235" s="5" t="inlineStr">
        <is>
          <t>Dia Mirza</t>
        </is>
      </c>
      <c r="E235" s="5" t="inlineStr">
        <is>
          <t>Wikipedia</t>
        </is>
      </c>
      <c r="F235" s="5" t="n"/>
      <c r="G235" s="5" t="n"/>
      <c r="H235" s="22" t="inlineStr">
        <is>
          <t>https://en.wikipedia.org/wiki/Dia_Mirza</t>
        </is>
      </c>
      <c r="I235" s="16" t="n">
        <v>46303</v>
      </c>
      <c r="J235" s="5" t="inlineStr">
        <is>
          <t>Career background of Born Free Entertainment, drawn from the article on Dia Mirza.</t>
        </is>
      </c>
      <c r="K235" s="5" t="inlineStr">
        <is>
          <t>Reference encyclopedia</t>
        </is>
      </c>
      <c r="L235" s="5" t="inlineStr">
        <is>
          <t>C</t>
        </is>
      </c>
      <c r="M235" s="5" t="inlineStr">
        <is>
          <t>Collaborator article; downloaded as raw wikitext.</t>
        </is>
      </c>
    </row>
    <row r="236" ht="34" customHeight="1">
      <c r="A236" s="15" t="inlineStr">
        <is>
          <t>SOURCE-235</t>
        </is>
      </c>
      <c r="B236" s="5" t="n"/>
      <c r="C236" s="5" t="n"/>
      <c r="D236" s="5" t="inlineStr">
        <is>
          <t>Chandrahasan</t>
        </is>
      </c>
      <c r="E236" s="5" t="inlineStr">
        <is>
          <t>Wikipedia</t>
        </is>
      </c>
      <c r="F236" s="5" t="n"/>
      <c r="G236" s="5" t="n"/>
      <c r="H236" s="22" t="inlineStr">
        <is>
          <t>https://en.wikipedia.org/wiki/Chandrahasan</t>
        </is>
      </c>
      <c r="I236" s="16" t="n">
        <v>46303</v>
      </c>
      <c r="J236" s="5" t="inlineStr">
        <is>
          <t>Career background, major works and awards of Chandrahasan.</t>
        </is>
      </c>
      <c r="K236" s="5" t="inlineStr">
        <is>
          <t>Reference encyclopedia</t>
        </is>
      </c>
      <c r="L236" s="5" t="inlineStr">
        <is>
          <t>C</t>
        </is>
      </c>
      <c r="M236" s="5" t="inlineStr">
        <is>
          <t>Collaborator article; downloaded as raw wikitext.</t>
        </is>
      </c>
    </row>
    <row r="237" ht="34" customHeight="1">
      <c r="A237" s="15" t="inlineStr">
        <is>
          <t>SOURCE-236</t>
        </is>
      </c>
      <c r="B237" s="5" t="n"/>
      <c r="C237" s="5" t="n"/>
      <c r="D237" s="5" t="inlineStr">
        <is>
          <t>Clinton Cerejo</t>
        </is>
      </c>
      <c r="E237" s="5" t="inlineStr">
        <is>
          <t>Wikipedia</t>
        </is>
      </c>
      <c r="F237" s="5" t="n"/>
      <c r="G237" s="5" t="n"/>
      <c r="H237" s="22" t="inlineStr">
        <is>
          <t>https://en.wikipedia.org/wiki/Clinton_Cerejo</t>
        </is>
      </c>
      <c r="I237" s="16" t="n">
        <v>46303</v>
      </c>
      <c r="J237" s="5" t="inlineStr">
        <is>
          <t>Career background, major works and awards of Clinton Cerejo.</t>
        </is>
      </c>
      <c r="K237" s="5" t="inlineStr">
        <is>
          <t>Reference encyclopedia</t>
        </is>
      </c>
      <c r="L237" s="5" t="inlineStr">
        <is>
          <t>C</t>
        </is>
      </c>
      <c r="M237" s="5" t="inlineStr">
        <is>
          <t>Collaborator article; downloaded as raw wikitext.</t>
        </is>
      </c>
    </row>
    <row r="238" ht="34" customHeight="1">
      <c r="A238" s="15" t="inlineStr">
        <is>
          <t>SOURCE-237</t>
        </is>
      </c>
      <c r="B238" s="5" t="n"/>
      <c r="C238" s="5" t="n"/>
      <c r="D238" s="5" t="inlineStr">
        <is>
          <t>Colour Yellow Productions</t>
        </is>
      </c>
      <c r="E238" s="5" t="inlineStr">
        <is>
          <t>Wikipedia</t>
        </is>
      </c>
      <c r="F238" s="5" t="n"/>
      <c r="G238" s="5" t="n"/>
      <c r="H238" s="22" t="inlineStr">
        <is>
          <t>https://en.wikipedia.org/wiki/Colour_Yellow_Productions</t>
        </is>
      </c>
      <c r="I238" s="16" t="n">
        <v>46303</v>
      </c>
      <c r="J238" s="5" t="inlineStr">
        <is>
          <t>Career background, major works and awards of Colour Yellow Productions.</t>
        </is>
      </c>
      <c r="K238" s="5" t="inlineStr">
        <is>
          <t>Reference encyclopedia</t>
        </is>
      </c>
      <c r="L238" s="5" t="inlineStr">
        <is>
          <t>C</t>
        </is>
      </c>
      <c r="M238" s="5" t="inlineStr">
        <is>
          <t>Collaborator article; downloaded as raw wikitext.</t>
        </is>
      </c>
    </row>
    <row r="239" ht="34" customHeight="1">
      <c r="A239" s="15" t="inlineStr">
        <is>
          <t>SOURCE-238</t>
        </is>
      </c>
      <c r="B239" s="5" t="n"/>
      <c r="C239" s="5" t="n"/>
      <c r="D239" s="5" t="inlineStr">
        <is>
          <t>Daboo Malik</t>
        </is>
      </c>
      <c r="E239" s="5" t="inlineStr">
        <is>
          <t>Wikipedia</t>
        </is>
      </c>
      <c r="F239" s="5" t="n"/>
      <c r="G239" s="5" t="n"/>
      <c r="H239" s="22" t="inlineStr">
        <is>
          <t>https://en.wikipedia.org/wiki/Daboo_Malik</t>
        </is>
      </c>
      <c r="I239" s="16" t="n">
        <v>46303</v>
      </c>
      <c r="J239" s="5" t="inlineStr">
        <is>
          <t>Career background, major works and awards of Daboo Malik.</t>
        </is>
      </c>
      <c r="K239" s="5" t="inlineStr">
        <is>
          <t>Reference encyclopedia</t>
        </is>
      </c>
      <c r="L239" s="5" t="inlineStr">
        <is>
          <t>C</t>
        </is>
      </c>
      <c r="M239" s="5" t="inlineStr">
        <is>
          <t>Collaborator article; downloaded as raw wikitext.</t>
        </is>
      </c>
    </row>
    <row r="240" ht="34" customHeight="1">
      <c r="A240" s="15" t="inlineStr">
        <is>
          <t>SOURCE-239</t>
        </is>
      </c>
      <c r="B240" s="5" t="n"/>
      <c r="C240" s="5" t="n"/>
      <c r="D240" s="5" t="inlineStr">
        <is>
          <t>Deepa Sahi</t>
        </is>
      </c>
      <c r="E240" s="5" t="inlineStr">
        <is>
          <t>Wikipedia</t>
        </is>
      </c>
      <c r="F240" s="5" t="n"/>
      <c r="G240" s="5" t="n"/>
      <c r="H240" s="22" t="inlineStr">
        <is>
          <t>https://en.wikipedia.org/wiki/Deepa_Sahi</t>
        </is>
      </c>
      <c r="I240" s="16" t="n">
        <v>46303</v>
      </c>
      <c r="J240" s="5" t="inlineStr">
        <is>
          <t>Career background, major works and awards of Deepa Sahi.</t>
        </is>
      </c>
      <c r="K240" s="5" t="inlineStr">
        <is>
          <t>Reference encyclopedia</t>
        </is>
      </c>
      <c r="L240" s="5" t="inlineStr">
        <is>
          <t>C</t>
        </is>
      </c>
      <c r="M240" s="5" t="inlineStr">
        <is>
          <t>Collaborator article; downloaded as raw wikitext.</t>
        </is>
      </c>
    </row>
    <row r="241" ht="34" customHeight="1">
      <c r="A241" s="15" t="inlineStr">
        <is>
          <t>SOURCE-240</t>
        </is>
      </c>
      <c r="B241" s="5" t="n"/>
      <c r="C241" s="5" t="n"/>
      <c r="D241" s="5" t="inlineStr">
        <is>
          <t>Devika Bhagat</t>
        </is>
      </c>
      <c r="E241" s="5" t="inlineStr">
        <is>
          <t>Wikipedia</t>
        </is>
      </c>
      <c r="F241" s="5" t="n"/>
      <c r="G241" s="5" t="n"/>
      <c r="H241" s="22" t="inlineStr">
        <is>
          <t>https://en.wikipedia.org/wiki/Devika_Bhagat</t>
        </is>
      </c>
      <c r="I241" s="16" t="n">
        <v>46303</v>
      </c>
      <c r="J241" s="5" t="inlineStr">
        <is>
          <t>Career background, major works and awards of Devika Bhagat.</t>
        </is>
      </c>
      <c r="K241" s="5" t="inlineStr">
        <is>
          <t>Reference encyclopedia</t>
        </is>
      </c>
      <c r="L241" s="5" t="inlineStr">
        <is>
          <t>C</t>
        </is>
      </c>
      <c r="M241" s="5" t="inlineStr">
        <is>
          <t>Collaborator article; downloaded as raw wikitext.</t>
        </is>
      </c>
    </row>
    <row r="242" ht="34" customHeight="1">
      <c r="A242" s="15" t="inlineStr">
        <is>
          <t>SOURCE-241</t>
        </is>
      </c>
      <c r="B242" s="5" t="n"/>
      <c r="C242" s="5" t="n"/>
      <c r="D242" s="5" t="inlineStr">
        <is>
          <t>Dibakar Banerjee</t>
        </is>
      </c>
      <c r="E242" s="5" t="inlineStr">
        <is>
          <t>Wikipedia</t>
        </is>
      </c>
      <c r="F242" s="5" t="n"/>
      <c r="G242" s="5" t="n"/>
      <c r="H242" s="22" t="inlineStr">
        <is>
          <t>https://en.wikipedia.org/wiki/Dibakar_Banerjee</t>
        </is>
      </c>
      <c r="I242" s="16" t="n">
        <v>46303</v>
      </c>
      <c r="J242" s="5" t="inlineStr">
        <is>
          <t>Career background, major works and awards of Dibakar Banerjee.</t>
        </is>
      </c>
      <c r="K242" s="5" t="inlineStr">
        <is>
          <t>Reference encyclopedia</t>
        </is>
      </c>
      <c r="L242" s="5" t="inlineStr">
        <is>
          <t>C</t>
        </is>
      </c>
      <c r="M242" s="5" t="inlineStr">
        <is>
          <t>Collaborator article; downloaded as raw wikitext.</t>
        </is>
      </c>
    </row>
    <row r="243" ht="34" customHeight="1">
      <c r="A243" s="15" t="inlineStr">
        <is>
          <t>SOURCE-242</t>
        </is>
      </c>
      <c r="B243" s="5" t="n"/>
      <c r="C243" s="5" t="n"/>
      <c r="D243" s="5" t="inlineStr">
        <is>
          <t>Diplo</t>
        </is>
      </c>
      <c r="E243" s="5" t="inlineStr">
        <is>
          <t>Wikipedia</t>
        </is>
      </c>
      <c r="F243" s="5" t="n"/>
      <c r="G243" s="5" t="n"/>
      <c r="H243" s="22" t="inlineStr">
        <is>
          <t>https://en.wikipedia.org/wiki/Diplo</t>
        </is>
      </c>
      <c r="I243" s="16" t="n">
        <v>46303</v>
      </c>
      <c r="J243" s="5" t="inlineStr">
        <is>
          <t>Career background, major works and awards of Diplo.</t>
        </is>
      </c>
      <c r="K243" s="5" t="inlineStr">
        <is>
          <t>Reference encyclopedia</t>
        </is>
      </c>
      <c r="L243" s="5" t="inlineStr">
        <is>
          <t>C</t>
        </is>
      </c>
      <c r="M243" s="5" t="inlineStr">
        <is>
          <t>Collaborator article; downloaded as raw wikitext.</t>
        </is>
      </c>
    </row>
    <row r="244" ht="34" customHeight="1">
      <c r="A244" s="15" t="inlineStr">
        <is>
          <t>SOURCE-243</t>
        </is>
      </c>
      <c r="B244" s="5" t="n"/>
      <c r="C244" s="5" t="n"/>
      <c r="D244" s="5" t="inlineStr">
        <is>
          <t>Searchlight Pictures</t>
        </is>
      </c>
      <c r="E244" s="5" t="inlineStr">
        <is>
          <t>Wikipedia</t>
        </is>
      </c>
      <c r="F244" s="5" t="n"/>
      <c r="G244" s="5" t="n"/>
      <c r="H244" s="22" t="inlineStr">
        <is>
          <t>https://en.wikipedia.org/wiki/Searchlight_Pictures</t>
        </is>
      </c>
      <c r="I244" s="16" t="n">
        <v>46303</v>
      </c>
      <c r="J244" s="5" t="inlineStr">
        <is>
          <t>Career background of Fox Searchlight Pictures, drawn from the article on Searchlight Pictures.</t>
        </is>
      </c>
      <c r="K244" s="5" t="inlineStr">
        <is>
          <t>Reference encyclopedia</t>
        </is>
      </c>
      <c r="L244" s="5" t="inlineStr">
        <is>
          <t>C</t>
        </is>
      </c>
      <c r="M244" s="5" t="inlineStr">
        <is>
          <t>Collaborator article; downloaded as raw wikitext.</t>
        </is>
      </c>
    </row>
    <row r="245" ht="34" customHeight="1">
      <c r="A245" s="15" t="inlineStr">
        <is>
          <t>SOURCE-244</t>
        </is>
      </c>
      <c r="B245" s="5" t="n"/>
      <c r="C245" s="5" t="n"/>
      <c r="D245" s="5" t="inlineStr">
        <is>
          <t>Gautam Rajadhyaksha</t>
        </is>
      </c>
      <c r="E245" s="5" t="inlineStr">
        <is>
          <t>Wikipedia</t>
        </is>
      </c>
      <c r="F245" s="5" t="n"/>
      <c r="G245" s="5" t="n"/>
      <c r="H245" s="22" t="inlineStr">
        <is>
          <t>https://en.wikipedia.org/wiki/Gautam_Rajadhyaksha</t>
        </is>
      </c>
      <c r="I245" s="16" t="n">
        <v>46303</v>
      </c>
      <c r="J245" s="5" t="inlineStr">
        <is>
          <t>Career background, major works and awards of Gautam Rajadhyaksha.</t>
        </is>
      </c>
      <c r="K245" s="5" t="inlineStr">
        <is>
          <t>Reference encyclopedia</t>
        </is>
      </c>
      <c r="L245" s="5" t="inlineStr">
        <is>
          <t>C</t>
        </is>
      </c>
      <c r="M245" s="5" t="inlineStr">
        <is>
          <t>Collaborator article; downloaded as raw wikitext.</t>
        </is>
      </c>
    </row>
    <row r="246" ht="34" customHeight="1">
      <c r="A246" s="15" t="inlineStr">
        <is>
          <t>SOURCE-245</t>
        </is>
      </c>
      <c r="B246" s="5" t="n"/>
      <c r="C246" s="5" t="n"/>
      <c r="D246" s="5" t="inlineStr">
        <is>
          <t>Guddu Dhanoa</t>
        </is>
      </c>
      <c r="E246" s="5" t="inlineStr">
        <is>
          <t>Wikipedia</t>
        </is>
      </c>
      <c r="F246" s="5" t="n"/>
      <c r="G246" s="5" t="n"/>
      <c r="H246" s="22" t="inlineStr">
        <is>
          <t>https://en.wikipedia.org/wiki/Guddu_Dhanoa</t>
        </is>
      </c>
      <c r="I246" s="16" t="n">
        <v>46303</v>
      </c>
      <c r="J246" s="5" t="inlineStr">
        <is>
          <t>Career background, major works and awards of Guddu Dhanoa.</t>
        </is>
      </c>
      <c r="K246" s="5" t="inlineStr">
        <is>
          <t>Reference encyclopedia</t>
        </is>
      </c>
      <c r="L246" s="5" t="inlineStr">
        <is>
          <t>C</t>
        </is>
      </c>
      <c r="M246" s="5" t="inlineStr">
        <is>
          <t>Collaborator article; downloaded as raw wikitext.</t>
        </is>
      </c>
    </row>
    <row r="247" ht="34" customHeight="1">
      <c r="A247" s="15" t="inlineStr">
        <is>
          <t>SOURCE-246</t>
        </is>
      </c>
      <c r="B247" s="5" t="n"/>
      <c r="C247" s="5" t="n"/>
      <c r="D247" s="5" t="inlineStr">
        <is>
          <t>Habib Faisal</t>
        </is>
      </c>
      <c r="E247" s="5" t="inlineStr">
        <is>
          <t>Wikipedia</t>
        </is>
      </c>
      <c r="F247" s="5" t="n"/>
      <c r="G247" s="5" t="n"/>
      <c r="H247" s="22" t="inlineStr">
        <is>
          <t>https://en.wikipedia.org/wiki/Habib_Faisal</t>
        </is>
      </c>
      <c r="I247" s="16" t="n">
        <v>46303</v>
      </c>
      <c r="J247" s="5" t="inlineStr">
        <is>
          <t>Career background, major works and awards of Habib Faisal.</t>
        </is>
      </c>
      <c r="K247" s="5" t="inlineStr">
        <is>
          <t>Reference encyclopedia</t>
        </is>
      </c>
      <c r="L247" s="5" t="inlineStr">
        <is>
          <t>C</t>
        </is>
      </c>
      <c r="M247" s="5" t="inlineStr">
        <is>
          <t>Collaborator article; downloaded as raw wikitext.</t>
        </is>
      </c>
    </row>
    <row r="248" ht="34" customHeight="1">
      <c r="A248" s="15" t="inlineStr">
        <is>
          <t>SOURCE-247</t>
        </is>
      </c>
      <c r="B248" s="5" t="n"/>
      <c r="C248" s="5" t="n"/>
      <c r="D248" s="5" t="inlineStr">
        <is>
          <t>Hema Malini</t>
        </is>
      </c>
      <c r="E248" s="5" t="inlineStr">
        <is>
          <t>Wikipedia</t>
        </is>
      </c>
      <c r="F248" s="5" t="n"/>
      <c r="G248" s="5" t="n"/>
      <c r="H248" s="22" t="inlineStr">
        <is>
          <t>https://en.wikipedia.org/wiki/Hema_Malini</t>
        </is>
      </c>
      <c r="I248" s="16" t="n">
        <v>46303</v>
      </c>
      <c r="J248" s="5" t="inlineStr">
        <is>
          <t>Career background, major works and awards of Hema Malini.</t>
        </is>
      </c>
      <c r="K248" s="5" t="inlineStr">
        <is>
          <t>Reference encyclopedia</t>
        </is>
      </c>
      <c r="L248" s="5" t="inlineStr">
        <is>
          <t>C</t>
        </is>
      </c>
      <c r="M248" s="5" t="inlineStr">
        <is>
          <t>Collaborator article; downloaded as raw wikitext.</t>
        </is>
      </c>
    </row>
    <row r="249" ht="34" customHeight="1">
      <c r="A249" s="15" t="inlineStr">
        <is>
          <t>SOURCE-248</t>
        </is>
      </c>
      <c r="B249" s="5" t="n"/>
      <c r="C249" s="5" t="n"/>
      <c r="D249" s="5" t="inlineStr">
        <is>
          <t>Himanshu Sharma</t>
        </is>
      </c>
      <c r="E249" s="5" t="inlineStr">
        <is>
          <t>Wikipedia</t>
        </is>
      </c>
      <c r="F249" s="5" t="n"/>
      <c r="G249" s="5" t="n"/>
      <c r="H249" s="22" t="inlineStr">
        <is>
          <t>https://en.wikipedia.org/wiki/Himanshu_Sharma</t>
        </is>
      </c>
      <c r="I249" s="16" t="n">
        <v>46303</v>
      </c>
      <c r="J249" s="5" t="inlineStr">
        <is>
          <t>Career background, major works and awards of Himanshu Sharma.</t>
        </is>
      </c>
      <c r="K249" s="5" t="inlineStr">
        <is>
          <t>Reference encyclopedia</t>
        </is>
      </c>
      <c r="L249" s="5" t="inlineStr">
        <is>
          <t>C</t>
        </is>
      </c>
      <c r="M249" s="5" t="inlineStr">
        <is>
          <t>Collaborator article; downloaded as raw wikitext.</t>
        </is>
      </c>
    </row>
    <row r="250" ht="34" customHeight="1">
      <c r="A250" s="15" t="inlineStr">
        <is>
          <t>SOURCE-249</t>
        </is>
      </c>
      <c r="B250" s="5" t="n"/>
      <c r="C250" s="5" t="n"/>
      <c r="D250" s="5" t="inlineStr">
        <is>
          <t>Honey Irani</t>
        </is>
      </c>
      <c r="E250" s="5" t="inlineStr">
        <is>
          <t>Wikipedia</t>
        </is>
      </c>
      <c r="F250" s="5" t="n"/>
      <c r="G250" s="5" t="n"/>
      <c r="H250" s="22" t="inlineStr">
        <is>
          <t>https://en.wikipedia.org/wiki/Honey_Irani</t>
        </is>
      </c>
      <c r="I250" s="16" t="n">
        <v>46303</v>
      </c>
      <c r="J250" s="5" t="inlineStr">
        <is>
          <t>Career background, major works and awards of Honey Irani.</t>
        </is>
      </c>
      <c r="K250" s="5" t="inlineStr">
        <is>
          <t>Reference encyclopedia</t>
        </is>
      </c>
      <c r="L250" s="5" t="inlineStr">
        <is>
          <t>C</t>
        </is>
      </c>
      <c r="M250" s="5" t="inlineStr">
        <is>
          <t>Collaborator article; downloaded as raw wikitext.</t>
        </is>
      </c>
    </row>
    <row r="251" ht="34" customHeight="1">
      <c r="A251" s="15" t="inlineStr">
        <is>
          <t>SOURCE-250</t>
        </is>
      </c>
      <c r="B251" s="5" t="n"/>
      <c r="C251" s="5" t="n"/>
      <c r="D251" s="5" t="inlineStr">
        <is>
          <t>Hriday Lani</t>
        </is>
      </c>
      <c r="E251" s="5" t="inlineStr">
        <is>
          <t>Wikipedia</t>
        </is>
      </c>
      <c r="F251" s="5" t="n"/>
      <c r="G251" s="5" t="n"/>
      <c r="H251" s="22" t="inlineStr">
        <is>
          <t>https://en.wikipedia.org/wiki/Hriday_Lani</t>
        </is>
      </c>
      <c r="I251" s="16" t="n">
        <v>46303</v>
      </c>
      <c r="J251" s="5" t="inlineStr">
        <is>
          <t>Career background, major works and awards of Hriday Lani.</t>
        </is>
      </c>
      <c r="K251" s="5" t="inlineStr">
        <is>
          <t>Reference encyclopedia</t>
        </is>
      </c>
      <c r="L251" s="5" t="inlineStr">
        <is>
          <t>C</t>
        </is>
      </c>
      <c r="M251" s="5" t="inlineStr">
        <is>
          <t>Collaborator article; downloaded as raw wikitext.</t>
        </is>
      </c>
    </row>
    <row r="252" ht="34" customHeight="1">
      <c r="A252" s="15" t="inlineStr">
        <is>
          <t>SOURCE-251</t>
        </is>
      </c>
      <c r="B252" s="5" t="n"/>
      <c r="C252" s="5" t="n"/>
      <c r="D252" s="5" t="inlineStr">
        <is>
          <t>Hridaynath Mangeshkar</t>
        </is>
      </c>
      <c r="E252" s="5" t="inlineStr">
        <is>
          <t>Wikipedia</t>
        </is>
      </c>
      <c r="F252" s="5" t="n"/>
      <c r="G252" s="5" t="n"/>
      <c r="H252" s="22" t="inlineStr">
        <is>
          <t>https://en.wikipedia.org/wiki/Hridaynath_Mangeshkar</t>
        </is>
      </c>
      <c r="I252" s="16" t="n">
        <v>46303</v>
      </c>
      <c r="J252" s="5" t="inlineStr">
        <is>
          <t>Career background, major works and awards of Hridaynath Mangeshkar.</t>
        </is>
      </c>
      <c r="K252" s="5" t="inlineStr">
        <is>
          <t>Reference encyclopedia</t>
        </is>
      </c>
      <c r="L252" s="5" t="inlineStr">
        <is>
          <t>C</t>
        </is>
      </c>
      <c r="M252" s="5" t="inlineStr">
        <is>
          <t>Collaborator article; downloaded as raw wikitext.</t>
        </is>
      </c>
    </row>
    <row r="253" ht="34" customHeight="1">
      <c r="A253" s="15" t="inlineStr">
        <is>
          <t>SOURCE-252</t>
        </is>
      </c>
      <c r="B253" s="5" t="n"/>
      <c r="C253" s="5" t="n"/>
      <c r="D253" s="5" t="inlineStr">
        <is>
          <t>Hussain Dalal</t>
        </is>
      </c>
      <c r="E253" s="5" t="inlineStr">
        <is>
          <t>Wikipedia</t>
        </is>
      </c>
      <c r="F253" s="5" t="n"/>
      <c r="G253" s="5" t="n"/>
      <c r="H253" s="22" t="inlineStr">
        <is>
          <t>https://en.wikipedia.org/wiki/Hussain_Dalal</t>
        </is>
      </c>
      <c r="I253" s="16" t="n">
        <v>46303</v>
      </c>
      <c r="J253" s="5" t="inlineStr">
        <is>
          <t>Career background, major works and awards of Hussain Dalal.</t>
        </is>
      </c>
      <c r="K253" s="5" t="inlineStr">
        <is>
          <t>Reference encyclopedia</t>
        </is>
      </c>
      <c r="L253" s="5" t="inlineStr">
        <is>
          <t>C</t>
        </is>
      </c>
      <c r="M253" s="5" t="inlineStr">
        <is>
          <t>Collaborator article; downloaded as raw wikitext.</t>
        </is>
      </c>
    </row>
    <row r="254" ht="34" customHeight="1">
      <c r="A254" s="15" t="inlineStr">
        <is>
          <t>SOURCE-253</t>
        </is>
      </c>
      <c r="B254" s="5" t="n"/>
      <c r="C254" s="5" t="n"/>
      <c r="D254" s="5" t="inlineStr">
        <is>
          <t>Ilaiyaraaja</t>
        </is>
      </c>
      <c r="E254" s="5" t="inlineStr">
        <is>
          <t>Wikipedia</t>
        </is>
      </c>
      <c r="F254" s="5" t="n"/>
      <c r="G254" s="5" t="n"/>
      <c r="H254" s="22" t="inlineStr">
        <is>
          <t>https://en.wikipedia.org/wiki/Ilaiyaraaja</t>
        </is>
      </c>
      <c r="I254" s="16" t="n">
        <v>46303</v>
      </c>
      <c r="J254" s="5" t="inlineStr">
        <is>
          <t>Career background, major works and awards of Ilaiyaraaja.</t>
        </is>
      </c>
      <c r="K254" s="5" t="inlineStr">
        <is>
          <t>Reference encyclopedia</t>
        </is>
      </c>
      <c r="L254" s="5" t="inlineStr">
        <is>
          <t>C</t>
        </is>
      </c>
      <c r="M254" s="5" t="inlineStr">
        <is>
          <t>Collaborator article; downloaded as raw wikitext.</t>
        </is>
      </c>
    </row>
    <row r="255" ht="34" customHeight="1">
      <c r="A255" s="15" t="inlineStr">
        <is>
          <t>SOURCE-254</t>
        </is>
      </c>
      <c r="B255" s="5" t="n"/>
      <c r="C255" s="5" t="n"/>
      <c r="D255" s="5" t="inlineStr">
        <is>
          <t>Iqbal Durrani</t>
        </is>
      </c>
      <c r="E255" s="5" t="inlineStr">
        <is>
          <t>Wikipedia</t>
        </is>
      </c>
      <c r="F255" s="5" t="n"/>
      <c r="G255" s="5" t="n"/>
      <c r="H255" s="22" t="inlineStr">
        <is>
          <t>https://en.wikipedia.org/wiki/Iqbal_Durrani</t>
        </is>
      </c>
      <c r="I255" s="16" t="n">
        <v>46303</v>
      </c>
      <c r="J255" s="5" t="inlineStr">
        <is>
          <t>Career background, major works and awards of Iqbal Durrani.</t>
        </is>
      </c>
      <c r="K255" s="5" t="inlineStr">
        <is>
          <t>Reference encyclopedia</t>
        </is>
      </c>
      <c r="L255" s="5" t="inlineStr">
        <is>
          <t>C</t>
        </is>
      </c>
      <c r="M255" s="5" t="inlineStr">
        <is>
          <t>Collaborator article; downloaded as raw wikitext.</t>
        </is>
      </c>
    </row>
    <row r="256" ht="34" customHeight="1">
      <c r="A256" s="15" t="inlineStr">
        <is>
          <t>SOURCE-255</t>
        </is>
      </c>
      <c r="B256" s="5" t="n"/>
      <c r="C256" s="5" t="n"/>
      <c r="D256" s="5" t="inlineStr">
        <is>
          <t>Ishita Moitra</t>
        </is>
      </c>
      <c r="E256" s="5" t="inlineStr">
        <is>
          <t>Wikipedia</t>
        </is>
      </c>
      <c r="F256" s="5" t="n"/>
      <c r="G256" s="5" t="n"/>
      <c r="H256" s="22" t="inlineStr">
        <is>
          <t>https://en.wikipedia.org/wiki/Ishita_Moitra</t>
        </is>
      </c>
      <c r="I256" s="16" t="n">
        <v>46303</v>
      </c>
      <c r="J256" s="5" t="inlineStr">
        <is>
          <t>Career background, major works and awards of Ishita Moitra.</t>
        </is>
      </c>
      <c r="K256" s="5" t="inlineStr">
        <is>
          <t>Reference encyclopedia</t>
        </is>
      </c>
      <c r="L256" s="5" t="inlineStr">
        <is>
          <t>C</t>
        </is>
      </c>
      <c r="M256" s="5" t="inlineStr">
        <is>
          <t>Collaborator article; downloaded as raw wikitext.</t>
        </is>
      </c>
    </row>
    <row r="257" ht="34" customHeight="1">
      <c r="A257" s="15" t="inlineStr">
        <is>
          <t>SOURCE-256</t>
        </is>
      </c>
      <c r="B257" s="5" t="n"/>
      <c r="C257" s="5" t="n"/>
      <c r="D257" s="5" t="inlineStr">
        <is>
          <t>Jaideep Sahni</t>
        </is>
      </c>
      <c r="E257" s="5" t="inlineStr">
        <is>
          <t>Wikipedia</t>
        </is>
      </c>
      <c r="F257" s="5" t="n"/>
      <c r="G257" s="5" t="n"/>
      <c r="H257" s="22" t="inlineStr">
        <is>
          <t>https://en.wikipedia.org/wiki/Jaideep_Sahni</t>
        </is>
      </c>
      <c r="I257" s="16" t="n">
        <v>46303</v>
      </c>
      <c r="J257" s="5" t="inlineStr">
        <is>
          <t>Career background, major works and awards of Jaideep Sahni.</t>
        </is>
      </c>
      <c r="K257" s="5" t="inlineStr">
        <is>
          <t>Reference encyclopedia</t>
        </is>
      </c>
      <c r="L257" s="5" t="inlineStr">
        <is>
          <t>C</t>
        </is>
      </c>
      <c r="M257" s="5" t="inlineStr">
        <is>
          <t>Collaborator article; downloaded as raw wikitext.</t>
        </is>
      </c>
    </row>
    <row r="258" ht="34" customHeight="1">
      <c r="A258" s="15" t="inlineStr">
        <is>
          <t>SOURCE-257</t>
        </is>
      </c>
      <c r="B258" s="5" t="n"/>
      <c r="C258" s="5" t="n"/>
      <c r="D258" s="5" t="inlineStr">
        <is>
          <t>JAM8</t>
        </is>
      </c>
      <c r="E258" s="5" t="inlineStr">
        <is>
          <t>Wikipedia</t>
        </is>
      </c>
      <c r="F258" s="5" t="n"/>
      <c r="G258" s="5" t="n"/>
      <c r="H258" s="22" t="inlineStr">
        <is>
          <t>https://en.wikipedia.org/wiki/JAM8</t>
        </is>
      </c>
      <c r="I258" s="16" t="n">
        <v>46303</v>
      </c>
      <c r="J258" s="5" t="inlineStr">
        <is>
          <t>Career background, major works and awards of JAM8.</t>
        </is>
      </c>
      <c r="K258" s="5" t="inlineStr">
        <is>
          <t>Reference encyclopedia</t>
        </is>
      </c>
      <c r="L258" s="5" t="inlineStr">
        <is>
          <t>C</t>
        </is>
      </c>
      <c r="M258" s="5" t="inlineStr">
        <is>
          <t>Collaborator article; downloaded as raw wikitext.</t>
        </is>
      </c>
    </row>
    <row r="259" ht="34" customHeight="1">
      <c r="A259" s="15" t="inlineStr">
        <is>
          <t>SOURCE-258</t>
        </is>
      </c>
      <c r="B259" s="5" t="n"/>
      <c r="C259" s="5" t="n"/>
      <c r="D259" s="5" t="inlineStr">
        <is>
          <t>Julius Packiam</t>
        </is>
      </c>
      <c r="E259" s="5" t="inlineStr">
        <is>
          <t>Wikipedia</t>
        </is>
      </c>
      <c r="F259" s="5" t="n"/>
      <c r="G259" s="5" t="n"/>
      <c r="H259" s="22" t="inlineStr">
        <is>
          <t>https://en.wikipedia.org/wiki/Julius_Packiam</t>
        </is>
      </c>
      <c r="I259" s="16" t="n">
        <v>46303</v>
      </c>
      <c r="J259" s="5" t="inlineStr">
        <is>
          <t>Career background, major works and awards of Julius Packiam.</t>
        </is>
      </c>
      <c r="K259" s="5" t="inlineStr">
        <is>
          <t>Reference encyclopedia</t>
        </is>
      </c>
      <c r="L259" s="5" t="inlineStr">
        <is>
          <t>C</t>
        </is>
      </c>
      <c r="M259" s="5" t="inlineStr">
        <is>
          <t>Collaborator article; downloaded as raw wikitext.</t>
        </is>
      </c>
    </row>
    <row r="260" ht="34" customHeight="1">
      <c r="A260" s="15" t="inlineStr">
        <is>
          <t>SOURCE-259</t>
        </is>
      </c>
      <c r="B260" s="5" t="n"/>
      <c r="C260" s="5" t="n"/>
      <c r="D260" s="5" t="inlineStr">
        <is>
          <t>Jyoti Deshpande</t>
        </is>
      </c>
      <c r="E260" s="5" t="inlineStr">
        <is>
          <t>Wikipedia</t>
        </is>
      </c>
      <c r="F260" s="5" t="n"/>
      <c r="G260" s="5" t="n"/>
      <c r="H260" s="22" t="inlineStr">
        <is>
          <t>https://en.wikipedia.org/wiki/Jyoti_Deshpande</t>
        </is>
      </c>
      <c r="I260" s="16" t="n">
        <v>46303</v>
      </c>
      <c r="J260" s="5" t="inlineStr">
        <is>
          <t>Career background, major works and awards of Jyoti Deshpande.</t>
        </is>
      </c>
      <c r="K260" s="5" t="inlineStr">
        <is>
          <t>Reference encyclopedia</t>
        </is>
      </c>
      <c r="L260" s="5" t="inlineStr">
        <is>
          <t>C</t>
        </is>
      </c>
      <c r="M260" s="5" t="inlineStr">
        <is>
          <t>Collaborator article; downloaded as raw wikitext.</t>
        </is>
      </c>
    </row>
    <row r="261" ht="34" customHeight="1">
      <c r="A261" s="15" t="inlineStr">
        <is>
          <t>SOURCE-260</t>
        </is>
      </c>
      <c r="B261" s="5" t="n"/>
      <c r="C261" s="5" t="n"/>
      <c r="D261" s="5" t="inlineStr">
        <is>
          <t>K Sera Sera Limited</t>
        </is>
      </c>
      <c r="E261" s="5" t="inlineStr">
        <is>
          <t>Wikipedia</t>
        </is>
      </c>
      <c r="F261" s="5" t="n"/>
      <c r="G261" s="5" t="n"/>
      <c r="H261" s="22" t="inlineStr">
        <is>
          <t>https://en.wikipedia.org/wiki/K_Sera_Sera_Limited</t>
        </is>
      </c>
      <c r="I261" s="16" t="n">
        <v>46303</v>
      </c>
      <c r="J261" s="5" t="inlineStr">
        <is>
          <t>Career background of K Sera Sera, drawn from the article on K Sera Sera Limited.</t>
        </is>
      </c>
      <c r="K261" s="5" t="inlineStr">
        <is>
          <t>Reference encyclopedia</t>
        </is>
      </c>
      <c r="L261" s="5" t="inlineStr">
        <is>
          <t>C</t>
        </is>
      </c>
      <c r="M261" s="5" t="inlineStr">
        <is>
          <t>Collaborator article; downloaded as raw wikitext.</t>
        </is>
      </c>
    </row>
    <row r="262" ht="34" customHeight="1">
      <c r="A262" s="15" t="inlineStr">
        <is>
          <t>SOURCE-261</t>
        </is>
      </c>
      <c r="B262" s="5" t="n"/>
      <c r="C262" s="5" t="n"/>
      <c r="D262" s="5" t="inlineStr">
        <is>
          <t>K. C. Bokadia</t>
        </is>
      </c>
      <c r="E262" s="5" t="inlineStr">
        <is>
          <t>Wikipedia</t>
        </is>
      </c>
      <c r="F262" s="5" t="n"/>
      <c r="G262" s="5" t="n"/>
      <c r="H262" s="22" t="inlineStr">
        <is>
          <t>https://en.wikipedia.org/wiki/K._C._Bokadia</t>
        </is>
      </c>
      <c r="I262" s="16" t="n">
        <v>46303</v>
      </c>
      <c r="J262" s="5" t="inlineStr">
        <is>
          <t>Career background, major works and awards of K. C. Bokadia.</t>
        </is>
      </c>
      <c r="K262" s="5" t="inlineStr">
        <is>
          <t>Reference encyclopedia</t>
        </is>
      </c>
      <c r="L262" s="5" t="inlineStr">
        <is>
          <t>C</t>
        </is>
      </c>
      <c r="M262" s="5" t="inlineStr">
        <is>
          <t>Collaborator article; downloaded as raw wikitext.</t>
        </is>
      </c>
    </row>
    <row r="263" ht="34" customHeight="1">
      <c r="A263" s="15" t="inlineStr">
        <is>
          <t>SOURCE-262</t>
        </is>
      </c>
      <c r="B263" s="5" t="n"/>
      <c r="C263" s="5" t="n"/>
      <c r="D263" s="5" t="inlineStr">
        <is>
          <t>K. S. Adhiyaman</t>
        </is>
      </c>
      <c r="E263" s="5" t="inlineStr">
        <is>
          <t>Wikipedia</t>
        </is>
      </c>
      <c r="F263" s="5" t="n"/>
      <c r="G263" s="5" t="n"/>
      <c r="H263" s="22" t="inlineStr">
        <is>
          <t>https://en.wikipedia.org/wiki/K._S._Adhiyaman</t>
        </is>
      </c>
      <c r="I263" s="16" t="n">
        <v>46303</v>
      </c>
      <c r="J263" s="5" t="inlineStr">
        <is>
          <t>Career background, major works and awards of K. S. Adhiyaman.</t>
        </is>
      </c>
      <c r="K263" s="5" t="inlineStr">
        <is>
          <t>Reference encyclopedia</t>
        </is>
      </c>
      <c r="L263" s="5" t="inlineStr">
        <is>
          <t>C</t>
        </is>
      </c>
      <c r="M263" s="5" t="inlineStr">
        <is>
          <t>Collaborator article; downloaded as raw wikitext.</t>
        </is>
      </c>
    </row>
    <row r="264" ht="34" customHeight="1">
      <c r="A264" s="15" t="inlineStr">
        <is>
          <t>SOURCE-263</t>
        </is>
      </c>
      <c r="B264" s="5" t="n"/>
      <c r="C264" s="5" t="n"/>
      <c r="D264" s="5" t="inlineStr">
        <is>
          <t>Kabir Khan (director)</t>
        </is>
      </c>
      <c r="E264" s="5" t="inlineStr">
        <is>
          <t>Wikipedia</t>
        </is>
      </c>
      <c r="F264" s="5" t="n"/>
      <c r="G264" s="5" t="n"/>
      <c r="H264" s="22" t="inlineStr">
        <is>
          <t>https://en.wikipedia.org/wiki/Kabir_Khan_(director)</t>
        </is>
      </c>
      <c r="I264" s="16" t="n">
        <v>46303</v>
      </c>
      <c r="J264" s="5" t="inlineStr">
        <is>
          <t>Career background of Kabir Khan, drawn from the article on Kabir Khan (director).</t>
        </is>
      </c>
      <c r="K264" s="5" t="inlineStr">
        <is>
          <t>Reference encyclopedia</t>
        </is>
      </c>
      <c r="L264" s="5" t="inlineStr">
        <is>
          <t>C</t>
        </is>
      </c>
      <c r="M264" s="5" t="inlineStr">
        <is>
          <t>Collaborator article; downloaded as raw wikitext.</t>
        </is>
      </c>
    </row>
    <row r="265" ht="34" customHeight="1">
      <c r="A265" s="15" t="inlineStr">
        <is>
          <t>SOURCE-264</t>
        </is>
      </c>
      <c r="B265" s="5" t="n"/>
      <c r="C265" s="5" t="n"/>
      <c r="D265" s="5" t="inlineStr">
        <is>
          <t>Kamna Chandra</t>
        </is>
      </c>
      <c r="E265" s="5" t="inlineStr">
        <is>
          <t>Wikipedia</t>
        </is>
      </c>
      <c r="F265" s="5" t="n"/>
      <c r="G265" s="5" t="n"/>
      <c r="H265" s="22" t="inlineStr">
        <is>
          <t>https://en.wikipedia.org/wiki/Kamna_Chandra</t>
        </is>
      </c>
      <c r="I265" s="16" t="n">
        <v>46303</v>
      </c>
      <c r="J265" s="5" t="inlineStr">
        <is>
          <t>Career background, major works and awards of Kamna Chandra.</t>
        </is>
      </c>
      <c r="K265" s="5" t="inlineStr">
        <is>
          <t>Reference encyclopedia</t>
        </is>
      </c>
      <c r="L265" s="5" t="inlineStr">
        <is>
          <t>C</t>
        </is>
      </c>
      <c r="M265" s="5" t="inlineStr">
        <is>
          <t>Collaborator article; downloaded as raw wikitext.</t>
        </is>
      </c>
    </row>
    <row r="266" ht="34" customHeight="1">
      <c r="A266" s="15" t="inlineStr">
        <is>
          <t>SOURCE-265</t>
        </is>
      </c>
      <c r="B266" s="5" t="n"/>
      <c r="C266" s="5" t="n"/>
      <c r="D266" s="5" t="inlineStr">
        <is>
          <t>Karan Razdan</t>
        </is>
      </c>
      <c r="E266" s="5" t="inlineStr">
        <is>
          <t>Wikipedia</t>
        </is>
      </c>
      <c r="F266" s="5" t="n"/>
      <c r="G266" s="5" t="n"/>
      <c r="H266" s="22" t="inlineStr">
        <is>
          <t>https://en.wikipedia.org/wiki/Karan_Razdan</t>
        </is>
      </c>
      <c r="I266" s="16" t="n">
        <v>46303</v>
      </c>
      <c r="J266" s="5" t="inlineStr">
        <is>
          <t>Career background, major works and awards of Karan Razdan.</t>
        </is>
      </c>
      <c r="K266" s="5" t="inlineStr">
        <is>
          <t>Reference encyclopedia</t>
        </is>
      </c>
      <c r="L266" s="5" t="inlineStr">
        <is>
          <t>C</t>
        </is>
      </c>
      <c r="M266" s="5" t="inlineStr">
        <is>
          <t>Collaborator article; downloaded as raw wikitext.</t>
        </is>
      </c>
    </row>
    <row r="267" ht="34" customHeight="1">
      <c r="A267" s="15" t="inlineStr">
        <is>
          <t>SOURCE-266</t>
        </is>
      </c>
      <c r="B267" s="5" t="n"/>
      <c r="C267" s="5" t="n"/>
      <c r="D267" s="5" t="inlineStr">
        <is>
          <t>Karim Morani</t>
        </is>
      </c>
      <c r="E267" s="5" t="inlineStr">
        <is>
          <t>Wikipedia</t>
        </is>
      </c>
      <c r="F267" s="5" t="n"/>
      <c r="G267" s="5" t="n"/>
      <c r="H267" s="22" t="inlineStr">
        <is>
          <t>https://en.wikipedia.org/wiki/Karim_Morani</t>
        </is>
      </c>
      <c r="I267" s="16" t="n">
        <v>46303</v>
      </c>
      <c r="J267" s="5" t="inlineStr">
        <is>
          <t>Career background, major works and awards of Karim Morani.</t>
        </is>
      </c>
      <c r="K267" s="5" t="inlineStr">
        <is>
          <t>Reference encyclopedia</t>
        </is>
      </c>
      <c r="L267" s="5" t="inlineStr">
        <is>
          <t>C</t>
        </is>
      </c>
      <c r="M267" s="5" t="inlineStr">
        <is>
          <t>Collaborator article; downloaded as raw wikitext.</t>
        </is>
      </c>
    </row>
    <row r="268" ht="34" customHeight="1">
      <c r="A268" s="15" t="inlineStr">
        <is>
          <t>SOURCE-267</t>
        </is>
      </c>
      <c r="B268" s="5" t="n"/>
      <c r="C268" s="5" t="n"/>
      <c r="D268" s="5" t="inlineStr">
        <is>
          <t>Khalid Mohamed</t>
        </is>
      </c>
      <c r="E268" s="5" t="inlineStr">
        <is>
          <t>Wikipedia</t>
        </is>
      </c>
      <c r="F268" s="5" t="n"/>
      <c r="G268" s="5" t="n"/>
      <c r="H268" s="22" t="inlineStr">
        <is>
          <t>https://en.wikipedia.org/wiki/Khalid_Mohamed</t>
        </is>
      </c>
      <c r="I268" s="16" t="n">
        <v>46303</v>
      </c>
      <c r="J268" s="5" t="inlineStr">
        <is>
          <t>Career background, major works and awards of Khalid Mohamed.</t>
        </is>
      </c>
      <c r="K268" s="5" t="inlineStr">
        <is>
          <t>Reference encyclopedia</t>
        </is>
      </c>
      <c r="L268" s="5" t="inlineStr">
        <is>
          <t>C</t>
        </is>
      </c>
      <c r="M268" s="5" t="inlineStr">
        <is>
          <t>Collaborator article; downloaded as raw wikitext.</t>
        </is>
      </c>
    </row>
    <row r="269" ht="34" customHeight="1">
      <c r="A269" s="15" t="inlineStr">
        <is>
          <t>SOURCE-268</t>
        </is>
      </c>
      <c r="B269" s="5" t="n"/>
      <c r="C269" s="5" t="n"/>
      <c r="D269" s="5" t="inlineStr">
        <is>
          <t>Kiran Rao</t>
        </is>
      </c>
      <c r="E269" s="5" t="inlineStr">
        <is>
          <t>Wikipedia</t>
        </is>
      </c>
      <c r="F269" s="5" t="n"/>
      <c r="G269" s="5" t="n"/>
      <c r="H269" s="22" t="inlineStr">
        <is>
          <t>https://en.wikipedia.org/wiki/Kiran_Rao</t>
        </is>
      </c>
      <c r="I269" s="16" t="n">
        <v>46303</v>
      </c>
      <c r="J269" s="5" t="inlineStr">
        <is>
          <t>Career background, major works and awards of Kiran Rao.</t>
        </is>
      </c>
      <c r="K269" s="5" t="inlineStr">
        <is>
          <t>Reference encyclopedia</t>
        </is>
      </c>
      <c r="L269" s="5" t="inlineStr">
        <is>
          <t>C</t>
        </is>
      </c>
      <c r="M269" s="5" t="inlineStr">
        <is>
          <t>Collaborator article; downloaded as raw wikitext.</t>
        </is>
      </c>
    </row>
    <row r="270" ht="34" customHeight="1">
      <c r="A270" s="15" t="inlineStr">
        <is>
          <t>SOURCE-269</t>
        </is>
      </c>
      <c r="B270" s="5" t="n"/>
      <c r="C270" s="5" t="n"/>
      <c r="D270" s="5" t="inlineStr">
        <is>
          <t>Koti (composer)</t>
        </is>
      </c>
      <c r="E270" s="5" t="inlineStr">
        <is>
          <t>Wikipedia</t>
        </is>
      </c>
      <c r="F270" s="5" t="n"/>
      <c r="G270" s="5" t="n"/>
      <c r="H270" s="22" t="inlineStr">
        <is>
          <t>https://en.wikipedia.org/wiki/Koti_(composer)</t>
        </is>
      </c>
      <c r="I270" s="16" t="n">
        <v>46303</v>
      </c>
      <c r="J270" s="5" t="inlineStr">
        <is>
          <t>Career background of Koti, drawn from the article on Koti (composer).</t>
        </is>
      </c>
      <c r="K270" s="5" t="inlineStr">
        <is>
          <t>Reference encyclopedia</t>
        </is>
      </c>
      <c r="L270" s="5" t="inlineStr">
        <is>
          <t>C</t>
        </is>
      </c>
      <c r="M270" s="5" t="inlineStr">
        <is>
          <t>Collaborator article; downloaded as raw wikitext.</t>
        </is>
      </c>
    </row>
    <row r="271" ht="34" customHeight="1">
      <c r="A271" s="15" t="inlineStr">
        <is>
          <t>SOURCE-270</t>
        </is>
      </c>
      <c r="B271" s="5" t="n"/>
      <c r="C271" s="5" t="n"/>
      <c r="D271" s="5" t="inlineStr">
        <is>
          <t>Krishan Kumar (actor)</t>
        </is>
      </c>
      <c r="E271" s="5" t="inlineStr">
        <is>
          <t>Wikipedia</t>
        </is>
      </c>
      <c r="F271" s="5" t="n"/>
      <c r="G271" s="5" t="n"/>
      <c r="H271" s="22" t="inlineStr">
        <is>
          <t>https://en.wikipedia.org/wiki/Krishan_Kumar_(actor)</t>
        </is>
      </c>
      <c r="I271" s="16" t="n">
        <v>46303</v>
      </c>
      <c r="J271" s="5" t="inlineStr">
        <is>
          <t>Career background of Krishan Kumar, drawn from the article on Krishan Kumar (actor).</t>
        </is>
      </c>
      <c r="K271" s="5" t="inlineStr">
        <is>
          <t>Reference encyclopedia</t>
        </is>
      </c>
      <c r="L271" s="5" t="inlineStr">
        <is>
          <t>C</t>
        </is>
      </c>
      <c r="M271" s="5" t="inlineStr">
        <is>
          <t>Collaborator article; downloaded as raw wikitext.</t>
        </is>
      </c>
    </row>
    <row r="272" ht="34" customHeight="1">
      <c r="A272" s="15" t="inlineStr">
        <is>
          <t>SOURCE-271</t>
        </is>
      </c>
      <c r="B272" s="5" t="n"/>
      <c r="C272" s="5" t="n"/>
      <c r="D272" s="5" t="inlineStr">
        <is>
          <t>Krishna Vamsi</t>
        </is>
      </c>
      <c r="E272" s="5" t="inlineStr">
        <is>
          <t>Wikipedia</t>
        </is>
      </c>
      <c r="F272" s="5" t="n"/>
      <c r="G272" s="5" t="n"/>
      <c r="H272" s="22" t="inlineStr">
        <is>
          <t>https://en.wikipedia.org/wiki/Krishna_Vamsi</t>
        </is>
      </c>
      <c r="I272" s="16" t="n">
        <v>46303</v>
      </c>
      <c r="J272" s="5" t="inlineStr">
        <is>
          <t>Career background, major works and awards of Krishna Vamsi.</t>
        </is>
      </c>
      <c r="K272" s="5" t="inlineStr">
        <is>
          <t>Reference encyclopedia</t>
        </is>
      </c>
      <c r="L272" s="5" t="inlineStr">
        <is>
          <t>C</t>
        </is>
      </c>
      <c r="M272" s="5" t="inlineStr">
        <is>
          <t>Collaborator article; downloaded as raw wikitext.</t>
        </is>
      </c>
    </row>
    <row r="273" ht="34" customHeight="1">
      <c r="A273" s="15" t="inlineStr">
        <is>
          <t>SOURCE-272</t>
        </is>
      </c>
      <c r="B273" s="5" t="n"/>
      <c r="C273" s="5" t="n"/>
      <c r="D273" s="5" t="inlineStr">
        <is>
          <t>Laxmikant–Pyarelal</t>
        </is>
      </c>
      <c r="E273" s="5" t="inlineStr">
        <is>
          <t>Wikipedia</t>
        </is>
      </c>
      <c r="F273" s="5" t="n"/>
      <c r="G273" s="5" t="n"/>
      <c r="H273" s="22" t="inlineStr">
        <is>
          <t>https://en.wikipedia.org/wiki/Laxmikant%E2%80%93Pyarelal</t>
        </is>
      </c>
      <c r="I273" s="16" t="n">
        <v>46303</v>
      </c>
      <c r="J273" s="5" t="inlineStr">
        <is>
          <t>Career background, major works and awards of Laxmikant–Pyarelal.</t>
        </is>
      </c>
      <c r="K273" s="5" t="inlineStr">
        <is>
          <t>Reference encyclopedia</t>
        </is>
      </c>
      <c r="L273" s="5" t="inlineStr">
        <is>
          <t>C</t>
        </is>
      </c>
      <c r="M273" s="5" t="inlineStr">
        <is>
          <t>Collaborator article; downloaded as raw wikitext.</t>
        </is>
      </c>
    </row>
    <row r="274" ht="34" customHeight="1">
      <c r="A274" s="15" t="inlineStr">
        <is>
          <t>SOURCE-273</t>
        </is>
      </c>
      <c r="B274" s="5" t="n"/>
      <c r="C274" s="5" t="n"/>
      <c r="D274" s="5" t="inlineStr">
        <is>
          <t>Louis Banks</t>
        </is>
      </c>
      <c r="E274" s="5" t="inlineStr">
        <is>
          <t>Wikipedia</t>
        </is>
      </c>
      <c r="F274" s="5" t="n"/>
      <c r="G274" s="5" t="n"/>
      <c r="H274" s="22" t="inlineStr">
        <is>
          <t>https://en.wikipedia.org/wiki/Louis_Banks</t>
        </is>
      </c>
      <c r="I274" s="16" t="n">
        <v>46303</v>
      </c>
      <c r="J274" s="5" t="inlineStr">
        <is>
          <t>Career background, major works and awards of Louis Banks.</t>
        </is>
      </c>
      <c r="K274" s="5" t="inlineStr">
        <is>
          <t>Reference encyclopedia</t>
        </is>
      </c>
      <c r="L274" s="5" t="inlineStr">
        <is>
          <t>C</t>
        </is>
      </c>
      <c r="M274" s="5" t="inlineStr">
        <is>
          <t>Collaborator article; downloaded as raw wikitext.</t>
        </is>
      </c>
    </row>
    <row r="275" ht="34" customHeight="1">
      <c r="A275" s="15" t="inlineStr">
        <is>
          <t>SOURCE-274</t>
        </is>
      </c>
      <c r="B275" s="5" t="n"/>
      <c r="C275" s="5" t="n"/>
      <c r="D275" s="5" t="inlineStr">
        <is>
          <t>M. F. Husain</t>
        </is>
      </c>
      <c r="E275" s="5" t="inlineStr">
        <is>
          <t>Wikipedia</t>
        </is>
      </c>
      <c r="F275" s="5" t="n"/>
      <c r="G275" s="5" t="n"/>
      <c r="H275" s="22" t="inlineStr">
        <is>
          <t>https://en.wikipedia.org/wiki/M._F._Husain</t>
        </is>
      </c>
      <c r="I275" s="16" t="n">
        <v>46303</v>
      </c>
      <c r="J275" s="5" t="inlineStr">
        <is>
          <t>Career background, major works and awards of M. F. Husain.</t>
        </is>
      </c>
      <c r="K275" s="5" t="inlineStr">
        <is>
          <t>Reference encyclopedia</t>
        </is>
      </c>
      <c r="L275" s="5" t="inlineStr">
        <is>
          <t>C</t>
        </is>
      </c>
      <c r="M275" s="5" t="inlineStr">
        <is>
          <t>Collaborator article; downloaded as raw wikitext.</t>
        </is>
      </c>
    </row>
    <row r="276" ht="34" customHeight="1">
      <c r="A276" s="15" t="inlineStr">
        <is>
          <t>SOURCE-275</t>
        </is>
      </c>
      <c r="B276" s="5" t="n"/>
      <c r="C276" s="5" t="n"/>
      <c r="D276" s="5" t="inlineStr">
        <is>
          <t>M. M. Keeravani</t>
        </is>
      </c>
      <c r="E276" s="5" t="inlineStr">
        <is>
          <t>Wikipedia</t>
        </is>
      </c>
      <c r="F276" s="5" t="n"/>
      <c r="G276" s="5" t="n"/>
      <c r="H276" s="22" t="inlineStr">
        <is>
          <t>https://en.wikipedia.org/wiki/M._M._Keeravani</t>
        </is>
      </c>
      <c r="I276" s="16" t="n">
        <v>46303</v>
      </c>
      <c r="J276" s="5" t="inlineStr">
        <is>
          <t>Career background of M. M. Kreem, drawn from the article on M. M. Keeravani.</t>
        </is>
      </c>
      <c r="K276" s="5" t="inlineStr">
        <is>
          <t>Reference encyclopedia</t>
        </is>
      </c>
      <c r="L276" s="5" t="inlineStr">
        <is>
          <t>C</t>
        </is>
      </c>
      <c r="M276" s="5" t="inlineStr">
        <is>
          <t>Collaborator article; downloaded as raw wikitext.</t>
        </is>
      </c>
    </row>
    <row r="277" ht="34" customHeight="1">
      <c r="A277" s="15" t="inlineStr">
        <is>
          <t>SOURCE-276</t>
        </is>
      </c>
      <c r="B277" s="5" t="n"/>
      <c r="C277" s="5" t="n"/>
      <c r="D277" s="5" t="inlineStr">
        <is>
          <t>Madan Mohan (composer)</t>
        </is>
      </c>
      <c r="E277" s="5" t="inlineStr">
        <is>
          <t>Wikipedia</t>
        </is>
      </c>
      <c r="F277" s="5" t="n"/>
      <c r="G277" s="5" t="n"/>
      <c r="H277" s="22" t="inlineStr">
        <is>
          <t>https://en.wikipedia.org/wiki/Madan_Mohan_(composer)</t>
        </is>
      </c>
      <c r="I277" s="16" t="n">
        <v>46303</v>
      </c>
      <c r="J277" s="5" t="inlineStr">
        <is>
          <t>Career background of Madan Mohan, drawn from the article on Madan Mohan (composer).</t>
        </is>
      </c>
      <c r="K277" s="5" t="inlineStr">
        <is>
          <t>Reference encyclopedia</t>
        </is>
      </c>
      <c r="L277" s="5" t="inlineStr">
        <is>
          <t>C</t>
        </is>
      </c>
      <c r="M277" s="5" t="inlineStr">
        <is>
          <t>Collaborator article; downloaded as raw wikitext.</t>
        </is>
      </c>
    </row>
    <row r="278" ht="34" customHeight="1">
      <c r="A278" s="15" t="inlineStr">
        <is>
          <t>SOURCE-277</t>
        </is>
      </c>
      <c r="B278" s="5" t="n"/>
      <c r="C278" s="5" t="n"/>
      <c r="D278" s="5" t="inlineStr">
        <is>
          <t>Madras Talkies</t>
        </is>
      </c>
      <c r="E278" s="5" t="inlineStr">
        <is>
          <t>Wikipedia</t>
        </is>
      </c>
      <c r="F278" s="5" t="n"/>
      <c r="G278" s="5" t="n"/>
      <c r="H278" s="22" t="inlineStr">
        <is>
          <t>https://en.wikipedia.org/wiki/Madras_Talkies</t>
        </is>
      </c>
      <c r="I278" s="16" t="n">
        <v>46303</v>
      </c>
      <c r="J278" s="5" t="inlineStr">
        <is>
          <t>Career background, major works and awards of Madras Talkies.</t>
        </is>
      </c>
      <c r="K278" s="5" t="inlineStr">
        <is>
          <t>Reference encyclopedia</t>
        </is>
      </c>
      <c r="L278" s="5" t="inlineStr">
        <is>
          <t>C</t>
        </is>
      </c>
      <c r="M278" s="5" t="inlineStr">
        <is>
          <t>Collaborator article; downloaded as raw wikitext.</t>
        </is>
      </c>
    </row>
    <row r="279" ht="34" customHeight="1">
      <c r="A279" s="15" t="inlineStr">
        <is>
          <t>SOURCE-278</t>
        </is>
      </c>
      <c r="B279" s="5" t="n"/>
      <c r="C279" s="5" t="n"/>
      <c r="D279" s="5" t="inlineStr">
        <is>
          <t>Makarand Deshpande</t>
        </is>
      </c>
      <c r="E279" s="5" t="inlineStr">
        <is>
          <t>Wikipedia</t>
        </is>
      </c>
      <c r="F279" s="5" t="n"/>
      <c r="G279" s="5" t="n"/>
      <c r="H279" s="22" t="inlineStr">
        <is>
          <t>https://en.wikipedia.org/wiki/Makarand_Deshpande</t>
        </is>
      </c>
      <c r="I279" s="16" t="n">
        <v>46303</v>
      </c>
      <c r="J279" s="5" t="inlineStr">
        <is>
          <t>Career background of Makrand Deshpande, drawn from the article on Makarand Deshpande.</t>
        </is>
      </c>
      <c r="K279" s="5" t="inlineStr">
        <is>
          <t>Reference encyclopedia</t>
        </is>
      </c>
      <c r="L279" s="5" t="inlineStr">
        <is>
          <t>C</t>
        </is>
      </c>
      <c r="M279" s="5" t="inlineStr">
        <is>
          <t>Collaborator article; downloaded as raw wikitext.</t>
        </is>
      </c>
    </row>
    <row r="280" ht="34" customHeight="1">
      <c r="A280" s="15" t="inlineStr">
        <is>
          <t>SOURCE-279</t>
        </is>
      </c>
      <c r="B280" s="5" t="n"/>
      <c r="C280" s="5" t="n"/>
      <c r="D280" s="5" t="inlineStr">
        <is>
          <t>Mani Sharma</t>
        </is>
      </c>
      <c r="E280" s="5" t="inlineStr">
        <is>
          <t>Wikipedia</t>
        </is>
      </c>
      <c r="F280" s="5" t="n"/>
      <c r="G280" s="5" t="n"/>
      <c r="H280" s="22" t="inlineStr">
        <is>
          <t>https://en.wikipedia.org/wiki/Mani_Sharma</t>
        </is>
      </c>
      <c r="I280" s="16" t="n">
        <v>46303</v>
      </c>
      <c r="J280" s="5" t="inlineStr">
        <is>
          <t>Career background, major works and awards of Mani Sharma.</t>
        </is>
      </c>
      <c r="K280" s="5" t="inlineStr">
        <is>
          <t>Reference encyclopedia</t>
        </is>
      </c>
      <c r="L280" s="5" t="inlineStr">
        <is>
          <t>C</t>
        </is>
      </c>
      <c r="M280" s="5" t="inlineStr">
        <is>
          <t>Collaborator article; downloaded as raw wikitext.</t>
        </is>
      </c>
    </row>
    <row r="281" ht="34" customHeight="1">
      <c r="A281" s="15" t="inlineStr">
        <is>
          <t>SOURCE-280</t>
        </is>
      </c>
      <c r="B281" s="5" t="n"/>
      <c r="C281" s="5" t="n"/>
      <c r="D281" s="5" t="inlineStr">
        <is>
          <t>Manohar Shyam Joshi</t>
        </is>
      </c>
      <c r="E281" s="5" t="inlineStr">
        <is>
          <t>Wikipedia</t>
        </is>
      </c>
      <c r="F281" s="5" t="n"/>
      <c r="G281" s="5" t="n"/>
      <c r="H281" s="22" t="inlineStr">
        <is>
          <t>https://en.wikipedia.org/wiki/Manohar_Shyam_Joshi</t>
        </is>
      </c>
      <c r="I281" s="16" t="n">
        <v>46303</v>
      </c>
      <c r="J281" s="5" t="inlineStr">
        <is>
          <t>Career background, major works and awards of Manohar Shyam Joshi.</t>
        </is>
      </c>
      <c r="K281" s="5" t="inlineStr">
        <is>
          <t>Reference encyclopedia</t>
        </is>
      </c>
      <c r="L281" s="5" t="inlineStr">
        <is>
          <t>C</t>
        </is>
      </c>
      <c r="M281" s="5" t="inlineStr">
        <is>
          <t>Collaborator article; downloaded as raw wikitext.</t>
        </is>
      </c>
    </row>
    <row r="282" ht="34" customHeight="1">
      <c r="A282" s="15" t="inlineStr">
        <is>
          <t>SOURCE-281</t>
        </is>
      </c>
      <c r="B282" s="5" t="n"/>
      <c r="C282" s="5" t="n"/>
      <c r="D282" s="5" t="inlineStr">
        <is>
          <t>Mayur Puri</t>
        </is>
      </c>
      <c r="E282" s="5" t="inlineStr">
        <is>
          <t>Wikipedia</t>
        </is>
      </c>
      <c r="F282" s="5" t="n"/>
      <c r="G282" s="5" t="n"/>
      <c r="H282" s="22" t="inlineStr">
        <is>
          <t>https://en.wikipedia.org/wiki/Mayur_Puri</t>
        </is>
      </c>
      <c r="I282" s="16" t="n">
        <v>46303</v>
      </c>
      <c r="J282" s="5" t="inlineStr">
        <is>
          <t>Career background, major works and awards of Mayur Puri.</t>
        </is>
      </c>
      <c r="K282" s="5" t="inlineStr">
        <is>
          <t>Reference encyclopedia</t>
        </is>
      </c>
      <c r="L282" s="5" t="inlineStr">
        <is>
          <t>C</t>
        </is>
      </c>
      <c r="M282" s="5" t="inlineStr">
        <is>
          <t>Collaborator article; downloaded as raw wikitext.</t>
        </is>
      </c>
    </row>
    <row r="283" ht="34" customHeight="1">
      <c r="A283" s="15" t="inlineStr">
        <is>
          <t>SOURCE-282</t>
        </is>
      </c>
      <c r="B283" s="5" t="n"/>
      <c r="C283" s="5" t="n"/>
      <c r="D283" s="5" t="inlineStr">
        <is>
          <t>Meet Bros</t>
        </is>
      </c>
      <c r="E283" s="5" t="inlineStr">
        <is>
          <t>Wikipedia</t>
        </is>
      </c>
      <c r="F283" s="5" t="n"/>
      <c r="G283" s="5" t="n"/>
      <c r="H283" s="22" t="inlineStr">
        <is>
          <t>https://en.wikipedia.org/wiki/Meet_Bros</t>
        </is>
      </c>
      <c r="I283" s="16" t="n">
        <v>46303</v>
      </c>
      <c r="J283" s="5" t="inlineStr">
        <is>
          <t>Career background of Meet Bros Anjjan, drawn from the article on Meet Bros.</t>
        </is>
      </c>
      <c r="K283" s="5" t="inlineStr">
        <is>
          <t>Reference encyclopedia</t>
        </is>
      </c>
      <c r="L283" s="5" t="inlineStr">
        <is>
          <t>C</t>
        </is>
      </c>
      <c r="M283" s="5" t="inlineStr">
        <is>
          <t>Collaborator article; downloaded as raw wikitext.</t>
        </is>
      </c>
    </row>
    <row r="284" ht="34" customHeight="1">
      <c r="A284" s="15" t="inlineStr">
        <is>
          <t>SOURCE-283</t>
        </is>
      </c>
      <c r="B284" s="5" t="n"/>
      <c r="C284" s="5" t="n"/>
      <c r="D284" s="5" t="inlineStr">
        <is>
          <t>Mehmood (actor)</t>
        </is>
      </c>
      <c r="E284" s="5" t="inlineStr">
        <is>
          <t>Wikipedia</t>
        </is>
      </c>
      <c r="F284" s="5" t="n"/>
      <c r="G284" s="5" t="n"/>
      <c r="H284" s="22" t="inlineStr">
        <is>
          <t>https://en.wikipedia.org/wiki/Mehmood_(actor)</t>
        </is>
      </c>
      <c r="I284" s="16" t="n">
        <v>46303</v>
      </c>
      <c r="J284" s="5" t="inlineStr">
        <is>
          <t>Career background of Mehmood, drawn from the article on Mehmood (actor).</t>
        </is>
      </c>
      <c r="K284" s="5" t="inlineStr">
        <is>
          <t>Reference encyclopedia</t>
        </is>
      </c>
      <c r="L284" s="5" t="inlineStr">
        <is>
          <t>C</t>
        </is>
      </c>
      <c r="M284" s="5" t="inlineStr">
        <is>
          <t>Collaborator article; downloaded as raw wikitext.</t>
        </is>
      </c>
    </row>
    <row r="285" ht="34" customHeight="1">
      <c r="A285" s="15" t="inlineStr">
        <is>
          <t>SOURCE-284</t>
        </is>
      </c>
      <c r="B285" s="5" t="n"/>
      <c r="C285" s="5" t="n"/>
      <c r="D285" s="5" t="inlineStr">
        <is>
          <t>Mehr Jesia</t>
        </is>
      </c>
      <c r="E285" s="5" t="inlineStr">
        <is>
          <t>Wikipedia</t>
        </is>
      </c>
      <c r="F285" s="5" t="n"/>
      <c r="G285" s="5" t="n"/>
      <c r="H285" s="22" t="inlineStr">
        <is>
          <t>https://en.wikipedia.org/wiki/Mehr_Jesia</t>
        </is>
      </c>
      <c r="I285" s="16" t="n">
        <v>46303</v>
      </c>
      <c r="J285" s="5" t="inlineStr">
        <is>
          <t>Career background, major works and awards of Mehr Jesia.</t>
        </is>
      </c>
      <c r="K285" s="5" t="inlineStr">
        <is>
          <t>Reference encyclopedia</t>
        </is>
      </c>
      <c r="L285" s="5" t="inlineStr">
        <is>
          <t>C</t>
        </is>
      </c>
      <c r="M285" s="5" t="inlineStr">
        <is>
          <t>Collaborator article; downloaded as raw wikitext.</t>
        </is>
      </c>
    </row>
    <row r="286" ht="34" customHeight="1">
      <c r="A286" s="15" t="inlineStr">
        <is>
          <t>SOURCE-285</t>
        </is>
      </c>
      <c r="B286" s="5" t="n"/>
      <c r="C286" s="5" t="n"/>
      <c r="D286" s="5" t="inlineStr">
        <is>
          <t>Milap Zaveri</t>
        </is>
      </c>
      <c r="E286" s="5" t="inlineStr">
        <is>
          <t>Wikipedia</t>
        </is>
      </c>
      <c r="F286" s="5" t="n"/>
      <c r="G286" s="5" t="n"/>
      <c r="H286" s="22" t="inlineStr">
        <is>
          <t>https://en.wikipedia.org/wiki/Milap_Zaveri</t>
        </is>
      </c>
      <c r="I286" s="16" t="n">
        <v>46303</v>
      </c>
      <c r="J286" s="5" t="inlineStr">
        <is>
          <t>Career background, major works and awards of Milap Zaveri.</t>
        </is>
      </c>
      <c r="K286" s="5" t="inlineStr">
        <is>
          <t>Reference encyclopedia</t>
        </is>
      </c>
      <c r="L286" s="5" t="inlineStr">
        <is>
          <t>C</t>
        </is>
      </c>
      <c r="M286" s="5" t="inlineStr">
        <is>
          <t>Collaborator article; downloaded as raw wikitext.</t>
        </is>
      </c>
    </row>
    <row r="287" ht="34" customHeight="1">
      <c r="A287" s="15" t="inlineStr">
        <is>
          <t>SOURCE-286</t>
        </is>
      </c>
      <c r="B287" s="5" t="n"/>
      <c r="C287" s="5" t="n"/>
      <c r="D287" s="5" t="inlineStr">
        <is>
          <t>Moser Baer</t>
        </is>
      </c>
      <c r="E287" s="5" t="inlineStr">
        <is>
          <t>Wikipedia</t>
        </is>
      </c>
      <c r="F287" s="5" t="n"/>
      <c r="G287" s="5" t="n"/>
      <c r="H287" s="22" t="inlineStr">
        <is>
          <t>https://en.wikipedia.org/wiki/Moser_Baer</t>
        </is>
      </c>
      <c r="I287" s="16" t="n">
        <v>46303</v>
      </c>
      <c r="J287" s="5" t="inlineStr">
        <is>
          <t>Career background, major works and awards of Moser Baer.</t>
        </is>
      </c>
      <c r="K287" s="5" t="inlineStr">
        <is>
          <t>Reference encyclopedia</t>
        </is>
      </c>
      <c r="L287" s="5" t="inlineStr">
        <is>
          <t>C</t>
        </is>
      </c>
      <c r="M287" s="5" t="inlineStr">
        <is>
          <t>Collaborator article; downloaded as raw wikitext.</t>
        </is>
      </c>
    </row>
    <row r="288" ht="34" customHeight="1">
      <c r="A288" s="15" t="inlineStr">
        <is>
          <t>SOURCE-287</t>
        </is>
      </c>
      <c r="B288" s="5" t="n"/>
      <c r="C288" s="5" t="n"/>
      <c r="D288" s="5" t="inlineStr">
        <is>
          <t>Mudassar Aziz</t>
        </is>
      </c>
      <c r="E288" s="5" t="inlineStr">
        <is>
          <t>Wikipedia</t>
        </is>
      </c>
      <c r="F288" s="5" t="n"/>
      <c r="G288" s="5" t="n"/>
      <c r="H288" s="22" t="inlineStr">
        <is>
          <t>https://en.wikipedia.org/wiki/Mudassar_Aziz</t>
        </is>
      </c>
      <c r="I288" s="16" t="n">
        <v>46303</v>
      </c>
      <c r="J288" s="5" t="inlineStr">
        <is>
          <t>Career background, major works and awards of Mudassar Aziz.</t>
        </is>
      </c>
      <c r="K288" s="5" t="inlineStr">
        <is>
          <t>Reference encyclopedia</t>
        </is>
      </c>
      <c r="L288" s="5" t="inlineStr">
        <is>
          <t>C</t>
        </is>
      </c>
      <c r="M288" s="5" t="inlineStr">
        <is>
          <t>Collaborator article; downloaded as raw wikitext.</t>
        </is>
      </c>
    </row>
    <row r="289" ht="34" customHeight="1">
      <c r="A289" s="15" t="inlineStr">
        <is>
          <t>SOURCE-288</t>
        </is>
      </c>
      <c r="B289" s="5" t="n"/>
      <c r="C289" s="5" t="n"/>
      <c r="D289" s="5" t="inlineStr">
        <is>
          <t>Nadiadwala Grandson Entertainment</t>
        </is>
      </c>
      <c r="E289" s="5" t="inlineStr">
        <is>
          <t>Wikipedia</t>
        </is>
      </c>
      <c r="F289" s="5" t="n"/>
      <c r="G289" s="5" t="n"/>
      <c r="H289" s="22" t="inlineStr">
        <is>
          <t>https://en.wikipedia.org/wiki/Nadiadwala_Grandson_Entertainment</t>
        </is>
      </c>
      <c r="I289" s="16" t="n">
        <v>46303</v>
      </c>
      <c r="J289" s="5" t="inlineStr">
        <is>
          <t>Career background, major works and awards of Nadiadwala Grandson Entertainment.</t>
        </is>
      </c>
      <c r="K289" s="5" t="inlineStr">
        <is>
          <t>Reference encyclopedia</t>
        </is>
      </c>
      <c r="L289" s="5" t="inlineStr">
        <is>
          <t>C</t>
        </is>
      </c>
      <c r="M289" s="5" t="inlineStr">
        <is>
          <t>Collaborator article; downloaded as raw wikitext.</t>
        </is>
      </c>
    </row>
    <row r="290" ht="34" customHeight="1">
      <c r="A290" s="15" t="inlineStr">
        <is>
          <t>SOURCE-289</t>
        </is>
      </c>
      <c r="B290" s="5" t="n"/>
      <c r="C290" s="5" t="n"/>
      <c r="D290" s="5" t="inlineStr">
        <is>
          <t>Namit Malhotra</t>
        </is>
      </c>
      <c r="E290" s="5" t="inlineStr">
        <is>
          <t>Wikipedia</t>
        </is>
      </c>
      <c r="F290" s="5" t="n"/>
      <c r="G290" s="5" t="n"/>
      <c r="H290" s="22" t="inlineStr">
        <is>
          <t>https://en.wikipedia.org/wiki/Namit_Malhotra</t>
        </is>
      </c>
      <c r="I290" s="16" t="n">
        <v>46303</v>
      </c>
      <c r="J290" s="5" t="inlineStr">
        <is>
          <t>Career background, major works and awards of Namit Malhotra.</t>
        </is>
      </c>
      <c r="K290" s="5" t="inlineStr">
        <is>
          <t>Reference encyclopedia</t>
        </is>
      </c>
      <c r="L290" s="5" t="inlineStr">
        <is>
          <t>C</t>
        </is>
      </c>
      <c r="M290" s="5" t="inlineStr">
        <is>
          <t>Collaborator article; downloaded as raw wikitext.</t>
        </is>
      </c>
    </row>
    <row r="291" ht="34" customHeight="1">
      <c r="A291" s="15" t="inlineStr">
        <is>
          <t>SOURCE-290</t>
        </is>
      </c>
      <c r="B291" s="5" t="n"/>
      <c r="C291" s="5" t="n"/>
      <c r="D291" s="5" t="inlineStr">
        <is>
          <t>Naushad</t>
        </is>
      </c>
      <c r="E291" s="5" t="inlineStr">
        <is>
          <t>Wikipedia</t>
        </is>
      </c>
      <c r="F291" s="5" t="n"/>
      <c r="G291" s="5" t="n"/>
      <c r="H291" s="22" t="inlineStr">
        <is>
          <t>https://en.wikipedia.org/wiki/Naushad</t>
        </is>
      </c>
      <c r="I291" s="16" t="n">
        <v>46303</v>
      </c>
      <c r="J291" s="5" t="inlineStr">
        <is>
          <t>Career background, major works and awards of Naushad.</t>
        </is>
      </c>
      <c r="K291" s="5" t="inlineStr">
        <is>
          <t>Reference encyclopedia</t>
        </is>
      </c>
      <c r="L291" s="5" t="inlineStr">
        <is>
          <t>C</t>
        </is>
      </c>
      <c r="M291" s="5" t="inlineStr">
        <is>
          <t>Collaborator article; downloaded as raw wikitext.</t>
        </is>
      </c>
    </row>
    <row r="292" ht="34" customHeight="1">
      <c r="A292" s="15" t="inlineStr">
        <is>
          <t>SOURCE-291</t>
        </is>
      </c>
      <c r="B292" s="5" t="n"/>
      <c r="C292" s="5" t="n"/>
      <c r="D292" s="5" t="inlineStr">
        <is>
          <t>Nitesh Tiwari</t>
        </is>
      </c>
      <c r="E292" s="5" t="inlineStr">
        <is>
          <t>Wikipedia</t>
        </is>
      </c>
      <c r="F292" s="5" t="n"/>
      <c r="G292" s="5" t="n"/>
      <c r="H292" s="22" t="inlineStr">
        <is>
          <t>https://en.wikipedia.org/wiki/Nitesh_Tiwari</t>
        </is>
      </c>
      <c r="I292" s="16" t="n">
        <v>46303</v>
      </c>
      <c r="J292" s="5" t="inlineStr">
        <is>
          <t>Career background, major works and awards of Nitesh Tiwari.</t>
        </is>
      </c>
      <c r="K292" s="5" t="inlineStr">
        <is>
          <t>Reference encyclopedia</t>
        </is>
      </c>
      <c r="L292" s="5" t="inlineStr">
        <is>
          <t>C</t>
        </is>
      </c>
      <c r="M292" s="5" t="inlineStr">
        <is>
          <t>Collaborator article; downloaded as raw wikitext.</t>
        </is>
      </c>
    </row>
    <row r="293" ht="34" customHeight="1">
      <c r="A293" s="15" t="inlineStr">
        <is>
          <t>SOURCE-292</t>
        </is>
      </c>
      <c r="B293" s="5" t="n"/>
      <c r="C293" s="5" t="n"/>
      <c r="D293" s="5" t="inlineStr">
        <is>
          <t>Palash Muchhal</t>
        </is>
      </c>
      <c r="E293" s="5" t="inlineStr">
        <is>
          <t>Wikipedia</t>
        </is>
      </c>
      <c r="F293" s="5" t="n"/>
      <c r="G293" s="5" t="n"/>
      <c r="H293" s="22" t="inlineStr">
        <is>
          <t>https://en.wikipedia.org/wiki/Palash_Muchhal</t>
        </is>
      </c>
      <c r="I293" s="16" t="n">
        <v>46303</v>
      </c>
      <c r="J293" s="5" t="inlineStr">
        <is>
          <t>Career background, major works and awards of Palash Muchhal.</t>
        </is>
      </c>
      <c r="K293" s="5" t="inlineStr">
        <is>
          <t>Reference encyclopedia</t>
        </is>
      </c>
      <c r="L293" s="5" t="inlineStr">
        <is>
          <t>C</t>
        </is>
      </c>
      <c r="M293" s="5" t="inlineStr">
        <is>
          <t>Collaborator article; downloaded as raw wikitext.</t>
        </is>
      </c>
    </row>
    <row r="294" ht="34" customHeight="1">
      <c r="A294" s="15" t="inlineStr">
        <is>
          <t>SOURCE-293</t>
        </is>
      </c>
      <c r="B294" s="5" t="n"/>
      <c r="C294" s="5" t="n"/>
      <c r="D294" s="5" t="inlineStr">
        <is>
          <t>Pamela Chopra</t>
        </is>
      </c>
      <c r="E294" s="5" t="inlineStr">
        <is>
          <t>Wikipedia</t>
        </is>
      </c>
      <c r="F294" s="5" t="n"/>
      <c r="G294" s="5" t="n"/>
      <c r="H294" s="22" t="inlineStr">
        <is>
          <t>https://en.wikipedia.org/wiki/Pamela_Chopra</t>
        </is>
      </c>
      <c r="I294" s="16" t="n">
        <v>46303</v>
      </c>
      <c r="J294" s="5" t="inlineStr">
        <is>
          <t>Career background, major works and awards of Pamela Chopra.</t>
        </is>
      </c>
      <c r="K294" s="5" t="inlineStr">
        <is>
          <t>Reference encyclopedia</t>
        </is>
      </c>
      <c r="L294" s="5" t="inlineStr">
        <is>
          <t>C</t>
        </is>
      </c>
      <c r="M294" s="5" t="inlineStr">
        <is>
          <t>Collaborator article; downloaded as raw wikitext.</t>
        </is>
      </c>
    </row>
    <row r="295" ht="34" customHeight="1">
      <c r="A295" s="15" t="inlineStr">
        <is>
          <t>SOURCE-294</t>
        </is>
      </c>
      <c r="B295" s="5" t="n"/>
      <c r="C295" s="5" t="n"/>
      <c r="D295" s="5" t="inlineStr">
        <is>
          <t>Pankaj Advani (director)</t>
        </is>
      </c>
      <c r="E295" s="5" t="inlineStr">
        <is>
          <t>Wikipedia</t>
        </is>
      </c>
      <c r="F295" s="5" t="n"/>
      <c r="G295" s="5" t="n"/>
      <c r="H295" s="22" t="inlineStr">
        <is>
          <t>https://en.wikipedia.org/wiki/Pankaj_Advani_(director)</t>
        </is>
      </c>
      <c r="I295" s="16" t="n">
        <v>46303</v>
      </c>
      <c r="J295" s="5" t="inlineStr">
        <is>
          <t>Career background of Pankaj Advani, drawn from the article on Pankaj Advani (director).</t>
        </is>
      </c>
      <c r="K295" s="5" t="inlineStr">
        <is>
          <t>Reference encyclopedia</t>
        </is>
      </c>
      <c r="L295" s="5" t="inlineStr">
        <is>
          <t>C</t>
        </is>
      </c>
      <c r="M295" s="5" t="inlineStr">
        <is>
          <t>Collaborator article; downloaded as raw wikitext.</t>
        </is>
      </c>
    </row>
    <row r="296" ht="34" customHeight="1">
      <c r="A296" s="15" t="inlineStr">
        <is>
          <t>SOURCE-295</t>
        </is>
      </c>
      <c r="B296" s="5" t="n"/>
      <c r="C296" s="5" t="n"/>
      <c r="D296" s="5" t="inlineStr">
        <is>
          <t>Paramount Pictures</t>
        </is>
      </c>
      <c r="E296" s="5" t="inlineStr">
        <is>
          <t>Wikipedia</t>
        </is>
      </c>
      <c r="F296" s="5" t="n"/>
      <c r="G296" s="5" t="n"/>
      <c r="H296" s="22" t="inlineStr">
        <is>
          <t>https://en.wikipedia.org/wiki/Paramount_Pictures</t>
        </is>
      </c>
      <c r="I296" s="16" t="n">
        <v>46303</v>
      </c>
      <c r="J296" s="5" t="inlineStr">
        <is>
          <t>Career background, major works and awards of Paramount Pictures.</t>
        </is>
      </c>
      <c r="K296" s="5" t="inlineStr">
        <is>
          <t>Reference encyclopedia</t>
        </is>
      </c>
      <c r="L296" s="5" t="inlineStr">
        <is>
          <t>C</t>
        </is>
      </c>
      <c r="M296" s="5" t="inlineStr">
        <is>
          <t>Collaborator article; downloaded as raw wikitext.</t>
        </is>
      </c>
    </row>
    <row r="297" ht="34" customHeight="1">
      <c r="A297" s="15" t="inlineStr">
        <is>
          <t>SOURCE-296</t>
        </is>
      </c>
      <c r="B297" s="5" t="n"/>
      <c r="C297" s="5" t="n"/>
      <c r="D297" s="5" t="inlineStr">
        <is>
          <t>Pooja Entertainment</t>
        </is>
      </c>
      <c r="E297" s="5" t="inlineStr">
        <is>
          <t>Wikipedia</t>
        </is>
      </c>
      <c r="F297" s="5" t="n"/>
      <c r="G297" s="5" t="n"/>
      <c r="H297" s="22" t="inlineStr">
        <is>
          <t>https://en.wikipedia.org/wiki/Pooja_Entertainment</t>
        </is>
      </c>
      <c r="I297" s="16" t="n">
        <v>46303</v>
      </c>
      <c r="J297" s="5" t="inlineStr">
        <is>
          <t>Career background, major works and awards of Pooja Entertainment.</t>
        </is>
      </c>
      <c r="K297" s="5" t="inlineStr">
        <is>
          <t>Reference encyclopedia</t>
        </is>
      </c>
      <c r="L297" s="5" t="inlineStr">
        <is>
          <t>C</t>
        </is>
      </c>
      <c r="M297" s="5" t="inlineStr">
        <is>
          <t>Collaborator article; downloaded as raw wikitext.</t>
        </is>
      </c>
    </row>
    <row r="298" ht="34" customHeight="1">
      <c r="A298" s="15" t="inlineStr">
        <is>
          <t>SOURCE-297</t>
        </is>
      </c>
      <c r="B298" s="5" t="n"/>
      <c r="C298" s="5" t="n"/>
      <c r="D298" s="5" t="inlineStr">
        <is>
          <t>Pradhuman Singh</t>
        </is>
      </c>
      <c r="E298" s="5" t="inlineStr">
        <is>
          <t>Wikipedia</t>
        </is>
      </c>
      <c r="F298" s="5" t="n"/>
      <c r="G298" s="5" t="n"/>
      <c r="H298" s="22" t="inlineStr">
        <is>
          <t>https://en.wikipedia.org/wiki/Pradhuman_Singh</t>
        </is>
      </c>
      <c r="I298" s="16" t="n">
        <v>46303</v>
      </c>
      <c r="J298" s="5" t="inlineStr">
        <is>
          <t>Career background of Pradhuman Singh Mall, drawn from the article on Pradhuman Singh.</t>
        </is>
      </c>
      <c r="K298" s="5" t="inlineStr">
        <is>
          <t>Reference encyclopedia</t>
        </is>
      </c>
      <c r="L298" s="5" t="inlineStr">
        <is>
          <t>C</t>
        </is>
      </c>
      <c r="M298" s="5" t="inlineStr">
        <is>
          <t>Collaborator article; downloaded as raw wikitext.</t>
        </is>
      </c>
    </row>
    <row r="299" ht="34" customHeight="1">
      <c r="A299" s="15" t="inlineStr">
        <is>
          <t>SOURCE-298</t>
        </is>
      </c>
      <c r="B299" s="5" t="n"/>
      <c r="C299" s="5" t="n"/>
      <c r="D299" s="5" t="inlineStr">
        <is>
          <t>Praveen Nischol</t>
        </is>
      </c>
      <c r="E299" s="5" t="inlineStr">
        <is>
          <t>Wikipedia</t>
        </is>
      </c>
      <c r="F299" s="5" t="n"/>
      <c r="G299" s="5" t="n"/>
      <c r="H299" s="22" t="inlineStr">
        <is>
          <t>https://en.wikipedia.org/wiki/Praveen_Nischol</t>
        </is>
      </c>
      <c r="I299" s="16" t="n">
        <v>46303</v>
      </c>
      <c r="J299" s="5" t="inlineStr">
        <is>
          <t>Career background, major works and awards of Praveen Nischol.</t>
        </is>
      </c>
      <c r="K299" s="5" t="inlineStr">
        <is>
          <t>Reference encyclopedia</t>
        </is>
      </c>
      <c r="L299" s="5" t="inlineStr">
        <is>
          <t>C</t>
        </is>
      </c>
      <c r="M299" s="5" t="inlineStr">
        <is>
          <t>Collaborator article; downloaded as raw wikitext.</t>
        </is>
      </c>
    </row>
    <row r="300" ht="34" customHeight="1">
      <c r="A300" s="15" t="inlineStr">
        <is>
          <t>SOURCE-299</t>
        </is>
      </c>
      <c r="B300" s="5" t="n"/>
      <c r="C300" s="5" t="n"/>
      <c r="D300" s="5" t="inlineStr">
        <is>
          <t>DNEG</t>
        </is>
      </c>
      <c r="E300" s="5" t="inlineStr">
        <is>
          <t>Wikipedia</t>
        </is>
      </c>
      <c r="F300" s="5" t="n"/>
      <c r="G300" s="5" t="n"/>
      <c r="H300" s="22" t="inlineStr">
        <is>
          <t>https://en.wikipedia.org/wiki/DNEG</t>
        </is>
      </c>
      <c r="I300" s="16" t="n">
        <v>46303</v>
      </c>
      <c r="J300" s="5" t="inlineStr">
        <is>
          <t>Career background of Prime Focus Studios, drawn from the article on DNEG.</t>
        </is>
      </c>
      <c r="K300" s="5" t="inlineStr">
        <is>
          <t>Reference encyclopedia</t>
        </is>
      </c>
      <c r="L300" s="5" t="inlineStr">
        <is>
          <t>C</t>
        </is>
      </c>
      <c r="M300" s="5" t="inlineStr">
        <is>
          <t>Collaborator article; downloaded as raw wikitext.</t>
        </is>
      </c>
    </row>
    <row r="301" ht="34" customHeight="1">
      <c r="A301" s="15" t="inlineStr">
        <is>
          <t>SOURCE-300</t>
        </is>
      </c>
      <c r="B301" s="5" t="n"/>
      <c r="C301" s="5" t="n"/>
      <c r="D301" s="5" t="inlineStr">
        <is>
          <t>R. Madhavan</t>
        </is>
      </c>
      <c r="E301" s="5" t="inlineStr">
        <is>
          <t>Wikipedia</t>
        </is>
      </c>
      <c r="F301" s="5" t="n"/>
      <c r="G301" s="5" t="n"/>
      <c r="H301" s="22" t="inlineStr">
        <is>
          <t>https://en.wikipedia.org/wiki/R._Madhavan</t>
        </is>
      </c>
      <c r="I301" s="16" t="n">
        <v>46303</v>
      </c>
      <c r="J301" s="5" t="inlineStr">
        <is>
          <t>Career background, major works and awards of R. Madhavan.</t>
        </is>
      </c>
      <c r="K301" s="5" t="inlineStr">
        <is>
          <t>Reference encyclopedia</t>
        </is>
      </c>
      <c r="L301" s="5" t="inlineStr">
        <is>
          <t>C</t>
        </is>
      </c>
      <c r="M301" s="5" t="inlineStr">
        <is>
          <t>Collaborator article; downloaded as raw wikitext.</t>
        </is>
      </c>
    </row>
    <row r="302" ht="34" customHeight="1">
      <c r="A302" s="15" t="inlineStr">
        <is>
          <t>SOURCE-301</t>
        </is>
      </c>
      <c r="B302" s="5" t="n"/>
      <c r="C302" s="5" t="n"/>
      <c r="D302" s="5" t="inlineStr">
        <is>
          <t>Raaj Kamal Films International</t>
        </is>
      </c>
      <c r="E302" s="5" t="inlineStr">
        <is>
          <t>Wikipedia</t>
        </is>
      </c>
      <c r="F302" s="5" t="n"/>
      <c r="G302" s="5" t="n"/>
      <c r="H302" s="22" t="inlineStr">
        <is>
          <t>https://en.wikipedia.org/wiki/Raaj_Kamal_Films_International</t>
        </is>
      </c>
      <c r="I302" s="16" t="n">
        <v>46303</v>
      </c>
      <c r="J302" s="5" t="inlineStr">
        <is>
          <t>Career background, major works and awards of Raaj Kamal Films International.</t>
        </is>
      </c>
      <c r="K302" s="5" t="inlineStr">
        <is>
          <t>Reference encyclopedia</t>
        </is>
      </c>
      <c r="L302" s="5" t="inlineStr">
        <is>
          <t>C</t>
        </is>
      </c>
      <c r="M302" s="5" t="inlineStr">
        <is>
          <t>Collaborator article; downloaded as raw wikitext.</t>
        </is>
      </c>
    </row>
    <row r="303" ht="34" customHeight="1">
      <c r="A303" s="15" t="inlineStr">
        <is>
          <t>SOURCE-302</t>
        </is>
      </c>
      <c r="B303" s="5" t="n"/>
      <c r="C303" s="5" t="n"/>
      <c r="D303" s="5" t="inlineStr">
        <is>
          <t>Rahul Dholakia</t>
        </is>
      </c>
      <c r="E303" s="5" t="inlineStr">
        <is>
          <t>Wikipedia</t>
        </is>
      </c>
      <c r="F303" s="5" t="n"/>
      <c r="G303" s="5" t="n"/>
      <c r="H303" s="22" t="inlineStr">
        <is>
          <t>https://en.wikipedia.org/wiki/Rahul_Dholakia</t>
        </is>
      </c>
      <c r="I303" s="16" t="n">
        <v>46303</v>
      </c>
      <c r="J303" s="5" t="inlineStr">
        <is>
          <t>Career background, major works and awards of Rahul Dholakia.</t>
        </is>
      </c>
      <c r="K303" s="5" t="inlineStr">
        <is>
          <t>Reference encyclopedia</t>
        </is>
      </c>
      <c r="L303" s="5" t="inlineStr">
        <is>
          <t>C</t>
        </is>
      </c>
      <c r="M303" s="5" t="inlineStr">
        <is>
          <t>Collaborator article; downloaded as raw wikitext.</t>
        </is>
      </c>
    </row>
    <row r="304" ht="34" customHeight="1">
      <c r="A304" s="15" t="inlineStr">
        <is>
          <t>SOURCE-303</t>
        </is>
      </c>
      <c r="B304" s="5" t="n"/>
      <c r="C304" s="5" t="n"/>
      <c r="D304" s="5" t="inlineStr">
        <is>
          <t>Rahul Rawail</t>
        </is>
      </c>
      <c r="E304" s="5" t="inlineStr">
        <is>
          <t>Wikipedia</t>
        </is>
      </c>
      <c r="F304" s="5" t="n"/>
      <c r="G304" s="5" t="n"/>
      <c r="H304" s="22" t="inlineStr">
        <is>
          <t>https://en.wikipedia.org/wiki/Rahul_Rawail</t>
        </is>
      </c>
      <c r="I304" s="16" t="n">
        <v>46303</v>
      </c>
      <c r="J304" s="5" t="inlineStr">
        <is>
          <t>Career background, major works and awards of Rahul Rawail.</t>
        </is>
      </c>
      <c r="K304" s="5" t="inlineStr">
        <is>
          <t>Reference encyclopedia</t>
        </is>
      </c>
      <c r="L304" s="5" t="inlineStr">
        <is>
          <t>C</t>
        </is>
      </c>
      <c r="M304" s="5" t="inlineStr">
        <is>
          <t>Collaborator article; downloaded as raw wikitext.</t>
        </is>
      </c>
    </row>
    <row r="305" ht="34" customHeight="1">
      <c r="A305" s="15" t="inlineStr">
        <is>
          <t>SOURCE-304</t>
        </is>
      </c>
      <c r="B305" s="5" t="n"/>
      <c r="C305" s="5" t="n"/>
      <c r="D305" s="5" t="inlineStr">
        <is>
          <t>Raju Singh</t>
        </is>
      </c>
      <c r="E305" s="5" t="inlineStr">
        <is>
          <t>Wikipedia</t>
        </is>
      </c>
      <c r="F305" s="5" t="n"/>
      <c r="G305" s="5" t="n"/>
      <c r="H305" s="22" t="inlineStr">
        <is>
          <t>https://en.wikipedia.org/wiki/Raju_Singh</t>
        </is>
      </c>
      <c r="I305" s="16" t="n">
        <v>46303</v>
      </c>
      <c r="J305" s="5" t="inlineStr">
        <is>
          <t>Career background, major works and awards of Raju Singh.</t>
        </is>
      </c>
      <c r="K305" s="5" t="inlineStr">
        <is>
          <t>Reference encyclopedia</t>
        </is>
      </c>
      <c r="L305" s="5" t="inlineStr">
        <is>
          <t>C</t>
        </is>
      </c>
      <c r="M305" s="5" t="inlineStr">
        <is>
          <t>Collaborator article; downloaded as raw wikitext.</t>
        </is>
      </c>
    </row>
    <row r="306" ht="34" customHeight="1">
      <c r="A306" s="15" t="inlineStr">
        <is>
          <t>SOURCE-305</t>
        </is>
      </c>
      <c r="B306" s="5" t="n"/>
      <c r="C306" s="5" t="n"/>
      <c r="D306" s="5" t="inlineStr">
        <is>
          <t>Ram Gopal Varma</t>
        </is>
      </c>
      <c r="E306" s="5" t="inlineStr">
        <is>
          <t>Wikipedia</t>
        </is>
      </c>
      <c r="F306" s="5" t="n"/>
      <c r="G306" s="5" t="n"/>
      <c r="H306" s="22" t="inlineStr">
        <is>
          <t>https://en.wikipedia.org/wiki/Ram_Gopal_Varma</t>
        </is>
      </c>
      <c r="I306" s="16" t="n">
        <v>46303</v>
      </c>
      <c r="J306" s="5" t="inlineStr">
        <is>
          <t>Career background, major works and awards of Ram Gopal Varma.</t>
        </is>
      </c>
      <c r="K306" s="5" t="inlineStr">
        <is>
          <t>Reference encyclopedia</t>
        </is>
      </c>
      <c r="L306" s="5" t="inlineStr">
        <is>
          <t>C</t>
        </is>
      </c>
      <c r="M306" s="5" t="inlineStr">
        <is>
          <t>Collaborator article; downloaded as raw wikitext.</t>
        </is>
      </c>
    </row>
    <row r="307" ht="34" customHeight="1">
      <c r="A307" s="15" t="inlineStr">
        <is>
          <t>SOURCE-306</t>
        </is>
      </c>
      <c r="B307" s="5" t="n"/>
      <c r="C307" s="5" t="n"/>
      <c r="D307" s="5" t="inlineStr">
        <is>
          <t>Ranbir Kapoor</t>
        </is>
      </c>
      <c r="E307" s="5" t="inlineStr">
        <is>
          <t>Wikipedia</t>
        </is>
      </c>
      <c r="F307" s="5" t="n"/>
      <c r="G307" s="5" t="n"/>
      <c r="H307" s="22" t="inlineStr">
        <is>
          <t>https://en.wikipedia.org/wiki/Ranbir_Kapoor</t>
        </is>
      </c>
      <c r="I307" s="16" t="n">
        <v>46303</v>
      </c>
      <c r="J307" s="5" t="inlineStr">
        <is>
          <t>Career background, major works and awards of Ranbir Kapoor.</t>
        </is>
      </c>
      <c r="K307" s="5" t="inlineStr">
        <is>
          <t>Reference encyclopedia</t>
        </is>
      </c>
      <c r="L307" s="5" t="inlineStr">
        <is>
          <t>C</t>
        </is>
      </c>
      <c r="M307" s="5" t="inlineStr">
        <is>
          <t>Collaborator article; downloaded as raw wikitext.</t>
        </is>
      </c>
    </row>
    <row r="308" ht="34" customHeight="1">
      <c r="A308" s="15" t="inlineStr">
        <is>
          <t>SOURCE-307</t>
        </is>
      </c>
      <c r="B308" s="5" t="n"/>
      <c r="C308" s="5" t="n"/>
      <c r="D308" s="5" t="inlineStr">
        <is>
          <t>Ranbir Pushp</t>
        </is>
      </c>
      <c r="E308" s="5" t="inlineStr">
        <is>
          <t>Wikipedia</t>
        </is>
      </c>
      <c r="F308" s="5" t="n"/>
      <c r="G308" s="5" t="n"/>
      <c r="H308" s="22" t="inlineStr">
        <is>
          <t>https://en.wikipedia.org/wiki/Ranbir_Pushp</t>
        </is>
      </c>
      <c r="I308" s="16" t="n">
        <v>46303</v>
      </c>
      <c r="J308" s="5" t="inlineStr">
        <is>
          <t>Career background, major works and awards of Ranbir Pushp.</t>
        </is>
      </c>
      <c r="K308" s="5" t="inlineStr">
        <is>
          <t>Reference encyclopedia</t>
        </is>
      </c>
      <c r="L308" s="5" t="inlineStr">
        <is>
          <t>C</t>
        </is>
      </c>
      <c r="M308" s="5" t="inlineStr">
        <is>
          <t>Collaborator article; downloaded as raw wikitext.</t>
        </is>
      </c>
    </row>
    <row r="309" ht="34" customHeight="1">
      <c r="A309" s="15" t="inlineStr">
        <is>
          <t>SOURCE-308</t>
        </is>
      </c>
      <c r="B309" s="5" t="n"/>
      <c r="C309" s="5" t="n"/>
      <c r="D309" s="5" t="inlineStr">
        <is>
          <t>Ravi Chopra</t>
        </is>
      </c>
      <c r="E309" s="5" t="inlineStr">
        <is>
          <t>Wikipedia</t>
        </is>
      </c>
      <c r="F309" s="5" t="n"/>
      <c r="G309" s="5" t="n"/>
      <c r="H309" s="22" t="inlineStr">
        <is>
          <t>https://en.wikipedia.org/wiki/Ravi_Chopra</t>
        </is>
      </c>
      <c r="I309" s="16" t="n">
        <v>46303</v>
      </c>
      <c r="J309" s="5" t="inlineStr">
        <is>
          <t>Career background, major works and awards of Ravi Chopra.</t>
        </is>
      </c>
      <c r="K309" s="5" t="inlineStr">
        <is>
          <t>Reference encyclopedia</t>
        </is>
      </c>
      <c r="L309" s="5" t="inlineStr">
        <is>
          <t>C</t>
        </is>
      </c>
      <c r="M309" s="5" t="inlineStr">
        <is>
          <t>Collaborator article; downloaded as raw wikitext.</t>
        </is>
      </c>
    </row>
    <row r="310" ht="34" customHeight="1">
      <c r="A310" s="15" t="inlineStr">
        <is>
          <t>SOURCE-309</t>
        </is>
      </c>
      <c r="B310" s="5" t="n"/>
      <c r="C310" s="5" t="n"/>
      <c r="D310" s="5" t="inlineStr">
        <is>
          <t>Reema Kagti</t>
        </is>
      </c>
      <c r="E310" s="5" t="inlineStr">
        <is>
          <t>Wikipedia</t>
        </is>
      </c>
      <c r="F310" s="5" t="n"/>
      <c r="G310" s="5" t="n"/>
      <c r="H310" s="22" t="inlineStr">
        <is>
          <t>https://en.wikipedia.org/wiki/Reema_Kagti</t>
        </is>
      </c>
      <c r="I310" s="16" t="n">
        <v>46303</v>
      </c>
      <c r="J310" s="5" t="inlineStr">
        <is>
          <t>Career background, major works and awards of Reema Kagti.</t>
        </is>
      </c>
      <c r="K310" s="5" t="inlineStr">
        <is>
          <t>Reference encyclopedia</t>
        </is>
      </c>
      <c r="L310" s="5" t="inlineStr">
        <is>
          <t>C</t>
        </is>
      </c>
      <c r="M310" s="5" t="inlineStr">
        <is>
          <t>Collaborator article; downloaded as raw wikitext.</t>
        </is>
      </c>
    </row>
    <row r="311" ht="34" customHeight="1">
      <c r="A311" s="15" t="inlineStr">
        <is>
          <t>SOURCE-310</t>
        </is>
      </c>
      <c r="B311" s="5" t="n"/>
      <c r="C311" s="5" t="n"/>
      <c r="D311" s="5" t="inlineStr">
        <is>
          <t>Reema Rakesh Nath</t>
        </is>
      </c>
      <c r="E311" s="5" t="inlineStr">
        <is>
          <t>Wikipedia</t>
        </is>
      </c>
      <c r="F311" s="5" t="n"/>
      <c r="G311" s="5" t="n"/>
      <c r="H311" s="22" t="inlineStr">
        <is>
          <t>https://en.wikipedia.org/wiki/Reema_Rakesh_Nath</t>
        </is>
      </c>
      <c r="I311" s="16" t="n">
        <v>46303</v>
      </c>
      <c r="J311" s="5" t="inlineStr">
        <is>
          <t>Career background, major works and awards of Reema Rakesh Nath.</t>
        </is>
      </c>
      <c r="K311" s="5" t="inlineStr">
        <is>
          <t>Reference encyclopedia</t>
        </is>
      </c>
      <c r="L311" s="5" t="inlineStr">
        <is>
          <t>C</t>
        </is>
      </c>
      <c r="M311" s="5" t="inlineStr">
        <is>
          <t>Collaborator article; downloaded as raw wikitext.</t>
        </is>
      </c>
    </row>
    <row r="312" ht="34" customHeight="1">
      <c r="A312" s="15" t="inlineStr">
        <is>
          <t>SOURCE-311</t>
        </is>
      </c>
      <c r="B312" s="5" t="n"/>
      <c r="C312" s="5" t="n"/>
      <c r="D312" s="5" t="inlineStr">
        <is>
          <t>Ronnie Screwvala</t>
        </is>
      </c>
      <c r="E312" s="5" t="inlineStr">
        <is>
          <t>Wikipedia</t>
        </is>
      </c>
      <c r="F312" s="5" t="n"/>
      <c r="G312" s="5" t="n"/>
      <c r="H312" s="22" t="inlineStr">
        <is>
          <t>https://en.wikipedia.org/wiki/Ronnie_Screwvala</t>
        </is>
      </c>
      <c r="I312" s="16" t="n">
        <v>46303</v>
      </c>
      <c r="J312" s="5" t="inlineStr">
        <is>
          <t>Career background, major works and awards of Ronnie Screwvala.</t>
        </is>
      </c>
      <c r="K312" s="5" t="inlineStr">
        <is>
          <t>Reference encyclopedia</t>
        </is>
      </c>
      <c r="L312" s="5" t="inlineStr">
        <is>
          <t>C</t>
        </is>
      </c>
      <c r="M312" s="5" t="inlineStr">
        <is>
          <t>Collaborator article; downloaded as raw wikitext.</t>
        </is>
      </c>
    </row>
    <row r="313" ht="34" customHeight="1">
      <c r="A313" s="15" t="inlineStr">
        <is>
          <t>SOURCE-312</t>
        </is>
      </c>
      <c r="B313" s="5" t="n"/>
      <c r="C313" s="5" t="n"/>
      <c r="D313" s="5" t="inlineStr">
        <is>
          <t>Sagar Sarhadi</t>
        </is>
      </c>
      <c r="E313" s="5" t="inlineStr">
        <is>
          <t>Wikipedia</t>
        </is>
      </c>
      <c r="F313" s="5" t="n"/>
      <c r="G313" s="5" t="n"/>
      <c r="H313" s="22" t="inlineStr">
        <is>
          <t>https://en.wikipedia.org/wiki/Sagar_Sarhadi</t>
        </is>
      </c>
      <c r="I313" s="16" t="n">
        <v>46303</v>
      </c>
      <c r="J313" s="5" t="inlineStr">
        <is>
          <t>Career background, major works and awards of Sagar Sarhadi.</t>
        </is>
      </c>
      <c r="K313" s="5" t="inlineStr">
        <is>
          <t>Reference encyclopedia</t>
        </is>
      </c>
      <c r="L313" s="5" t="inlineStr">
        <is>
          <t>C</t>
        </is>
      </c>
      <c r="M313" s="5" t="inlineStr">
        <is>
          <t>Collaborator article; downloaded as raw wikitext.</t>
        </is>
      </c>
    </row>
    <row r="314" ht="34" customHeight="1">
      <c r="A314" s="15" t="inlineStr">
        <is>
          <t>SOURCE-313</t>
        </is>
      </c>
      <c r="B314" s="5" t="n"/>
      <c r="C314" s="5" t="n"/>
      <c r="D314" s="5" t="inlineStr">
        <is>
          <t>Saket Chaudhary</t>
        </is>
      </c>
      <c r="E314" s="5" t="inlineStr">
        <is>
          <t>Wikipedia</t>
        </is>
      </c>
      <c r="F314" s="5" t="n"/>
      <c r="G314" s="5" t="n"/>
      <c r="H314" s="22" t="inlineStr">
        <is>
          <t>https://en.wikipedia.org/wiki/Saket_Chaudhary</t>
        </is>
      </c>
      <c r="I314" s="16" t="n">
        <v>46303</v>
      </c>
      <c r="J314" s="5" t="inlineStr">
        <is>
          <t>Career background, major works and awards of Saket Chaudhary.</t>
        </is>
      </c>
      <c r="K314" s="5" t="inlineStr">
        <is>
          <t>Reference encyclopedia</t>
        </is>
      </c>
      <c r="L314" s="5" t="inlineStr">
        <is>
          <t>C</t>
        </is>
      </c>
      <c r="M314" s="5" t="inlineStr">
        <is>
          <t>Collaborator article; downloaded as raw wikitext.</t>
        </is>
      </c>
    </row>
    <row r="315" ht="34" customHeight="1">
      <c r="A315" s="15" t="inlineStr">
        <is>
          <t>SOURCE-314</t>
        </is>
      </c>
      <c r="B315" s="5" t="n"/>
      <c r="C315" s="5" t="n"/>
      <c r="D315" s="5" t="inlineStr">
        <is>
          <t>Salim Khan</t>
        </is>
      </c>
      <c r="E315" s="5" t="inlineStr">
        <is>
          <t>Wikipedia</t>
        </is>
      </c>
      <c r="F315" s="5" t="n"/>
      <c r="G315" s="5" t="n"/>
      <c r="H315" s="22" t="inlineStr">
        <is>
          <t>https://en.wikipedia.org/wiki/Salim_Khan</t>
        </is>
      </c>
      <c r="I315" s="16" t="n">
        <v>46303</v>
      </c>
      <c r="J315" s="5" t="inlineStr">
        <is>
          <t>Career background, major works and awards of Salim Khan.</t>
        </is>
      </c>
      <c r="K315" s="5" t="inlineStr">
        <is>
          <t>Reference encyclopedia</t>
        </is>
      </c>
      <c r="L315" s="5" t="inlineStr">
        <is>
          <t>C</t>
        </is>
      </c>
      <c r="M315" s="5" t="inlineStr">
        <is>
          <t>Collaborator article; downloaded as raw wikitext.</t>
        </is>
      </c>
    </row>
    <row r="316" ht="34" customHeight="1">
      <c r="A316" s="15" t="inlineStr">
        <is>
          <t>SOURCE-315</t>
        </is>
      </c>
      <c r="B316" s="5" t="n"/>
      <c r="C316" s="5" t="n"/>
      <c r="D316" s="5" t="inlineStr">
        <is>
          <t>Salman Khan</t>
        </is>
      </c>
      <c r="E316" s="5" t="inlineStr">
        <is>
          <t>Wikipedia</t>
        </is>
      </c>
      <c r="F316" s="5" t="n"/>
      <c r="G316" s="5" t="n"/>
      <c r="H316" s="22" t="inlineStr">
        <is>
          <t>https://en.wikipedia.org/wiki/Salman_Khan</t>
        </is>
      </c>
      <c r="I316" s="16" t="n">
        <v>46303</v>
      </c>
      <c r="J316" s="5" t="inlineStr">
        <is>
          <t>Career background, major works and awards of Salman Khan.</t>
        </is>
      </c>
      <c r="K316" s="5" t="inlineStr">
        <is>
          <t>Reference encyclopedia</t>
        </is>
      </c>
      <c r="L316" s="5" t="inlineStr">
        <is>
          <t>C</t>
        </is>
      </c>
      <c r="M316" s="5" t="inlineStr">
        <is>
          <t>Collaborator article; downloaded as raw wikitext.</t>
        </is>
      </c>
    </row>
    <row r="317" ht="34" customHeight="1">
      <c r="A317" s="15" t="inlineStr">
        <is>
          <t>SOURCE-316</t>
        </is>
      </c>
      <c r="B317" s="5" t="n"/>
      <c r="C317" s="5" t="n"/>
      <c r="D317" s="5" t="inlineStr">
        <is>
          <t>Sam C. S.</t>
        </is>
      </c>
      <c r="E317" s="5" t="inlineStr">
        <is>
          <t>Wikipedia</t>
        </is>
      </c>
      <c r="F317" s="5" t="n"/>
      <c r="G317" s="5" t="n"/>
      <c r="H317" s="22" t="inlineStr">
        <is>
          <t>https://en.wikipedia.org/wiki/Sam_C._S.</t>
        </is>
      </c>
      <c r="I317" s="16" t="n">
        <v>46303</v>
      </c>
      <c r="J317" s="5" t="inlineStr">
        <is>
          <t>Career background, major works and awards of Sam C. S..</t>
        </is>
      </c>
      <c r="K317" s="5" t="inlineStr">
        <is>
          <t>Reference encyclopedia</t>
        </is>
      </c>
      <c r="L317" s="5" t="inlineStr">
        <is>
          <t>C</t>
        </is>
      </c>
      <c r="M317" s="5" t="inlineStr">
        <is>
          <t>Collaborator article; downloaded as raw wikitext.</t>
        </is>
      </c>
    </row>
    <row r="318" ht="34" customHeight="1">
      <c r="A318" s="15" t="inlineStr">
        <is>
          <t>SOURCE-317</t>
        </is>
      </c>
      <c r="B318" s="5" t="n"/>
      <c r="C318" s="5" t="n"/>
      <c r="D318" s="5" t="inlineStr">
        <is>
          <t>Sandesh Shandilya</t>
        </is>
      </c>
      <c r="E318" s="5" t="inlineStr">
        <is>
          <t>Wikipedia</t>
        </is>
      </c>
      <c r="F318" s="5" t="n"/>
      <c r="G318" s="5" t="n"/>
      <c r="H318" s="22" t="inlineStr">
        <is>
          <t>https://en.wikipedia.org/wiki/Sandesh_Shandilya</t>
        </is>
      </c>
      <c r="I318" s="16" t="n">
        <v>46303</v>
      </c>
      <c r="J318" s="5" t="inlineStr">
        <is>
          <t>Career background, major works and awards of Sandesh Shandilya.</t>
        </is>
      </c>
      <c r="K318" s="5" t="inlineStr">
        <is>
          <t>Reference encyclopedia</t>
        </is>
      </c>
      <c r="L318" s="5" t="inlineStr">
        <is>
          <t>C</t>
        </is>
      </c>
      <c r="M318" s="5" t="inlineStr">
        <is>
          <t>Collaborator article; downloaded as raw wikitext.</t>
        </is>
      </c>
    </row>
    <row r="319" ht="34" customHeight="1">
      <c r="A319" s="15" t="inlineStr">
        <is>
          <t>SOURCE-318</t>
        </is>
      </c>
      <c r="B319" s="5" t="n"/>
      <c r="C319" s="5" t="n"/>
      <c r="D319" s="5" t="inlineStr">
        <is>
          <t>Shaad Ali</t>
        </is>
      </c>
      <c r="E319" s="5" t="inlineStr">
        <is>
          <t>Wikipedia</t>
        </is>
      </c>
      <c r="F319" s="5" t="n"/>
      <c r="G319" s="5" t="n"/>
      <c r="H319" s="22" t="inlineStr">
        <is>
          <t>https://en.wikipedia.org/wiki/Shaad_Ali</t>
        </is>
      </c>
      <c r="I319" s="16" t="n">
        <v>46303</v>
      </c>
      <c r="J319" s="5" t="inlineStr">
        <is>
          <t>Career background, major works and awards of Shaad Ali.</t>
        </is>
      </c>
      <c r="K319" s="5" t="inlineStr">
        <is>
          <t>Reference encyclopedia</t>
        </is>
      </c>
      <c r="L319" s="5" t="inlineStr">
        <is>
          <t>C</t>
        </is>
      </c>
      <c r="M319" s="5" t="inlineStr">
        <is>
          <t>Collaborator article; downloaded as raw wikitext.</t>
        </is>
      </c>
    </row>
    <row r="320" ht="34" customHeight="1">
      <c r="A320" s="15" t="inlineStr">
        <is>
          <t>SOURCE-319</t>
        </is>
      </c>
      <c r="B320" s="5" t="n"/>
      <c r="C320" s="5" t="n"/>
      <c r="D320" s="5" t="inlineStr">
        <is>
          <t>Shashilal K. Nair</t>
        </is>
      </c>
      <c r="E320" s="5" t="inlineStr">
        <is>
          <t>Wikipedia</t>
        </is>
      </c>
      <c r="F320" s="5" t="n"/>
      <c r="G320" s="5" t="n"/>
      <c r="H320" s="22" t="inlineStr">
        <is>
          <t>https://en.wikipedia.org/wiki/Shashilal_K._Nair</t>
        </is>
      </c>
      <c r="I320" s="16" t="n">
        <v>46303</v>
      </c>
      <c r="J320" s="5" t="inlineStr">
        <is>
          <t>Career background, major works and awards of Shashilal K. Nair.</t>
        </is>
      </c>
      <c r="K320" s="5" t="inlineStr">
        <is>
          <t>Reference encyclopedia</t>
        </is>
      </c>
      <c r="L320" s="5" t="inlineStr">
        <is>
          <t>C</t>
        </is>
      </c>
      <c r="M320" s="5" t="inlineStr">
        <is>
          <t>Collaborator article; downloaded as raw wikitext.</t>
        </is>
      </c>
    </row>
    <row r="321" ht="34" customHeight="1">
      <c r="A321" s="15" t="inlineStr">
        <is>
          <t>SOURCE-320</t>
        </is>
      </c>
      <c r="B321" s="5" t="n"/>
      <c r="C321" s="5" t="n"/>
      <c r="D321" s="5" t="inlineStr">
        <is>
          <t>Shaukat Baig</t>
        </is>
      </c>
      <c r="E321" s="5" t="inlineStr">
        <is>
          <t>Wikipedia</t>
        </is>
      </c>
      <c r="F321" s="5" t="n"/>
      <c r="G321" s="5" t="n"/>
      <c r="H321" s="22" t="inlineStr">
        <is>
          <t>https://en.wikipedia.org/wiki/Shaukat_Baig</t>
        </is>
      </c>
      <c r="I321" s="16" t="n">
        <v>46303</v>
      </c>
      <c r="J321" s="5" t="inlineStr">
        <is>
          <t>Career background, major works and awards of Shaukat Baig.</t>
        </is>
      </c>
      <c r="K321" s="5" t="inlineStr">
        <is>
          <t>Reference encyclopedia</t>
        </is>
      </c>
      <c r="L321" s="5" t="inlineStr">
        <is>
          <t>C</t>
        </is>
      </c>
      <c r="M321" s="5" t="inlineStr">
        <is>
          <t>Collaborator article; downloaded as raw wikitext.</t>
        </is>
      </c>
    </row>
    <row r="322" ht="34" customHeight="1">
      <c r="A322" s="15" t="inlineStr">
        <is>
          <t>SOURCE-321</t>
        </is>
      </c>
      <c r="B322" s="5" t="n"/>
      <c r="C322" s="5" t="n"/>
      <c r="D322" s="5" t="inlineStr">
        <is>
          <t>Shekhar Kapur</t>
        </is>
      </c>
      <c r="E322" s="5" t="inlineStr">
        <is>
          <t>Wikipedia</t>
        </is>
      </c>
      <c r="F322" s="5" t="n"/>
      <c r="G322" s="5" t="n"/>
      <c r="H322" s="22" t="inlineStr">
        <is>
          <t>https://en.wikipedia.org/wiki/Shekhar_Kapur</t>
        </is>
      </c>
      <c r="I322" s="16" t="n">
        <v>46303</v>
      </c>
      <c r="J322" s="5" t="inlineStr">
        <is>
          <t>Career background, major works and awards of Shekhar Kapur.</t>
        </is>
      </c>
      <c r="K322" s="5" t="inlineStr">
        <is>
          <t>Reference encyclopedia</t>
        </is>
      </c>
      <c r="L322" s="5" t="inlineStr">
        <is>
          <t>C</t>
        </is>
      </c>
      <c r="M322" s="5" t="inlineStr">
        <is>
          <t>Collaborator article; downloaded as raw wikitext.</t>
        </is>
      </c>
    </row>
    <row r="323" ht="34" customHeight="1">
      <c r="A323" s="15" t="inlineStr">
        <is>
          <t>SOURCE-322</t>
        </is>
      </c>
      <c r="B323" s="5" t="n"/>
      <c r="C323" s="5" t="n"/>
      <c r="D323" s="5" t="inlineStr">
        <is>
          <t>Shemaroo Entertainment</t>
        </is>
      </c>
      <c r="E323" s="5" t="inlineStr">
        <is>
          <t>Wikipedia</t>
        </is>
      </c>
      <c r="F323" s="5" t="n"/>
      <c r="G323" s="5" t="n"/>
      <c r="H323" s="22" t="inlineStr">
        <is>
          <t>https://en.wikipedia.org/wiki/Shemaroo_Entertainment</t>
        </is>
      </c>
      <c r="I323" s="16" t="n">
        <v>46303</v>
      </c>
      <c r="J323" s="5" t="inlineStr">
        <is>
          <t>Career background, major works and awards of Shemaroo Entertainment.</t>
        </is>
      </c>
      <c r="K323" s="5" t="inlineStr">
        <is>
          <t>Reference encyclopedia</t>
        </is>
      </c>
      <c r="L323" s="5" t="inlineStr">
        <is>
          <t>C</t>
        </is>
      </c>
      <c r="M323" s="5" t="inlineStr">
        <is>
          <t>Collaborator article; downloaded as raw wikitext.</t>
        </is>
      </c>
    </row>
    <row r="324" ht="34" customHeight="1">
      <c r="A324" s="15" t="inlineStr">
        <is>
          <t>SOURCE-323</t>
        </is>
      </c>
      <c r="B324" s="5" t="n"/>
      <c r="C324" s="5" t="n"/>
      <c r="D324" s="5" t="inlineStr">
        <is>
          <t>Shiv–Hari</t>
        </is>
      </c>
      <c r="E324" s="5" t="inlineStr">
        <is>
          <t>Wikipedia</t>
        </is>
      </c>
      <c r="F324" s="5" t="n"/>
      <c r="G324" s="5" t="n"/>
      <c r="H324" s="22" t="inlineStr">
        <is>
          <t>https://en.wikipedia.org/wiki/Shiv%E2%80%93Hari</t>
        </is>
      </c>
      <c r="I324" s="16" t="n">
        <v>46303</v>
      </c>
      <c r="J324" s="5" t="inlineStr">
        <is>
          <t>Career background, major works and awards of Shiv–Hari.</t>
        </is>
      </c>
      <c r="K324" s="5" t="inlineStr">
        <is>
          <t>Reference encyclopedia</t>
        </is>
      </c>
      <c r="L324" s="5" t="inlineStr">
        <is>
          <t>C</t>
        </is>
      </c>
      <c r="M324" s="5" t="inlineStr">
        <is>
          <t>Collaborator article; downloaded as raw wikitext.</t>
        </is>
      </c>
    </row>
    <row r="325" ht="34" customHeight="1">
      <c r="A325" s="15" t="inlineStr">
        <is>
          <t>SOURCE-324</t>
        </is>
      </c>
      <c r="B325" s="5" t="n"/>
      <c r="C325" s="5" t="n"/>
      <c r="D325" s="5" t="inlineStr">
        <is>
          <t>Shyam Goel</t>
        </is>
      </c>
      <c r="E325" s="5" t="inlineStr">
        <is>
          <t>Wikipedia</t>
        </is>
      </c>
      <c r="F325" s="5" t="n"/>
      <c r="G325" s="5" t="n"/>
      <c r="H325" s="22" t="inlineStr">
        <is>
          <t>https://en.wikipedia.org/wiki/Shyam_Goel</t>
        </is>
      </c>
      <c r="I325" s="16" t="n">
        <v>46303</v>
      </c>
      <c r="J325" s="5" t="inlineStr">
        <is>
          <t>Career background, major works and awards of Shyam Goel.</t>
        </is>
      </c>
      <c r="K325" s="5" t="inlineStr">
        <is>
          <t>Reference encyclopedia</t>
        </is>
      </c>
      <c r="L325" s="5" t="inlineStr">
        <is>
          <t>C</t>
        </is>
      </c>
      <c r="M325" s="5" t="inlineStr">
        <is>
          <t>Collaborator article; downloaded as raw wikitext.</t>
        </is>
      </c>
    </row>
    <row r="326" ht="34" customHeight="1">
      <c r="A326" s="15" t="inlineStr">
        <is>
          <t>SOURCE-325</t>
        </is>
      </c>
      <c r="B326" s="5" t="n"/>
      <c r="C326" s="5" t="n"/>
      <c r="D326" s="5" t="inlineStr">
        <is>
          <t>Siddharth Roy Kapur</t>
        </is>
      </c>
      <c r="E326" s="5" t="inlineStr">
        <is>
          <t>Wikipedia</t>
        </is>
      </c>
      <c r="F326" s="5" t="n"/>
      <c r="G326" s="5" t="n"/>
      <c r="H326" s="22" t="inlineStr">
        <is>
          <t>https://en.wikipedia.org/wiki/Siddharth_Roy_Kapur</t>
        </is>
      </c>
      <c r="I326" s="16" t="n">
        <v>46303</v>
      </c>
      <c r="J326" s="5" t="inlineStr">
        <is>
          <t>Career background, major works and awards of Siddharth Roy Kapur.</t>
        </is>
      </c>
      <c r="K326" s="5" t="inlineStr">
        <is>
          <t>Reference encyclopedia</t>
        </is>
      </c>
      <c r="L326" s="5" t="inlineStr">
        <is>
          <t>C</t>
        </is>
      </c>
      <c r="M326" s="5" t="inlineStr">
        <is>
          <t>Collaborator article; downloaded as raw wikitext.</t>
        </is>
      </c>
    </row>
    <row r="327" ht="34" customHeight="1">
      <c r="A327" s="15" t="inlineStr">
        <is>
          <t>SOURCE-326</t>
        </is>
      </c>
      <c r="B327" s="5" t="n"/>
      <c r="C327" s="5" t="n"/>
      <c r="D327" s="5" t="inlineStr">
        <is>
          <t>Sitanshu Yashaschandra</t>
        </is>
      </c>
      <c r="E327" s="5" t="inlineStr">
        <is>
          <t>Wikipedia</t>
        </is>
      </c>
      <c r="F327" s="5" t="n"/>
      <c r="G327" s="5" t="n"/>
      <c r="H327" s="22" t="inlineStr">
        <is>
          <t>https://en.wikipedia.org/wiki/Sitanshu_Yashaschandra</t>
        </is>
      </c>
      <c r="I327" s="16" t="n">
        <v>46303</v>
      </c>
      <c r="J327" s="5" t="inlineStr">
        <is>
          <t>Career background, major works and awards of Sitanshu Yashaschandra.</t>
        </is>
      </c>
      <c r="K327" s="5" t="inlineStr">
        <is>
          <t>Reference encyclopedia</t>
        </is>
      </c>
      <c r="L327" s="5" t="inlineStr">
        <is>
          <t>C</t>
        </is>
      </c>
      <c r="M327" s="5" t="inlineStr">
        <is>
          <t>Collaborator article; downloaded as raw wikitext.</t>
        </is>
      </c>
    </row>
    <row r="328" ht="34" customHeight="1">
      <c r="A328" s="15" t="inlineStr">
        <is>
          <t>SOURCE-327</t>
        </is>
      </c>
      <c r="B328" s="5" t="n"/>
      <c r="C328" s="5" t="n"/>
      <c r="D328" s="5" t="inlineStr">
        <is>
          <t>Soham Shah</t>
        </is>
      </c>
      <c r="E328" s="5" t="inlineStr">
        <is>
          <t>Wikipedia</t>
        </is>
      </c>
      <c r="F328" s="5" t="n"/>
      <c r="G328" s="5" t="n"/>
      <c r="H328" s="22" t="inlineStr">
        <is>
          <t>https://en.wikipedia.org/wiki/Soham_Shah</t>
        </is>
      </c>
      <c r="I328" s="16" t="n">
        <v>46303</v>
      </c>
      <c r="J328" s="5" t="inlineStr">
        <is>
          <t>Career background, major works and awards of Soham Shah.</t>
        </is>
      </c>
      <c r="K328" s="5" t="inlineStr">
        <is>
          <t>Reference encyclopedia</t>
        </is>
      </c>
      <c r="L328" s="5" t="inlineStr">
        <is>
          <t>C</t>
        </is>
      </c>
      <c r="M328" s="5" t="inlineStr">
        <is>
          <t>Collaborator article; downloaded as raw wikitext.</t>
        </is>
      </c>
    </row>
    <row r="329" ht="34" customHeight="1">
      <c r="A329" s="15" t="inlineStr">
        <is>
          <t>SOURCE-328</t>
        </is>
      </c>
      <c r="B329" s="5" t="n"/>
      <c r="C329" s="5" t="n"/>
      <c r="D329" s="5" t="inlineStr">
        <is>
          <t>Sreenivasan</t>
        </is>
      </c>
      <c r="E329" s="5" t="inlineStr">
        <is>
          <t>Wikipedia</t>
        </is>
      </c>
      <c r="F329" s="5" t="n"/>
      <c r="G329" s="5" t="n"/>
      <c r="H329" s="22" t="inlineStr">
        <is>
          <t>https://en.wikipedia.org/wiki/Sreenivasan</t>
        </is>
      </c>
      <c r="I329" s="16" t="n">
        <v>46303</v>
      </c>
      <c r="J329" s="5" t="inlineStr">
        <is>
          <t>Career background, major works and awards of Sreenivasan.</t>
        </is>
      </c>
      <c r="K329" s="5" t="inlineStr">
        <is>
          <t>Reference encyclopedia</t>
        </is>
      </c>
      <c r="L329" s="5" t="inlineStr">
        <is>
          <t>C</t>
        </is>
      </c>
      <c r="M329" s="5" t="inlineStr">
        <is>
          <t>Collaborator article; downloaded as raw wikitext.</t>
        </is>
      </c>
    </row>
    <row r="330" ht="34" customHeight="1">
      <c r="A330" s="15" t="inlineStr">
        <is>
          <t>SOURCE-329</t>
        </is>
      </c>
      <c r="B330" s="5" t="n"/>
      <c r="C330" s="5" t="n"/>
      <c r="D330" s="5" t="inlineStr">
        <is>
          <t>Sridevi</t>
        </is>
      </c>
      <c r="E330" s="5" t="inlineStr">
        <is>
          <t>Wikipedia</t>
        </is>
      </c>
      <c r="F330" s="5" t="n"/>
      <c r="G330" s="5" t="n"/>
      <c r="H330" s="22" t="inlineStr">
        <is>
          <t>https://en.wikipedia.org/wiki/Sridevi</t>
        </is>
      </c>
      <c r="I330" s="16" t="n">
        <v>46303</v>
      </c>
      <c r="J330" s="5" t="inlineStr">
        <is>
          <t>Career background of Sridevi Kapoor, drawn from the article on Sridevi.</t>
        </is>
      </c>
      <c r="K330" s="5" t="inlineStr">
        <is>
          <t>Reference encyclopedia</t>
        </is>
      </c>
      <c r="L330" s="5" t="inlineStr">
        <is>
          <t>C</t>
        </is>
      </c>
      <c r="M330" s="5" t="inlineStr">
        <is>
          <t>Collaborator article; downloaded as raw wikitext.</t>
        </is>
      </c>
    </row>
    <row r="331" ht="34" customHeight="1">
      <c r="A331" s="15" t="inlineStr">
        <is>
          <t>SOURCE-330</t>
        </is>
      </c>
      <c r="B331" s="5" t="n"/>
      <c r="C331" s="5" t="n"/>
      <c r="D331" s="5" t="inlineStr">
        <is>
          <t>Suraj Sanim</t>
        </is>
      </c>
      <c r="E331" s="5" t="inlineStr">
        <is>
          <t>Wikipedia</t>
        </is>
      </c>
      <c r="F331" s="5" t="n"/>
      <c r="G331" s="5" t="n"/>
      <c r="H331" s="22" t="inlineStr">
        <is>
          <t>https://en.wikipedia.org/wiki/Suraj_Sanim</t>
        </is>
      </c>
      <c r="I331" s="16" t="n">
        <v>46303</v>
      </c>
      <c r="J331" s="5" t="inlineStr">
        <is>
          <t>Career background, major works and awards of Suraj Sanim.</t>
        </is>
      </c>
      <c r="K331" s="5" t="inlineStr">
        <is>
          <t>Reference encyclopedia</t>
        </is>
      </c>
      <c r="L331" s="5" t="inlineStr">
        <is>
          <t>C</t>
        </is>
      </c>
      <c r="M331" s="5" t="inlineStr">
        <is>
          <t>Collaborator article; downloaded as raw wikitext.</t>
        </is>
      </c>
    </row>
    <row r="332" ht="34" customHeight="1">
      <c r="A332" s="15" t="inlineStr">
        <is>
          <t>SOURCE-331</t>
        </is>
      </c>
      <c r="B332" s="5" t="n"/>
      <c r="C332" s="5" t="n"/>
      <c r="D332" s="5" t="inlineStr">
        <is>
          <t>T-Series (company)</t>
        </is>
      </c>
      <c r="E332" s="5" t="inlineStr">
        <is>
          <t>Wikipedia</t>
        </is>
      </c>
      <c r="F332" s="5" t="n"/>
      <c r="G332" s="5" t="n"/>
      <c r="H332" s="22" t="inlineStr">
        <is>
          <t>https://en.wikipedia.org/wiki/T-Series_(company)</t>
        </is>
      </c>
      <c r="I332" s="16" t="n">
        <v>46303</v>
      </c>
      <c r="J332" s="5" t="inlineStr">
        <is>
          <t>Career background of T-Series Films, drawn from the article on T-Series (company).</t>
        </is>
      </c>
      <c r="K332" s="5" t="inlineStr">
        <is>
          <t>Reference encyclopedia</t>
        </is>
      </c>
      <c r="L332" s="5" t="inlineStr">
        <is>
          <t>C</t>
        </is>
      </c>
      <c r="M332" s="5" t="inlineStr">
        <is>
          <t>Collaborator article; downloaded as raw wikitext.</t>
        </is>
      </c>
    </row>
    <row r="333" ht="34" customHeight="1">
      <c r="A333" s="15" t="inlineStr">
        <is>
          <t>SOURCE-332</t>
        </is>
      </c>
      <c r="B333" s="5" t="n"/>
      <c r="C333" s="5" t="n"/>
      <c r="D333" s="5" t="inlineStr">
        <is>
          <t>Tanuja Chandra</t>
        </is>
      </c>
      <c r="E333" s="5" t="inlineStr">
        <is>
          <t>Wikipedia</t>
        </is>
      </c>
      <c r="F333" s="5" t="n"/>
      <c r="G333" s="5" t="n"/>
      <c r="H333" s="22" t="inlineStr">
        <is>
          <t>https://en.wikipedia.org/wiki/Tanuja_Chandra</t>
        </is>
      </c>
      <c r="I333" s="16" t="n">
        <v>46303</v>
      </c>
      <c r="J333" s="5" t="inlineStr">
        <is>
          <t>Career background, major works and awards of Tanuja Chandra.</t>
        </is>
      </c>
      <c r="K333" s="5" t="inlineStr">
        <is>
          <t>Reference encyclopedia</t>
        </is>
      </c>
      <c r="L333" s="5" t="inlineStr">
        <is>
          <t>C</t>
        </is>
      </c>
      <c r="M333" s="5" t="inlineStr">
        <is>
          <t>Collaborator article; downloaded as raw wikitext.</t>
        </is>
      </c>
    </row>
    <row r="334" ht="34" customHeight="1">
      <c r="A334" s="15" t="inlineStr">
        <is>
          <t>SOURCE-333</t>
        </is>
      </c>
      <c r="B334" s="5" t="n"/>
      <c r="C334" s="5" t="n"/>
      <c r="D334" s="5" t="inlineStr">
        <is>
          <t>Vashu Bhagnani</t>
        </is>
      </c>
      <c r="E334" s="5" t="inlineStr">
        <is>
          <t>Wikipedia</t>
        </is>
      </c>
      <c r="F334" s="5" t="n"/>
      <c r="G334" s="5" t="n"/>
      <c r="H334" s="22" t="inlineStr">
        <is>
          <t>https://en.wikipedia.org/wiki/Vashu_Bhagnani</t>
        </is>
      </c>
      <c r="I334" s="16" t="n">
        <v>46303</v>
      </c>
      <c r="J334" s="5" t="inlineStr">
        <is>
          <t>Career background, major works and awards of Vashu Bhagnani.</t>
        </is>
      </c>
      <c r="K334" s="5" t="inlineStr">
        <is>
          <t>Reference encyclopedia</t>
        </is>
      </c>
      <c r="L334" s="5" t="inlineStr">
        <is>
          <t>C</t>
        </is>
      </c>
      <c r="M334" s="5" t="inlineStr">
        <is>
          <t>Collaborator article; downloaded as raw wikitext.</t>
        </is>
      </c>
    </row>
    <row r="335" ht="34" customHeight="1">
      <c r="A335" s="15" t="inlineStr">
        <is>
          <t>SOURCE-334</t>
        </is>
      </c>
      <c r="B335" s="5" t="n"/>
      <c r="C335" s="5" t="n"/>
      <c r="D335" s="5" t="inlineStr">
        <is>
          <t>Viacom18 Studios</t>
        </is>
      </c>
      <c r="E335" s="5" t="inlineStr">
        <is>
          <t>Wikipedia</t>
        </is>
      </c>
      <c r="F335" s="5" t="n"/>
      <c r="G335" s="5" t="n"/>
      <c r="H335" s="22" t="inlineStr">
        <is>
          <t>https://en.wikipedia.org/wiki/Viacom18_Studios</t>
        </is>
      </c>
      <c r="I335" s="16" t="n">
        <v>46303</v>
      </c>
      <c r="J335" s="5" t="inlineStr">
        <is>
          <t>Career background, major works and awards of Viacom18 Studios.</t>
        </is>
      </c>
      <c r="K335" s="5" t="inlineStr">
        <is>
          <t>Reference encyclopedia</t>
        </is>
      </c>
      <c r="L335" s="5" t="inlineStr">
        <is>
          <t>C</t>
        </is>
      </c>
      <c r="M335" s="5" t="inlineStr">
        <is>
          <t>Collaborator article; downloaded as raw wikitext.</t>
        </is>
      </c>
    </row>
    <row r="336" ht="34" customHeight="1">
      <c r="A336" s="15" t="inlineStr">
        <is>
          <t>SOURCE-335</t>
        </is>
      </c>
      <c r="B336" s="5" t="n"/>
      <c r="C336" s="5" t="n"/>
      <c r="D336" s="5" t="inlineStr">
        <is>
          <t>Vijay Moolan</t>
        </is>
      </c>
      <c r="E336" s="5" t="inlineStr">
        <is>
          <t>Wikipedia</t>
        </is>
      </c>
      <c r="F336" s="5" t="n"/>
      <c r="G336" s="5" t="n"/>
      <c r="H336" s="22" t="inlineStr">
        <is>
          <t>https://en.wikipedia.org/wiki/Vijay_Moolan</t>
        </is>
      </c>
      <c r="I336" s="16" t="n">
        <v>46303</v>
      </c>
      <c r="J336" s="5" t="inlineStr">
        <is>
          <t>Career background, major works and awards of Vijay Moolan.</t>
        </is>
      </c>
      <c r="K336" s="5" t="inlineStr">
        <is>
          <t>Reference encyclopedia</t>
        </is>
      </c>
      <c r="L336" s="5" t="inlineStr">
        <is>
          <t>C</t>
        </is>
      </c>
      <c r="M336" s="5" t="inlineStr">
        <is>
          <t>Collaborator article; downloaded as raw wikitext.</t>
        </is>
      </c>
    </row>
    <row r="337" ht="34" customHeight="1">
      <c r="A337" s="15" t="inlineStr">
        <is>
          <t>SOURCE-336</t>
        </is>
      </c>
      <c r="B337" s="5" t="n"/>
      <c r="C337" s="5" t="n"/>
      <c r="D337" s="5" t="inlineStr">
        <is>
          <t>Vijaydan Detha</t>
        </is>
      </c>
      <c r="E337" s="5" t="inlineStr">
        <is>
          <t>Wikipedia</t>
        </is>
      </c>
      <c r="F337" s="5" t="n"/>
      <c r="G337" s="5" t="n"/>
      <c r="H337" s="22" t="inlineStr">
        <is>
          <t>https://en.wikipedia.org/wiki/Vijaydan_Detha</t>
        </is>
      </c>
      <c r="I337" s="16" t="n">
        <v>46303</v>
      </c>
      <c r="J337" s="5" t="inlineStr">
        <is>
          <t>Career background of Vijayadan Detha, drawn from the article on Vijaydan Detha.</t>
        </is>
      </c>
      <c r="K337" s="5" t="inlineStr">
        <is>
          <t>Reference encyclopedia</t>
        </is>
      </c>
      <c r="L337" s="5" t="inlineStr">
        <is>
          <t>C</t>
        </is>
      </c>
      <c r="M337" s="5" t="inlineStr">
        <is>
          <t>Collaborator article; downloaded as raw wikitext.</t>
        </is>
      </c>
    </row>
    <row r="338" ht="34" customHeight="1">
      <c r="A338" s="15" t="inlineStr">
        <is>
          <t>SOURCE-337</t>
        </is>
      </c>
      <c r="B338" s="5" t="n"/>
      <c r="C338" s="5" t="n"/>
      <c r="D338" s="5" t="inlineStr">
        <is>
          <t>Vinay Shukla</t>
        </is>
      </c>
      <c r="E338" s="5" t="inlineStr">
        <is>
          <t>Wikipedia</t>
        </is>
      </c>
      <c r="F338" s="5" t="n"/>
      <c r="G338" s="5" t="n"/>
      <c r="H338" s="22" t="inlineStr">
        <is>
          <t>https://en.wikipedia.org/wiki/Vinay_Shukla</t>
        </is>
      </c>
      <c r="I338" s="16" t="n">
        <v>46303</v>
      </c>
      <c r="J338" s="5" t="inlineStr">
        <is>
          <t>Career background, major works and awards of Vinay Shukla.</t>
        </is>
      </c>
      <c r="K338" s="5" t="inlineStr">
        <is>
          <t>Reference encyclopedia</t>
        </is>
      </c>
      <c r="L338" s="5" t="inlineStr">
        <is>
          <t>C</t>
        </is>
      </c>
      <c r="M338" s="5" t="inlineStr">
        <is>
          <t>Collaborator article; downloaded as raw wikitext.</t>
        </is>
      </c>
    </row>
    <row r="339" ht="34" customHeight="1">
      <c r="A339" s="15" t="inlineStr">
        <is>
          <t>SOURCE-338</t>
        </is>
      </c>
      <c r="B339" s="5" t="n"/>
      <c r="C339" s="5" t="n"/>
      <c r="D339" s="5" t="inlineStr">
        <is>
          <t>Vivek Agrawal</t>
        </is>
      </c>
      <c r="E339" s="5" t="inlineStr">
        <is>
          <t>Wikipedia</t>
        </is>
      </c>
      <c r="F339" s="5" t="n"/>
      <c r="G339" s="5" t="n"/>
      <c r="H339" s="22" t="inlineStr">
        <is>
          <t>https://en.wikipedia.org/wiki/Vivek_Agrawal</t>
        </is>
      </c>
      <c r="I339" s="16" t="n">
        <v>46303</v>
      </c>
      <c r="J339" s="5" t="inlineStr">
        <is>
          <t>Career background, major works and awards of Vivek Agrawal.</t>
        </is>
      </c>
      <c r="K339" s="5" t="inlineStr">
        <is>
          <t>Reference encyclopedia</t>
        </is>
      </c>
      <c r="L339" s="5" t="inlineStr">
        <is>
          <t>C</t>
        </is>
      </c>
      <c r="M339" s="5" t="inlineStr">
        <is>
          <t>Collaborator article; downloaded as raw wikitext.</t>
        </is>
      </c>
    </row>
    <row r="340" ht="34" customHeight="1">
      <c r="A340" s="15" t="inlineStr">
        <is>
          <t>SOURCE-339</t>
        </is>
      </c>
      <c r="B340" s="5" t="n"/>
      <c r="C340" s="5" t="n"/>
      <c r="D340" s="5" t="inlineStr">
        <is>
          <t>Vivek Sharma</t>
        </is>
      </c>
      <c r="E340" s="5" t="inlineStr">
        <is>
          <t>Wikipedia</t>
        </is>
      </c>
      <c r="F340" s="5" t="n"/>
      <c r="G340" s="5" t="n"/>
      <c r="H340" s="22" t="inlineStr">
        <is>
          <t>https://en.wikipedia.org/wiki/Vivek_Sharma</t>
        </is>
      </c>
      <c r="I340" s="16" t="n">
        <v>46303</v>
      </c>
      <c r="J340" s="5" t="inlineStr">
        <is>
          <t>Career background, major works and awards of Vivek Sharma.</t>
        </is>
      </c>
      <c r="K340" s="5" t="inlineStr">
        <is>
          <t>Reference encyclopedia</t>
        </is>
      </c>
      <c r="L340" s="5" t="inlineStr">
        <is>
          <t>C</t>
        </is>
      </c>
      <c r="M340" s="5" t="inlineStr">
        <is>
          <t>Collaborator article; downloaded as raw wikitext.</t>
        </is>
      </c>
    </row>
    <row r="341" ht="34" customHeight="1">
      <c r="A341" s="15" t="inlineStr">
        <is>
          <t>SOURCE-340</t>
        </is>
      </c>
      <c r="B341" s="5" t="n"/>
      <c r="C341" s="5" t="n"/>
      <c r="D341" s="5" t="inlineStr">
        <is>
          <t>Yo Yo Honey Singh</t>
        </is>
      </c>
      <c r="E341" s="5" t="inlineStr">
        <is>
          <t>Wikipedia</t>
        </is>
      </c>
      <c r="F341" s="5" t="n"/>
      <c r="G341" s="5" t="n"/>
      <c r="H341" s="22" t="inlineStr">
        <is>
          <t>https://en.wikipedia.org/wiki/Yo_Yo_Honey_Singh</t>
        </is>
      </c>
      <c r="I341" s="16" t="n">
        <v>46303</v>
      </c>
      <c r="J341" s="5" t="inlineStr">
        <is>
          <t>Career background, major works and awards of Yo Yo Honey Singh.</t>
        </is>
      </c>
      <c r="K341" s="5" t="inlineStr">
        <is>
          <t>Reference encyclopedia</t>
        </is>
      </c>
      <c r="L341" s="5" t="inlineStr">
        <is>
          <t>C</t>
        </is>
      </c>
      <c r="M341" s="5" t="inlineStr">
        <is>
          <t>Collaborator article; downloaded as raw wikitext.</t>
        </is>
      </c>
    </row>
    <row r="342" ht="34" customHeight="1">
      <c r="A342" s="15" t="inlineStr">
        <is>
          <t>SOURCE-341</t>
        </is>
      </c>
      <c r="B342" s="5" t="n"/>
      <c r="C342" s="5" t="n"/>
      <c r="D342" s="5" t="inlineStr">
        <is>
          <t>Zayed Khan</t>
        </is>
      </c>
      <c r="E342" s="5" t="inlineStr">
        <is>
          <t>Wikipedia</t>
        </is>
      </c>
      <c r="F342" s="5" t="n"/>
      <c r="G342" s="5" t="n"/>
      <c r="H342" s="22" t="inlineStr">
        <is>
          <t>https://en.wikipedia.org/wiki/Zayed_Khan</t>
        </is>
      </c>
      <c r="I342" s="16" t="n">
        <v>46303</v>
      </c>
      <c r="J342" s="5" t="inlineStr">
        <is>
          <t>Career background, major works and awards of Zayed Khan.</t>
        </is>
      </c>
      <c r="K342" s="5" t="inlineStr">
        <is>
          <t>Reference encyclopedia</t>
        </is>
      </c>
      <c r="L342" s="5" t="inlineStr">
        <is>
          <t>C</t>
        </is>
      </c>
      <c r="M342" s="5" t="inlineStr">
        <is>
          <t>Collaborator article; downloaded as raw wikitext.</t>
        </is>
      </c>
    </row>
    <row r="343" ht="34" customHeight="1">
      <c r="A343" s="15" t="inlineStr">
        <is>
          <t>SOURCE-342</t>
        </is>
      </c>
      <c r="B343" s="5" t="n"/>
      <c r="C343" s="5" t="n"/>
      <c r="D343" s="5" t="inlineStr">
        <is>
          <t>Sajid Khan (director)</t>
        </is>
      </c>
      <c r="E343" s="5" t="inlineStr">
        <is>
          <t>Wikipedia</t>
        </is>
      </c>
      <c r="F343" s="5" t="n"/>
      <c r="G343" s="5" t="n"/>
      <c r="H343" s="22" t="inlineStr">
        <is>
          <t>https://en.wikipedia.org/wiki/Sajid_Khan_(director)</t>
        </is>
      </c>
      <c r="I343" s="16" t="n">
        <v>46303</v>
      </c>
      <c r="J343" s="5" t="inlineStr">
        <is>
          <t>Career background of Sajid Khan, drawn from the article on Sajid Khan (director).</t>
        </is>
      </c>
      <c r="K343" s="5" t="inlineStr">
        <is>
          <t>Reference encyclopedia</t>
        </is>
      </c>
      <c r="L343" s="5" t="inlineStr">
        <is>
          <t>C</t>
        </is>
      </c>
      <c r="M343" s="5" t="inlineStr">
        <is>
          <t>Collaborator article; downloaded as raw wikitext.</t>
        </is>
      </c>
    </row>
    <row r="344" ht="49" customHeight="1">
      <c r="A344" s="15" t="inlineStr">
        <is>
          <t>SOURCE-343</t>
        </is>
      </c>
      <c r="B344" s="5" t="inlineStr">
        <is>
          <t>FILM-006</t>
        </is>
      </c>
      <c r="C344" s="5" t="n"/>
      <c r="D344" s="5" t="inlineStr">
        <is>
          <t>40th National Film Awards</t>
        </is>
      </c>
      <c r="E344" s="5" t="inlineStr">
        <is>
          <t>Wikipedia</t>
        </is>
      </c>
      <c r="F344" s="5" t="n"/>
      <c r="G344" s="5" t="n"/>
      <c r="H344" s="22" t="inlineStr">
        <is>
          <t>https://en.wikipedia.org/wiki/40th_National_Film_Awards</t>
        </is>
      </c>
      <c r="I344" s="16" t="n">
        <v>46304</v>
      </c>
      <c r="J344" s="5" t="inlineStr">
        <is>
          <t>Maya Memsaab's Special Jury Award to director Ketan Mehta; announced 23 April 1993 and presented 4 May 1993.</t>
        </is>
      </c>
      <c r="K344" s="5" t="inlineStr">
        <is>
          <t>Reference encyclopedia</t>
        </is>
      </c>
      <c r="L344" s="5" t="inlineStr">
        <is>
          <t>C</t>
        </is>
      </c>
      <c r="M344" s="5" t="inlineStr">
        <is>
          <t>Award ceremony article; downloaded as raw wikitext.</t>
        </is>
      </c>
    </row>
    <row r="345" ht="64" customHeight="1">
      <c r="A345" s="15" t="inlineStr">
        <is>
          <t>SOURCE-344</t>
        </is>
      </c>
      <c r="B345" s="5" t="inlineStr">
        <is>
          <t>FILM-051</t>
        </is>
      </c>
      <c r="C345" s="5" t="n"/>
      <c r="D345" s="5" t="inlineStr">
        <is>
          <t>52nd National Film Awards</t>
        </is>
      </c>
      <c r="E345" s="5" t="inlineStr">
        <is>
          <t>Wikipedia</t>
        </is>
      </c>
      <c r="F345" s="5" t="n"/>
      <c r="G345" s="5" t="n"/>
      <c r="H345" s="22" t="inlineStr">
        <is>
          <t>https://en.wikipedia.org/wiki/52nd_National_Film_Awards</t>
        </is>
      </c>
      <c r="I345" s="16" t="n">
        <v>46304</v>
      </c>
      <c r="J345" s="5" t="inlineStr">
        <is>
          <t>Swades's Best Cinematography (Mahesh Aney) and Best Male Playback Singer (Udit Narayan, "Yeh Taara Woh Taara") awards; presented 21 October 2005.</t>
        </is>
      </c>
      <c r="K345" s="5" t="inlineStr">
        <is>
          <t>Reference encyclopedia</t>
        </is>
      </c>
      <c r="L345" s="5" t="inlineStr">
        <is>
          <t>C</t>
        </is>
      </c>
      <c r="M345" s="5" t="inlineStr">
        <is>
          <t>Award ceremony article; downloaded as raw wikitext.</t>
        </is>
      </c>
    </row>
  </sheetData>
  <autoFilter ref="A1:M345"/>
  <dataValidations count="1">
    <dataValidation sqref="L2:L545" showDropDown="0" showInputMessage="0" showErrorMessage="1" allowBlank="1" errorTitle="Reliability Tier" error="Choose a value from the list." type="list">
      <formula1>"A,B,C,D"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2026-10-09T00:34:06Z</dcterms:created>
  <dcterms:modified xmlns:dcterms="http://purl.org/dc/terms/" xmlns:xsi="http://www.w3.org/2001/XMLSchema-instance" xsi:type="dcterms:W3CDTF">2026-10-09T00:34:08Z</dcterms:modified>
</cp:coreProperties>
</file>