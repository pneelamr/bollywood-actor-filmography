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ilms" sheetId="2" state="visible" r:id="rId2"/>
    <sheet xmlns:r="http://schemas.openxmlformats.org/officeDocument/2006/relationships" name="Romances" sheetId="3" state="visible" r:id="rId3"/>
    <sheet xmlns:r="http://schemas.openxmlformats.org/officeDocument/2006/relationships" name="Collaborators" sheetId="4" state="visible" r:id="rId4"/>
    <sheet xmlns:r="http://schemas.openxmlformats.org/officeDocument/2006/relationships" name="Ensemble Cast" sheetId="5" state="visible" r:id="rId5"/>
    <sheet xmlns:r="http://schemas.openxmlformats.org/officeDocument/2006/relationships" name="Awards" sheetId="6" state="visible" r:id="rId6"/>
    <sheet xmlns:r="http://schemas.openxmlformats.org/officeDocument/2006/relationships" name="Sources" sheetId="7" state="visible" r:id="rId7"/>
  </sheets>
  <definedNames>
    <definedName name="_xlnm._FilterDatabase" localSheetId="1" hidden="1">'Films'!$A$1:$AT$58</definedName>
    <definedName name="_xlnm._FilterDatabase" localSheetId="2" hidden="1">'Romances'!$A$1:$AT$38</definedName>
    <definedName name="_xlnm._FilterDatabase" localSheetId="3" hidden="1">'Collaborators'!$A$1:$U$234</definedName>
    <definedName name="_xlnm._FilterDatabase" localSheetId="4" hidden="1">'Ensemble Cast'!$A$1:$M$170</definedName>
    <definedName name="_xlnm._FilterDatabase" localSheetId="5" hidden="1">'Awards'!$A$1:$M$144</definedName>
    <definedName name="_xlnm._FilterDatabase" localSheetId="6" hidden="1">'Sources'!$A$1:$M$215</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7">
    <font>
      <name val="Calibri"/>
      <family val="2"/>
      <color theme="1"/>
      <sz val="11"/>
      <scheme val="minor"/>
    </font>
    <font>
      <b val="1"/>
      <color rgb="00FFFFFF"/>
    </font>
    <font>
      <b val="1"/>
    </font>
    <font>
      <color rgb="000563C1"/>
      <u val="single"/>
    </font>
    <font>
      <b val="1"/>
      <color rgb="001F3A5F"/>
      <sz val="16"/>
    </font>
    <font>
      <i val="1"/>
      <color rgb="00555555"/>
    </font>
    <font>
      <b val="1"/>
      <color rgb="001F3A5F"/>
      <sz val="12"/>
    </font>
  </fonts>
  <fills count="6">
    <fill>
      <patternFill/>
    </fill>
    <fill>
      <patternFill patternType="gray125"/>
    </fill>
    <fill>
      <patternFill patternType="solid">
        <fgColor rgb="001F3A5F"/>
      </patternFill>
    </fill>
    <fill>
      <patternFill patternType="solid">
        <fgColor rgb="003B5E3F"/>
      </patternFill>
    </fill>
    <fill>
      <patternFill patternType="solid">
        <fgColor rgb="008A5A00"/>
      </patternFill>
    </fill>
    <fill>
      <patternFill patternType="solid">
        <fgColor rgb="00F3F7F0"/>
      </patternFill>
    </fill>
  </fills>
  <borders count="2">
    <border>
      <left/>
      <right/>
      <top/>
      <bottom/>
      <diagonal/>
    </border>
    <border>
      <bottom style="thin">
        <color rgb="00BFC5CC"/>
      </bottom>
    </border>
  </borders>
  <cellStyleXfs count="1">
    <xf numFmtId="0" fontId="0" fillId="0" borderId="0"/>
  </cellStyleXfs>
  <cellXfs count="23">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165" fontId="0" fillId="0" borderId="0" applyAlignment="1" pivotButton="0" quotePrefix="0" xfId="0">
      <alignment horizontal="left" vertical="top" wrapText="1"/>
    </xf>
    <xf numFmtId="1" fontId="0" fillId="0" borderId="0" applyAlignment="1" pivotButton="0" quotePrefix="0" xfId="0">
      <alignment horizontal="left" vertical="top" wrapText="1"/>
    </xf>
    <xf numFmtId="0" fontId="1" fillId="2" borderId="0" pivotButton="0" quotePrefix="0" xfId="0"/>
    <xf numFmtId="0" fontId="1" fillId="4" borderId="0" pivotButton="0" quotePrefix="0" xfId="0"/>
    <xf numFmtId="0" fontId="1" fillId="3"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0" applyAlignment="1" pivotButton="0" quotePrefix="0" xfId="0">
      <alignment horizontal="center" vertical="top" wrapText="1"/>
    </xf>
    <xf numFmtId="164" fontId="0" fillId="0" borderId="0" applyAlignment="1" pivotButton="0" quotePrefix="0" xfId="0">
      <alignment horizontal="right" vertical="top"/>
    </xf>
    <xf numFmtId="1" fontId="0" fillId="0" borderId="0" applyAlignment="1" pivotButton="0" quotePrefix="0" xfId="0">
      <alignment horizontal="center" vertical="top"/>
    </xf>
    <xf numFmtId="0" fontId="0" fillId="0" borderId="0" applyAlignment="1" pivotButton="0" quotePrefix="0" xfId="0">
      <alignment horizontal="center" vertical="top" wrapText="1"/>
    </xf>
    <xf numFmtId="0" fontId="0" fillId="5" borderId="0" applyAlignment="1" pivotButton="0" quotePrefix="0" xfId="0">
      <alignment horizontal="left" vertical="top" wrapText="1"/>
    </xf>
    <xf numFmtId="0" fontId="0" fillId="0" borderId="0" applyAlignment="1" pivotButton="0" quotePrefix="0" xfId="0">
      <alignment horizontal="center" vertical="top"/>
    </xf>
    <xf numFmtId="4" fontId="0" fillId="0" borderId="0" applyAlignment="1" pivotButton="0" quotePrefix="0" xfId="0">
      <alignment horizontal="right" vertical="top"/>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Lover-boy score by release year (per pairing)</a:t>
            </a:r>
          </a:p>
        </rich>
      </tx>
    </title>
    <plotArea>
      <scatterChart>
        <ser>
          <idx val="0"/>
          <order val="0"/>
          <tx>
            <v>Lover-boy score</v>
          </tx>
          <spPr>
            <a:ln xmlns:a="http://schemas.openxmlformats.org/drawingml/2006/main">
              <a:noFill/>
              <a:prstDash val="solid"/>
            </a:ln>
          </spPr>
          <marker>
            <symbol val="circle"/>
            <size val="7"/>
            <spPr>
              <a:ln xmlns:a="http://schemas.openxmlformats.org/drawingml/2006/main">
                <a:prstDash val="solid"/>
              </a:ln>
            </spPr>
          </marker>
          <xVal>
            <numRef>
              <f>'Romances'!$D$2:$D$38</f>
            </numRef>
          </xVal>
          <yVal>
            <numRef>
              <f>'Romances'!$V$2:$V$38</f>
            </numRef>
          </yVal>
        </ser>
        <axId val="10"/>
        <axId val="20"/>
      </scatterChart>
      <valAx>
        <axId val="10"/>
        <scaling>
          <orientation val="minMax"/>
          <max val="2026"/>
          <min val="1987"/>
        </scaling>
        <delete val="0"/>
        <axPos val="l"/>
        <majorGridlines/>
        <title>
          <tx>
            <rich>
              <a:bodyPr xmlns:a="http://schemas.openxmlformats.org/drawingml/2006/main"/>
              <a:p xmlns:a="http://schemas.openxmlformats.org/drawingml/2006/main">
                <a:pPr>
                  <a:defRPr/>
                </a:pPr>
                <a:r>
                  <a:t>Release year</a:t>
                </a:r>
              </a:p>
            </rich>
          </tx>
        </title>
        <majorTickMark val="none"/>
        <minorTickMark val="none"/>
        <crossAx val="20"/>
      </valAx>
      <valAx>
        <axId val="20"/>
        <scaling>
          <orientation val="minMax"/>
          <max val="10"/>
          <min val="0"/>
        </scaling>
        <delete val="0"/>
        <axPos val="l"/>
        <majorGridlines/>
        <title>
          <tx>
            <rich>
              <a:bodyPr xmlns:a="http://schemas.openxmlformats.org/drawingml/2006/main"/>
              <a:p xmlns:a="http://schemas.openxmlformats.org/drawingml/2006/main">
                <a:pPr>
                  <a:defRPr/>
                </a:pPr>
                <a:r>
                  <a:t>Lover-boy score</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Romantic co-star frequency</a:t>
            </a:r>
          </a:p>
        </rich>
      </tx>
    </title>
    <plotArea>
      <barChart>
        <barDir val="bar"/>
        <grouping val="clustered"/>
        <ser>
          <idx val="0"/>
          <order val="0"/>
          <tx>
            <strRef>
              <f>'Overview'!B46</f>
            </strRef>
          </tx>
          <spPr>
            <a:ln xmlns:a="http://schemas.openxmlformats.org/drawingml/2006/main">
              <a:prstDash val="solid"/>
            </a:ln>
          </spPr>
          <cat>
            <numRef>
              <f>'Overview'!$A$47:$A$56</f>
            </numRef>
          </cat>
          <val>
            <numRef>
              <f>'Overview'!$B$47:$B$56</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Pair friction vs external opposition</a:t>
            </a:r>
          </a:p>
        </rich>
      </tx>
    </title>
    <plotArea>
      <scatterChart>
        <ser>
          <idx val="0"/>
          <order val="0"/>
          <tx>
            <v>External opposition</v>
          </tx>
          <spPr>
            <a:ln xmlns:a="http://schemas.openxmlformats.org/drawingml/2006/main">
              <a:noFill/>
              <a:prstDash val="solid"/>
            </a:ln>
          </spPr>
          <marker>
            <symbol val="circle"/>
            <size val="7"/>
            <spPr>
              <a:ln xmlns:a="http://schemas.openxmlformats.org/drawingml/2006/main">
                <a:prstDash val="solid"/>
              </a:ln>
            </spPr>
          </marker>
          <xVal>
            <numRef>
              <f>'Romances'!$Q$2:$Q$38</f>
            </numRef>
          </xVal>
          <yVal>
            <numRef>
              <f>'Romances'!$S$2:$S$38</f>
            </numRef>
          </yVal>
        </ser>
        <axId val="10"/>
        <axId val="20"/>
      </scatterChart>
      <valAx>
        <axId val="10"/>
        <scaling>
          <orientation val="minMax"/>
          <max val="10"/>
          <min val="0"/>
        </scaling>
        <delete val="0"/>
        <axPos val="l"/>
        <majorGridlines/>
        <title>
          <tx>
            <rich>
              <a:bodyPr xmlns:a="http://schemas.openxmlformats.org/drawingml/2006/main"/>
              <a:p xmlns:a="http://schemas.openxmlformats.org/drawingml/2006/main">
                <a:pPr>
                  <a:defRPr/>
                </a:pPr>
                <a:r>
                  <a:t>Pair friction</a:t>
                </a:r>
              </a:p>
            </rich>
          </tx>
        </title>
        <majorTickMark val="none"/>
        <minorTickMark val="none"/>
        <crossAx val="20"/>
      </valAx>
      <valAx>
        <axId val="20"/>
        <scaling>
          <orientation val="minMax"/>
          <max val="10"/>
          <min val="0"/>
        </scaling>
        <delete val="0"/>
        <axPos val="l"/>
        <majorGridlines/>
        <title>
          <tx>
            <rich>
              <a:bodyPr xmlns:a="http://schemas.openxmlformats.org/drawingml/2006/main"/>
              <a:p xmlns:a="http://schemas.openxmlformats.org/drawingml/2006/main">
                <a:pPr>
                  <a:defRPr/>
                </a:pPr>
                <a:r>
                  <a:t>External opposition</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Average romance centrality by decade</a:t>
            </a:r>
          </a:p>
        </rich>
      </tx>
    </title>
    <plotArea>
      <barChart>
        <barDir val="col"/>
        <grouping val="clustered"/>
        <ser>
          <idx val="0"/>
          <order val="0"/>
          <tx>
            <strRef>
              <f>'Overview'!C59</f>
            </strRef>
          </tx>
          <spPr>
            <a:ln xmlns:a="http://schemas.openxmlformats.org/drawingml/2006/main">
              <a:prstDash val="solid"/>
            </a:ln>
          </spPr>
          <cat>
            <numRef>
              <f>'Overview'!$A$60:$A$65</f>
            </numRef>
          </cat>
          <val>
            <numRef>
              <f>'Overview'!$C$60:$C$65</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0"/>
          <min val="0"/>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6</col>
      <colOff>0</colOff>
      <row>3</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20</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0</colOff>
      <row>37</row>
      <rowOff>0</rowOff>
    </from>
    <ext cx="576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6</col>
      <colOff>0</colOff>
      <row>54</row>
      <rowOff>0</rowOff>
    </from>
    <ext cx="576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hyperlink" Target="https://en.wikipedia.org/wiki/Aamir_Khan_filmography" TargetMode="External" Id="rId1"/><Relationship Type="http://schemas.openxmlformats.org/officeDocument/2006/relationships/hyperlink" Target="https://www.bollywoodhungama.com/celebrity/aamir-khan/filmography/" TargetMode="External" Id="rId2"/><Relationship Type="http://schemas.openxmlformats.org/officeDocument/2006/relationships/hyperlink" Target="https://en.wikipedia.org/wiki/List_of_awards_and_nominations_received_by_Aamir_Khan" TargetMode="External" Id="rId3"/><Relationship Type="http://schemas.openxmlformats.org/officeDocument/2006/relationships/hyperlink" Target="https://en.wikipedia.org/wiki/Yaadon_Ki_Baaraat" TargetMode="External" Id="rId4"/><Relationship Type="http://schemas.openxmlformats.org/officeDocument/2006/relationships/hyperlink" Target="https://en.wikipedia.org/wiki/Madhosh_(1974_film)" TargetMode="External" Id="rId5"/><Relationship Type="http://schemas.openxmlformats.org/officeDocument/2006/relationships/hyperlink" Target="https://en.wikipedia.org/wiki/Holi_(1984_film)" TargetMode="External" Id="rId6"/><Relationship Type="http://schemas.openxmlformats.org/officeDocument/2006/relationships/hyperlink" Target="https://en.wikipedia.org/wiki/Qayamat_Se_Qayamat_Tak" TargetMode="External" Id="rId7"/><Relationship Type="http://schemas.openxmlformats.org/officeDocument/2006/relationships/hyperlink" Target="https://en.wikipedia.org/wiki/Raakh" TargetMode="External" Id="rId8"/><Relationship Type="http://schemas.openxmlformats.org/officeDocument/2006/relationships/hyperlink" Target="https://en.wikipedia.org/wiki/Love_Love_Love_(1989_film)" TargetMode="External" Id="rId9"/><Relationship Type="http://schemas.openxmlformats.org/officeDocument/2006/relationships/hyperlink" Target="https://en.wikipedia.org/wiki/Awwal_Number" TargetMode="External" Id="rId10"/><Relationship Type="http://schemas.openxmlformats.org/officeDocument/2006/relationships/hyperlink" Target="https://greatbong.net/2019/10/25/awwal-number-the-review/" TargetMode="External" Id="rId11"/><Relationship Type="http://schemas.openxmlformats.org/officeDocument/2006/relationships/hyperlink" Target="https://en.wikipedia.org/wiki/Tum_Mere_Ho" TargetMode="External" Id="rId12"/><Relationship Type="http://schemas.openxmlformats.org/officeDocument/2006/relationships/hyperlink" Target="https://culturalgutter.com/2019/11/07/tum-mere-ho/" TargetMode="External" Id="rId13"/><Relationship Type="http://schemas.openxmlformats.org/officeDocument/2006/relationships/hyperlink" Target="https://en.wikipedia.org/wiki/Dil_(1990_film)" TargetMode="External" Id="rId14"/><Relationship Type="http://schemas.openxmlformats.org/officeDocument/2006/relationships/hyperlink" Target="https://en.wikipedia.org/wiki/Deewana_Mujh_Sa_Nahin" TargetMode="External" Id="rId15"/><Relationship Type="http://schemas.openxmlformats.org/officeDocument/2006/relationships/hyperlink" Target="https://en.wikipedia.org/wiki/Jawani_Zindabad" TargetMode="External" Id="rId16"/><Relationship Type="http://schemas.openxmlformats.org/officeDocument/2006/relationships/hyperlink" Target="https://en.wikipedia.org/wiki/Afsana_Pyar_Ka" TargetMode="External" Id="rId17"/><Relationship Type="http://schemas.openxmlformats.org/officeDocument/2006/relationships/hyperlink" Target="https://en.wikipedia.org/wiki/Dil_Hai_Ke_Manta_Nahin" TargetMode="External" Id="rId18"/><Relationship Type="http://schemas.openxmlformats.org/officeDocument/2006/relationships/hyperlink" Target="https://boxofficeindia.com/movie.php?movieid=6011" TargetMode="External" Id="rId19"/><Relationship Type="http://schemas.openxmlformats.org/officeDocument/2006/relationships/hyperlink" Target="https://en.wikipedia.org/wiki/Daulat_Ki_Jung" TargetMode="External" Id="rId20"/><Relationship Type="http://schemas.openxmlformats.org/officeDocument/2006/relationships/hyperlink" Target="https://en.wikipedia.org/wiki/Jo_Jeeta_Wohi_Sikandar" TargetMode="External" Id="rId21"/><Relationship Type="http://schemas.openxmlformats.org/officeDocument/2006/relationships/hyperlink" Target="https://en.wikipedia.org/wiki/Isi_Ka_Naam_Zindagi" TargetMode="External" Id="rId22"/><Relationship Type="http://schemas.openxmlformats.org/officeDocument/2006/relationships/hyperlink" Target="https://en.wikipedia.org/wiki/Damini_(film)" TargetMode="External" Id="rId23"/><Relationship Type="http://schemas.openxmlformats.org/officeDocument/2006/relationships/hyperlink" Target="https://en.wikipedia.org/wiki/Parampara_(1993_film)" TargetMode="External" Id="rId24"/><Relationship Type="http://schemas.openxmlformats.org/officeDocument/2006/relationships/hyperlink" Target="https://en.wikipedia.org/wiki/Hum_Hain_Rahi_Pyar_Ke" TargetMode="External" Id="rId25"/><Relationship Type="http://schemas.openxmlformats.org/officeDocument/2006/relationships/hyperlink" Target="https://en.wikipedia.org/wiki/Pehla_Nasha" TargetMode="External" Id="rId26"/><Relationship Type="http://schemas.openxmlformats.org/officeDocument/2006/relationships/hyperlink" Target="https://en.wikipedia.org/wiki/Andaz_Apna_Apna" TargetMode="External" Id="rId27"/><Relationship Type="http://schemas.openxmlformats.org/officeDocument/2006/relationships/hyperlink" Target="https://en.wikipedia.org/wiki/Baazi_(1995_film)" TargetMode="External" Id="rId28"/><Relationship Type="http://schemas.openxmlformats.org/officeDocument/2006/relationships/hyperlink" Target="https://en.wikipedia.org/wiki/Aatank_Hi_Aatank" TargetMode="External" Id="rId29"/><Relationship Type="http://schemas.openxmlformats.org/officeDocument/2006/relationships/hyperlink" Target="https://en.wikipedia.org/wiki/Rangeela_(1995_film)" TargetMode="External" Id="rId30"/><Relationship Type="http://schemas.openxmlformats.org/officeDocument/2006/relationships/hyperlink" Target="https://en.wikipedia.org/wiki/Akele_Hum_Akele_Tum" TargetMode="External" Id="rId31"/><Relationship Type="http://schemas.openxmlformats.org/officeDocument/2006/relationships/hyperlink" Target="https://en.wikipedia.org/wiki/Raja_Hindustani" TargetMode="External" Id="rId32"/><Relationship Type="http://schemas.openxmlformats.org/officeDocument/2006/relationships/hyperlink" Target="https://en.wikipedia.org/wiki/Ishq_(1997_film)" TargetMode="External" Id="rId33"/><Relationship Type="http://schemas.openxmlformats.org/officeDocument/2006/relationships/hyperlink" Target="https://en.wikipedia.org/wiki/Ghulam_(film)" TargetMode="External" Id="rId34"/><Relationship Type="http://schemas.openxmlformats.org/officeDocument/2006/relationships/hyperlink" Target="https://en.wikipedia.org/wiki/Earth_(1998_film)" TargetMode="External" Id="rId35"/><Relationship Type="http://schemas.openxmlformats.org/officeDocument/2006/relationships/hyperlink" Target="https://en.wikipedia.org/wiki/Sarfarosh_(1999_film)" TargetMode="External" Id="rId36"/><Relationship Type="http://schemas.openxmlformats.org/officeDocument/2006/relationships/hyperlink" Target="https://en.wikipedia.org/wiki/Mann_(1999_film)" TargetMode="External" Id="rId37"/><Relationship Type="http://schemas.openxmlformats.org/officeDocument/2006/relationships/hyperlink" Target="https://en.wikipedia.org/wiki/Mela_(2000_film)" TargetMode="External" Id="rId38"/><Relationship Type="http://schemas.openxmlformats.org/officeDocument/2006/relationships/hyperlink" Target="https://en.wikipedia.org/wiki/Lagaan" TargetMode="External" Id="rId39"/><Relationship Type="http://schemas.openxmlformats.org/officeDocument/2006/relationships/hyperlink" Target="https://en.wikipedia.org/wiki/Dil_Chahta_Hai" TargetMode="External" Id="rId40"/><Relationship Type="http://schemas.openxmlformats.org/officeDocument/2006/relationships/hyperlink" Target="https://en.wikipedia.org/wiki/Mangal_Pandey:_The_Rising" TargetMode="External" Id="rId41"/><Relationship Type="http://schemas.openxmlformats.org/officeDocument/2006/relationships/hyperlink" Target="https://en.wikipedia.org/wiki/Rang_De_Basanti" TargetMode="External" Id="rId42"/><Relationship Type="http://schemas.openxmlformats.org/officeDocument/2006/relationships/hyperlink" Target="https://en.wikipedia.org/wiki/Fanaa_(2006_film)" TargetMode="External" Id="rId43"/><Relationship Type="http://schemas.openxmlformats.org/officeDocument/2006/relationships/hyperlink" Target="https://en.wikipedia.org/wiki/Taare_Zameen_Par" TargetMode="External" Id="rId44"/><Relationship Type="http://schemas.openxmlformats.org/officeDocument/2006/relationships/hyperlink" Target="https://en.wikipedia.org/wiki/Ghajini_(2008_film)" TargetMode="External" Id="rId45"/><Relationship Type="http://schemas.openxmlformats.org/officeDocument/2006/relationships/hyperlink" Target="https://en.wikipedia.org/wiki/Luck_by_Chance" TargetMode="External" Id="rId46"/><Relationship Type="http://schemas.openxmlformats.org/officeDocument/2006/relationships/hyperlink" Target="https://en.wikipedia.org/wiki/3_Idiots" TargetMode="External" Id="rId47"/><Relationship Type="http://schemas.openxmlformats.org/officeDocument/2006/relationships/hyperlink" Target="https://en.wikipedia.org/wiki/Dhobi_Ghat_(film)" TargetMode="External" Id="rId48"/><Relationship Type="http://schemas.openxmlformats.org/officeDocument/2006/relationships/hyperlink" Target="https://en.wikipedia.org/wiki/Delhi_Belly_(film)" TargetMode="External" Id="rId49"/><Relationship Type="http://schemas.openxmlformats.org/officeDocument/2006/relationships/hyperlink" Target="https://en.wikipedia.org/wiki/Talaash:_The_Answer_Lies_Within" TargetMode="External" Id="rId50"/><Relationship Type="http://schemas.openxmlformats.org/officeDocument/2006/relationships/hyperlink" Target="https://en.wikipedia.org/wiki/Bombay_Talkies_(film)" TargetMode="External" Id="rId51"/><Relationship Type="http://schemas.openxmlformats.org/officeDocument/2006/relationships/hyperlink" Target="https://en.wikipedia.org/wiki/Dhoom_3" TargetMode="External" Id="rId52"/><Relationship Type="http://schemas.openxmlformats.org/officeDocument/2006/relationships/hyperlink" Target="https://en.wikipedia.org/wiki/PK_(film)" TargetMode="External" Id="rId53"/><Relationship Type="http://schemas.openxmlformats.org/officeDocument/2006/relationships/hyperlink" Target="https://en.wikipedia.org/wiki/Dil_Dhadakne_Do" TargetMode="External" Id="rId54"/><Relationship Type="http://schemas.openxmlformats.org/officeDocument/2006/relationships/hyperlink" Target="https://en.wikipedia.org/wiki/Dangal_(2016_film)" TargetMode="External" Id="rId55"/><Relationship Type="http://schemas.openxmlformats.org/officeDocument/2006/relationships/hyperlink" Target="https://en.wikipedia.org/wiki/Secret_Superstar" TargetMode="External" Id="rId56"/><Relationship Type="http://schemas.openxmlformats.org/officeDocument/2006/relationships/hyperlink" Target="https://en.wikipedia.org/wiki/Thugs_of_Hindostan" TargetMode="External" Id="rId57"/><Relationship Type="http://schemas.openxmlformats.org/officeDocument/2006/relationships/hyperlink" Target="https://en.wikipedia.org/wiki/Koi_Jaane_Na" TargetMode="External" Id="rId58"/><Relationship Type="http://schemas.openxmlformats.org/officeDocument/2006/relationships/hyperlink" Target="https://en.wikipedia.org/wiki/Laal_Singh_Chaddha" TargetMode="External" Id="rId59"/><Relationship Type="http://schemas.openxmlformats.org/officeDocument/2006/relationships/hyperlink" Target="https://en.wikipedia.org/wiki/Salaam_Venky" TargetMode="External" Id="rId60"/><Relationship Type="http://schemas.openxmlformats.org/officeDocument/2006/relationships/hyperlink" Target="https://en.wikipedia.org/wiki/Sitaare_Zameen_Par" TargetMode="External" Id="rId61"/><Relationship Type="http://schemas.openxmlformats.org/officeDocument/2006/relationships/hyperlink" Target="https://en.wikipedia.org/wiki/Coolie_(2025_film)" TargetMode="External" Id="rId62"/><Relationship Type="http://schemas.openxmlformats.org/officeDocument/2006/relationships/hyperlink" Target="https://en.wikipedia.org/wiki/Happy_Patel:_Khatarnak_Jasoos" TargetMode="External" Id="rId63"/><Relationship Type="http://schemas.openxmlformats.org/officeDocument/2006/relationships/hyperlink" Target="https://en.wikipedia.org/wiki/Lahore_1947" TargetMode="External" Id="rId64"/><Relationship Type="http://schemas.openxmlformats.org/officeDocument/2006/relationships/hyperlink" Target="https://en.wikipedia.org/wiki/Filmfare_Award_for_Best_Actor" TargetMode="External" Id="rId65"/><Relationship Type="http://schemas.openxmlformats.org/officeDocument/2006/relationships/hyperlink" Target="https://en.wikipedia.org/wiki/36th_National_Film_Awards" TargetMode="External" Id="rId66"/><Relationship Type="http://schemas.openxmlformats.org/officeDocument/2006/relationships/hyperlink" Target="https://en.wikipedia.org/wiki/41st_National_Film_Awards" TargetMode="External" Id="rId67"/><Relationship Type="http://schemas.openxmlformats.org/officeDocument/2006/relationships/hyperlink" Target="https://en.wikipedia.org/wiki/45th_Filmfare_Awards" TargetMode="External" Id="rId68"/><Relationship Type="http://schemas.openxmlformats.org/officeDocument/2006/relationships/hyperlink" Target="https://en.wikipedia.org/wiki/47th_Filmfare_Awards" TargetMode="External" Id="rId69"/><Relationship Type="http://schemas.openxmlformats.org/officeDocument/2006/relationships/hyperlink" Target="https://en.wikipedia.org/wiki/49th_National_Film_Awards" TargetMode="External" Id="rId70"/><Relationship Type="http://schemas.openxmlformats.org/officeDocument/2006/relationships/hyperlink" Target="https://en.wikipedia.org/wiki/55th_National_Film_Awards" TargetMode="External" Id="rId71"/><Relationship Type="http://schemas.openxmlformats.org/officeDocument/2006/relationships/hyperlink" Target="https://en.wikipedia.org/wiki/55th_Filmfare_Awards" TargetMode="External" Id="rId72"/><Relationship Type="http://schemas.openxmlformats.org/officeDocument/2006/relationships/hyperlink" Target="https://en.wikipedia.org/wiki/57th_National_Film_Awards" TargetMode="External" Id="rId73"/><Relationship Type="http://schemas.openxmlformats.org/officeDocument/2006/relationships/hyperlink" Target="https://en.wikipedia.org/wiki/Nasir_Hussain" TargetMode="External" Id="rId74"/><Relationship Type="http://schemas.openxmlformats.org/officeDocument/2006/relationships/hyperlink" Target="https://en.wikipedia.org/wiki/R._D._Burman" TargetMode="External" Id="rId75"/><Relationship Type="http://schemas.openxmlformats.org/officeDocument/2006/relationships/hyperlink" Target="https://en.wikipedia.org/wiki/Tahir_Hussain" TargetMode="External" Id="rId76"/><Relationship Type="http://schemas.openxmlformats.org/officeDocument/2006/relationships/hyperlink" Target="https://en.wikipedia.org/wiki/Ketan_Mehta" TargetMode="External" Id="rId77"/><Relationship Type="http://schemas.openxmlformats.org/officeDocument/2006/relationships/hyperlink" Target="https://en.wikipedia.org/wiki/Mansoor_Khan" TargetMode="External" Id="rId78"/><Relationship Type="http://schemas.openxmlformats.org/officeDocument/2006/relationships/hyperlink" Target="https://en.wikipedia.org/wiki/Anand%E2%80%93Milind" TargetMode="External" Id="rId79"/><Relationship Type="http://schemas.openxmlformats.org/officeDocument/2006/relationships/hyperlink" Target="https://en.wikipedia.org/wiki/Aditya_Bhattacharya" TargetMode="External" Id="rId80"/><Relationship Type="http://schemas.openxmlformats.org/officeDocument/2006/relationships/hyperlink" Target="https://en.wikipedia.org/wiki/Bappi_Lahiri" TargetMode="External" Id="rId81"/><Relationship Type="http://schemas.openxmlformats.org/officeDocument/2006/relationships/hyperlink" Target="https://en.wikipedia.org/wiki/Indra_Kumar" TargetMode="External" Id="rId82"/><Relationship Type="http://schemas.openxmlformats.org/officeDocument/2006/relationships/hyperlink" Target="https://en.wikipedia.org/wiki/Mahesh_Bhatt" TargetMode="External" Id="rId83"/><Relationship Type="http://schemas.openxmlformats.org/officeDocument/2006/relationships/hyperlink" Target="https://en.wikipedia.org/wiki/Mukesh_Bhatt" TargetMode="External" Id="rId84"/><Relationship Type="http://schemas.openxmlformats.org/officeDocument/2006/relationships/hyperlink" Target="https://en.wikipedia.org/wiki/Nadeem%E2%80%93Shravan" TargetMode="External" Id="rId85"/><Relationship Type="http://schemas.openxmlformats.org/officeDocument/2006/relationships/hyperlink" Target="https://en.wikipedia.org/wiki/Robin_Bhatt" TargetMode="External" Id="rId86"/><Relationship Type="http://schemas.openxmlformats.org/officeDocument/2006/relationships/hyperlink" Target="https://en.wikipedia.org/wiki/Jatin%E2%80%93Lalit" TargetMode="External" Id="rId87"/><Relationship Type="http://schemas.openxmlformats.org/officeDocument/2006/relationships/hyperlink" Target="https://en.wikipedia.org/wiki/Rajkumar_Santoshi" TargetMode="External" Id="rId88"/><Relationship Type="http://schemas.openxmlformats.org/officeDocument/2006/relationships/hyperlink" Target="https://en.wikipedia.org/wiki/Karim_Morani" TargetMode="External" Id="rId89"/><Relationship Type="http://schemas.openxmlformats.org/officeDocument/2006/relationships/hyperlink" Target="https://en.wikipedia.org/wiki/Ashutosh_Gowariker" TargetMode="External" Id="rId90"/><Relationship Type="http://schemas.openxmlformats.org/officeDocument/2006/relationships/hyperlink" Target="https://en.wikipedia.org/wiki/Anu_Malik" TargetMode="External" Id="rId91"/><Relationship Type="http://schemas.openxmlformats.org/officeDocument/2006/relationships/hyperlink" Target="https://en.wikipedia.org/wiki/Ram_Gopal_Varma" TargetMode="External" Id="rId92"/><Relationship Type="http://schemas.openxmlformats.org/officeDocument/2006/relationships/hyperlink" Target="https://en.wikipedia.org/wiki/A._R._Rahman" TargetMode="External" Id="rId93"/><Relationship Type="http://schemas.openxmlformats.org/officeDocument/2006/relationships/hyperlink" Target="https://en.wikipedia.org/wiki/Dharmesh_Darshan" TargetMode="External" Id="rId94"/><Relationship Type="http://schemas.openxmlformats.org/officeDocument/2006/relationships/hyperlink" Target="https://en.wikipedia.org/wiki/Vikram_Bhatt" TargetMode="External" Id="rId95"/><Relationship Type="http://schemas.openxmlformats.org/officeDocument/2006/relationships/hyperlink" Target="https://en.wikipedia.org/wiki/John_Matthew_Matthan" TargetMode="External" Id="rId96"/><Relationship Type="http://schemas.openxmlformats.org/officeDocument/2006/relationships/hyperlink" Target="https://en.wikipedia.org/wiki/Deepa_Mehta" TargetMode="External" Id="rId97"/><Relationship Type="http://schemas.openxmlformats.org/officeDocument/2006/relationships/hyperlink" Target="https://en.wikipedia.org/wiki/Aamir_Khan_Productions" TargetMode="External" Id="rId98"/><Relationship Type="http://schemas.openxmlformats.org/officeDocument/2006/relationships/hyperlink" Target="https://en.wikipedia.org/wiki/Farhan_Akhtar" TargetMode="External" Id="rId99"/><Relationship Type="http://schemas.openxmlformats.org/officeDocument/2006/relationships/hyperlink" Target="https://en.wikipedia.org/wiki/Excel_Entertainment" TargetMode="External" Id="rId100"/><Relationship Type="http://schemas.openxmlformats.org/officeDocument/2006/relationships/hyperlink" Target="https://en.wikipedia.org/wiki/Shankar%E2%80%93Ehsaan%E2%80%93Loy" TargetMode="External" Id="rId101"/><Relationship Type="http://schemas.openxmlformats.org/officeDocument/2006/relationships/hyperlink" Target="https://en.wikipedia.org/wiki/Rakeysh_Omprakash_Mehra" TargetMode="External" Id="rId102"/><Relationship Type="http://schemas.openxmlformats.org/officeDocument/2006/relationships/hyperlink" Target="https://en.wikipedia.org/wiki/Ronnie_Screwvala" TargetMode="External" Id="rId103"/><Relationship Type="http://schemas.openxmlformats.org/officeDocument/2006/relationships/hyperlink" Target="https://en.wikipedia.org/wiki/Kunal_Kohli" TargetMode="External" Id="rId104"/><Relationship Type="http://schemas.openxmlformats.org/officeDocument/2006/relationships/hyperlink" Target="https://en.wikipedia.org/wiki/Yash_Raj_Films" TargetMode="External" Id="rId105"/><Relationship Type="http://schemas.openxmlformats.org/officeDocument/2006/relationships/hyperlink" Target="https://en.wikipedia.org/wiki/A._R._Murugadoss" TargetMode="External" Id="rId106"/><Relationship Type="http://schemas.openxmlformats.org/officeDocument/2006/relationships/hyperlink" Target="https://en.wikipedia.org/wiki/Zoya_Akhtar" TargetMode="External" Id="rId107"/><Relationship Type="http://schemas.openxmlformats.org/officeDocument/2006/relationships/hyperlink" Target="https://en.wikipedia.org/wiki/Rajkumar_Hirani" TargetMode="External" Id="rId108"/><Relationship Type="http://schemas.openxmlformats.org/officeDocument/2006/relationships/hyperlink" Target="https://en.wikipedia.org/wiki/Vidhu_Vinod_Chopra" TargetMode="External" Id="rId109"/><Relationship Type="http://schemas.openxmlformats.org/officeDocument/2006/relationships/hyperlink" Target="https://en.wikipedia.org/wiki/Shantanu_Moitra" TargetMode="External" Id="rId110"/><Relationship Type="http://schemas.openxmlformats.org/officeDocument/2006/relationships/hyperlink" Target="https://en.wikipedia.org/wiki/Abhijat_Joshi" TargetMode="External" Id="rId111"/><Relationship Type="http://schemas.openxmlformats.org/officeDocument/2006/relationships/hyperlink" Target="https://en.wikipedia.org/wiki/Kiran_Rao" TargetMode="External" Id="rId112"/><Relationship Type="http://schemas.openxmlformats.org/officeDocument/2006/relationships/hyperlink" Target="https://en.wikipedia.org/wiki/Ram_Sampath" TargetMode="External" Id="rId113"/><Relationship Type="http://schemas.openxmlformats.org/officeDocument/2006/relationships/hyperlink" Target="https://en.wikipedia.org/wiki/Reema_Kagti" TargetMode="External" Id="rId114"/><Relationship Type="http://schemas.openxmlformats.org/officeDocument/2006/relationships/hyperlink" Target="https://en.wikipedia.org/wiki/Amit_Trivedi" TargetMode="External" Id="rId115"/><Relationship Type="http://schemas.openxmlformats.org/officeDocument/2006/relationships/hyperlink" Target="https://en.wikipedia.org/wiki/Vijay_Krishna_Acharya" TargetMode="External" Id="rId116"/><Relationship Type="http://schemas.openxmlformats.org/officeDocument/2006/relationships/hyperlink" Target="https://en.wikipedia.org/wiki/Pritam" TargetMode="External" Id="rId117"/><Relationship Type="http://schemas.openxmlformats.org/officeDocument/2006/relationships/hyperlink" Target="https://en.wikipedia.org/wiki/Nitesh_Tiwari" TargetMode="External" Id="rId118"/><Relationship Type="http://schemas.openxmlformats.org/officeDocument/2006/relationships/hyperlink" Target="https://en.wikipedia.org/wiki/Advait_Chandan" TargetMode="External" Id="rId119"/><Relationship Type="http://schemas.openxmlformats.org/officeDocument/2006/relationships/hyperlink" Target="https://en.wikipedia.org/wiki/R._S._Prasanna" TargetMode="External" Id="rId120"/><Relationship Type="http://schemas.openxmlformats.org/officeDocument/2006/relationships/hyperlink" Target="https://en.wikipedia.org/wiki/Aditya_Chopra" TargetMode="External" Id="rId121"/><Relationship Type="http://schemas.openxmlformats.org/officeDocument/2006/relationships/hyperlink" Target="https://en.wikipedia.org/wiki/Neeraj_Vora" TargetMode="External" Id="rId122"/><Relationship Type="http://schemas.openxmlformats.org/officeDocument/2006/relationships/hyperlink" Target="https://en.wikipedia.org/wiki/Ritesh_Sidhwani" TargetMode="External" Id="rId123"/><Relationship Type="http://schemas.openxmlformats.org/officeDocument/2006/relationships/hyperlink" Target="https://en.wikipedia.org/wiki/Surinder_Sodhi" TargetMode="External" Id="rId124"/><Relationship Type="http://schemas.openxmlformats.org/officeDocument/2006/relationships/hyperlink" Target="https://en.wikipedia.org/wiki/Ajay-Atul" TargetMode="External" Id="rId125"/><Relationship Type="http://schemas.openxmlformats.org/officeDocument/2006/relationships/hyperlink" Target="https://en.wikipedia.org/wiki/Anurag_Kashyap" TargetMode="External" Id="rId126"/><Relationship Type="http://schemas.openxmlformats.org/officeDocument/2006/relationships/hyperlink" Target="https://en.wikipedia.org/wiki/Jhamu_Sughand" TargetMode="External" Id="rId127"/><Relationship Type="http://schemas.openxmlformats.org/officeDocument/2006/relationships/hyperlink" Target="https://en.wikipedia.org/wiki/Kamlesh_Pandey" TargetMode="External" Id="rId128"/><Relationship Type="http://schemas.openxmlformats.org/officeDocument/2006/relationships/hyperlink" Target="https://en.wikipedia.org/wiki/Sanjay_Chhel" TargetMode="External" Id="rId129"/><Relationship Type="http://schemas.openxmlformats.org/officeDocument/2006/relationships/hyperlink" Target="https://en.wikipedia.org/wiki/T-Series_(company)" TargetMode="External" Id="rId130"/><Relationship Type="http://schemas.openxmlformats.org/officeDocument/2006/relationships/hyperlink" Target="https://en.wikipedia.org/wiki/UTV_Motion_Pictures" TargetMode="External" Id="rId131"/><Relationship Type="http://schemas.openxmlformats.org/officeDocument/2006/relationships/hyperlink" Target="https://en.wikipedia.org/wiki/Ishtar_Music" TargetMode="External" Id="rId132"/><Relationship Type="http://schemas.openxmlformats.org/officeDocument/2006/relationships/hyperlink" Target="https://en.wikipedia.org/wiki/Vinod_Chopra_Films" TargetMode="External" Id="rId133"/><Relationship Type="http://schemas.openxmlformats.org/officeDocument/2006/relationships/hyperlink" Target="https://en.wikipedia.org/wiki/Vishesh_Films" TargetMode="External" Id="rId134"/><Relationship Type="http://schemas.openxmlformats.org/officeDocument/2006/relationships/hyperlink" Target="https://en.wikipedia.org/wiki/Yash_Chopra" TargetMode="External" Id="rId135"/><Relationship Type="http://schemas.openxmlformats.org/officeDocument/2006/relationships/hyperlink" Target="https://en.wikipedia.org/wiki/Aadesh_Shrivastava" TargetMode="External" Id="rId136"/><Relationship Type="http://schemas.openxmlformats.org/officeDocument/2006/relationships/hyperlink" Target="https://en.wikipedia.org/wiki/Abhinay_Deo" TargetMode="External" Id="rId137"/><Relationship Type="http://schemas.openxmlformats.org/officeDocument/2006/relationships/hyperlink" Target="https://en.wikipedia.org/wiki/Ajit_Andhare" TargetMode="External" Id="rId138"/><Relationship Type="http://schemas.openxmlformats.org/officeDocument/2006/relationships/hyperlink" Target="https://en.wikipedia.org/wiki/Akshat_Verma" TargetMode="External" Id="rId139"/><Relationship Type="http://schemas.openxmlformats.org/officeDocument/2006/relationships/hyperlink" Target="https://en.wikipedia.org/wiki/Allu_Aravind" TargetMode="External" Id="rId140"/><Relationship Type="http://schemas.openxmlformats.org/officeDocument/2006/relationships/hyperlink" Target="https://en.wikipedia.org/wiki/Amaal_Mallik" TargetMode="External" Id="rId141"/><Relationship Type="http://schemas.openxmlformats.org/officeDocument/2006/relationships/hyperlink" Target="https://en.wikipedia.org/wiki/Amar_Haldipur" TargetMode="External" Id="rId142"/><Relationship Type="http://schemas.openxmlformats.org/officeDocument/2006/relationships/hyperlink" Target="https://en.wikipedia.org/wiki/Amole_Gupte" TargetMode="External" Id="rId143"/><Relationship Type="http://schemas.openxmlformats.org/officeDocument/2006/relationships/hyperlink" Target="https://en.wikipedia.org/wiki/Anirudh_Ravichander" TargetMode="External" Id="rId144"/><Relationship Type="http://schemas.openxmlformats.org/officeDocument/2006/relationships/hyperlink" Target="https://en.wikipedia.org/wiki/Anjum_Rajabali" TargetMode="External" Id="rId145"/><Relationship Type="http://schemas.openxmlformats.org/officeDocument/2006/relationships/hyperlink" Target="https://en.wikipedia.org/wiki/Ankit_Tiwari" TargetMode="External" Id="rId146"/><Relationship Type="http://schemas.openxmlformats.org/officeDocument/2006/relationships/hyperlink" Target="https://en.wikipedia.org/wiki/Arun_Bhatt" TargetMode="External" Id="rId147"/><Relationship Type="http://schemas.openxmlformats.org/officeDocument/2006/relationships/hyperlink" Target="https://en.wikipedia.org/wiki/Atul_Kulkarni" TargetMode="External" Id="rId148"/><Relationship Type="http://schemas.openxmlformats.org/officeDocument/2006/relationships/hyperlink" Target="https://en.wikipedia.org/wiki/Babbar_Subhash" TargetMode="External" Id="rId149"/><Relationship Type="http://schemas.openxmlformats.org/officeDocument/2006/relationships/hyperlink" Target="https://en.wikipedia.org/wiki/Bhushan_Kumar" TargetMode="External" Id="rId150"/><Relationship Type="http://schemas.openxmlformats.org/officeDocument/2006/relationships/hyperlink" Target="https://en.wikipedia.org/wiki/Kaleidoscope_Entertainment" TargetMode="External" Id="rId151"/><Relationship Type="http://schemas.openxmlformats.org/officeDocument/2006/relationships/hyperlink" Target="https://en.wikipedia.org/wiki/Champak_Jain" TargetMode="External" Id="rId152"/><Relationship Type="http://schemas.openxmlformats.org/officeDocument/2006/relationships/hyperlink" Target="https://en.wikipedia.org/wiki/Deepa_Sahi" TargetMode="External" Id="rId153"/><Relationship Type="http://schemas.openxmlformats.org/officeDocument/2006/relationships/hyperlink" Target="https://en.wikipedia.org/wiki/Dev_Anand" TargetMode="External" Id="rId154"/><Relationship Type="http://schemas.openxmlformats.org/officeDocument/2006/relationships/hyperlink" Target="https://en.wikipedia.org/wiki/Dharma_Productions" TargetMode="External" Id="rId155"/><Relationship Type="http://schemas.openxmlformats.org/officeDocument/2006/relationships/hyperlink" Target="https://en.wikipedia.org/wiki/Dibakar_Banerjee" TargetMode="External" Id="rId156"/><Relationship Type="http://schemas.openxmlformats.org/officeDocument/2006/relationships/hyperlink" Target="https://en.wikipedia.org/wiki/Farrukh_Dhondy" TargetMode="External" Id="rId157"/><Relationship Type="http://schemas.openxmlformats.org/officeDocument/2006/relationships/hyperlink" Target="https://en.wikipedia.org/wiki/Ganesh_Jain" TargetMode="External" Id="rId158"/><Relationship Type="http://schemas.openxmlformats.org/officeDocument/2006/relationships/hyperlink" Target="https://en.wikipedia.org/wiki/Geetha_Arts" TargetMode="External" Id="rId159"/><Relationship Type="http://schemas.openxmlformats.org/officeDocument/2006/relationships/hyperlink" Target="https://en.wikipedia.org/wiki/Gulshan_Kumar" TargetMode="External" Id="rId160"/><Relationship Type="http://schemas.openxmlformats.org/officeDocument/2006/relationships/hyperlink" Target="https://en.wikipedia.org/wiki/Gustavo_Santaolalla" TargetMode="External" Id="rId161"/><Relationship Type="http://schemas.openxmlformats.org/officeDocument/2006/relationships/hyperlink" Target="https://en.wikipedia.org/wiki/Honey_Irani" TargetMode="External" Id="rId162"/><Relationship Type="http://schemas.openxmlformats.org/officeDocument/2006/relationships/hyperlink" Target="https://en.wikipedia.org/wiki/Hriday_Lani" TargetMode="External" Id="rId163"/><Relationship Type="http://schemas.openxmlformats.org/officeDocument/2006/relationships/hyperlink" Target="https://en.wikipedia.org/wiki/Javed_Akhtar" TargetMode="External" Id="rId164"/><Relationship Type="http://schemas.openxmlformats.org/officeDocument/2006/relationships/hyperlink" Target="https://en.wikipedia.org/wiki/Javed_Siddiqui" TargetMode="External" Id="rId165"/><Relationship Type="http://schemas.openxmlformats.org/officeDocument/2006/relationships/hyperlink" Target="https://en.wikipedia.org/wiki/Julius_Packiam" TargetMode="External" Id="rId166"/><Relationship Type="http://schemas.openxmlformats.org/officeDocument/2006/relationships/hyperlink" Target="https://en.wikipedia.org/wiki/Junglee_Pictures" TargetMode="External" Id="rId167"/><Relationship Type="http://schemas.openxmlformats.org/officeDocument/2006/relationships/hyperlink" Target="https://en.wikipedia.org/wiki/Jyoti_Deshpande" TargetMode="External" Id="rId168"/><Relationship Type="http://schemas.openxmlformats.org/officeDocument/2006/relationships/hyperlink" Target="https://en.wikipedia.org/wiki/K._P._Saxena" TargetMode="External" Id="rId169"/><Relationship Type="http://schemas.openxmlformats.org/officeDocument/2006/relationships/hyperlink" Target="https://en.wikipedia.org/wiki/Kalanithi_Maran" TargetMode="External" Id="rId170"/><Relationship Type="http://schemas.openxmlformats.org/officeDocument/2006/relationships/hyperlink" Target="https://en.wikipedia.org/wiki/Karan_Johar" TargetMode="External" Id="rId171"/><Relationship Type="http://schemas.openxmlformats.org/officeDocument/2006/relationships/hyperlink" Target="https://en.wikipedia.org/wiki/Kausar_Munir" TargetMode="External" Id="rId172"/><Relationship Type="http://schemas.openxmlformats.org/officeDocument/2006/relationships/hyperlink" Target="https://en.wikipedia.org/wiki/Kavi_Shastri" TargetMode="External" Id="rId173"/><Relationship Type="http://schemas.openxmlformats.org/officeDocument/2006/relationships/hyperlink" Target="https://en.wikipedia.org/wiki/Krishan_Kumar_(actor)" TargetMode="External" Id="rId174"/><Relationship Type="http://schemas.openxmlformats.org/officeDocument/2006/relationships/hyperlink" Target="https://en.wikipedia.org/wiki/Leslee_Lewis" TargetMode="External" Id="rId175"/><Relationship Type="http://schemas.openxmlformats.org/officeDocument/2006/relationships/hyperlink" Target="https://en.wikipedia.org/wiki/Lokesh_Kanagaraj" TargetMode="External" Id="rId176"/><Relationship Type="http://schemas.openxmlformats.org/officeDocument/2006/relationships/hyperlink" Target="https://en.wikipedia.org/wiki/Madhu_Mantena" TargetMode="External" Id="rId177"/><Relationship Type="http://schemas.openxmlformats.org/officeDocument/2006/relationships/hyperlink" Target="https://en.wikipedia.org/wiki/Mahesh_Elkunchwar" TargetMode="External" Id="rId178"/><Relationship Type="http://schemas.openxmlformats.org/officeDocument/2006/relationships/hyperlink" Target="https://en.wikipedia.org/wiki/Mithoon" TargetMode="External" Id="rId179"/><Relationship Type="http://schemas.openxmlformats.org/officeDocument/2006/relationships/hyperlink" Target="https://en.wikipedia.org/wiki/Paramount_Pictures" TargetMode="External" Id="rId180"/><Relationship Type="http://schemas.openxmlformats.org/officeDocument/2006/relationships/hyperlink" Target="https://en.wikipedia.org/wiki/Pathik_Vats" TargetMode="External" Id="rId181"/><Relationship Type="http://schemas.openxmlformats.org/officeDocument/2006/relationships/hyperlink" Target="https://en.wikipedia.org/wiki/Piyush_Mishra" TargetMode="External" Id="rId182"/><Relationship Type="http://schemas.openxmlformats.org/officeDocument/2006/relationships/hyperlink" Target="https://en.wikipedia.org/wiki/Pradeep_Uppoor" TargetMode="External" Id="rId183"/><Relationship Type="http://schemas.openxmlformats.org/officeDocument/2006/relationships/hyperlink" Target="https://en.wikipedia.org/wiki/Prasoon_Joshi" TargetMode="External" Id="rId184"/><Relationship Type="http://schemas.openxmlformats.org/officeDocument/2006/relationships/hyperlink" Target="https://en.wikipedia.org/wiki/PVR_Inox_Pictures" TargetMode="External" Id="rId185"/><Relationship Type="http://schemas.openxmlformats.org/officeDocument/2006/relationships/hyperlink" Target="https://en.wikipedia.org/wiki/Rahi_Masoom_Raza" TargetMode="External" Id="rId186"/><Relationship Type="http://schemas.openxmlformats.org/officeDocument/2006/relationships/hyperlink" Target="https://en.wikipedia.org/wiki/Rajat_Dholakia" TargetMode="External" Id="rId187"/><Relationship Type="http://schemas.openxmlformats.org/officeDocument/2006/relationships/hyperlink" Target="https://en.wikipedia.org/wiki/Rajesh_Roshan" TargetMode="External" Id="rId188"/><Relationship Type="http://schemas.openxmlformats.org/officeDocument/2006/relationships/hyperlink" Target="https://en.wikipedia.org/wiki/Ranjit_Barot" TargetMode="External" Id="rId189"/><Relationship Type="http://schemas.openxmlformats.org/officeDocument/2006/relationships/hyperlink" Target="https://en.wikipedia.org/wiki/Rensil_D'Silva" TargetMode="External" Id="rId190"/><Relationship Type="http://schemas.openxmlformats.org/officeDocument/2006/relationships/hyperlink" Target="https://en.wikipedia.org/wiki/Revathi" TargetMode="External" Id="rId191"/><Relationship Type="http://schemas.openxmlformats.org/officeDocument/2006/relationships/hyperlink" Target="https://en.wikipedia.org/wiki/Rochak_Kohli" TargetMode="External" Id="rId192"/><Relationship Type="http://schemas.openxmlformats.org/officeDocument/2006/relationships/hyperlink" Target="https://en.wikipedia.org/wiki/Salim%E2%80%93Javed" TargetMode="External" Id="rId193"/><Relationship Type="http://schemas.openxmlformats.org/officeDocument/2006/relationships/hyperlink" Target="https://en.wikipedia.org/wiki/Salim%E2%80%93Sulaiman" TargetMode="External" Id="rId194"/><Relationship Type="http://schemas.openxmlformats.org/officeDocument/2006/relationships/hyperlink" Target="https://en.wikipedia.org/wiki/Sangeeth_Sivan" TargetMode="External" Id="rId195"/><Relationship Type="http://schemas.openxmlformats.org/officeDocument/2006/relationships/hyperlink" Target="https://en.wikipedia.org/wiki/Sanjeev%E2%80%93Darshan" TargetMode="External" Id="rId196"/><Relationship Type="http://schemas.openxmlformats.org/officeDocument/2006/relationships/hyperlink" Target="https://en.wikipedia.org/wiki/Sanjoy_Chowdhury" TargetMode="External" Id="rId197"/><Relationship Type="http://schemas.openxmlformats.org/officeDocument/2006/relationships/hyperlink" Target="https://en.wikipedia.org/wiki/Santosh_Saroj" TargetMode="External" Id="rId198"/><Relationship Type="http://schemas.openxmlformats.org/officeDocument/2006/relationships/hyperlink" Target="https://en.wikipedia.org/wiki/Sharad_Joshi" TargetMode="External" Id="rId199"/><Relationship Type="http://schemas.openxmlformats.org/officeDocument/2006/relationships/hyperlink" Target="https://en.wikipedia.org/wiki/Shibani_Bathija" TargetMode="External" Id="rId200"/><Relationship Type="http://schemas.openxmlformats.org/officeDocument/2006/relationships/hyperlink" Target="https://en.wikipedia.org/wiki/Shiv%E2%80%93Hari" TargetMode="External" Id="rId201"/><Relationship Type="http://schemas.openxmlformats.org/officeDocument/2006/relationships/hyperlink" Target="https://en.wikipedia.org/wiki/Siddharth_Roy_Kapur" TargetMode="External" Id="rId202"/><Relationship Type="http://schemas.openxmlformats.org/officeDocument/2006/relationships/hyperlink" Target="https://en.wikipedia.org/wiki/Sikhya_Entertainment" TargetMode="External" Id="rId203"/><Relationship Type="http://schemas.openxmlformats.org/officeDocument/2006/relationships/hyperlink" Target="https://en.wikipedia.org/wiki/Sun_Pictures" TargetMode="External" Id="rId204"/><Relationship Type="http://schemas.openxmlformats.org/officeDocument/2006/relationships/hyperlink" Target="https://en.wikipedia.org/wiki/Suneel_Darshan" TargetMode="External" Id="rId205"/><Relationship Type="http://schemas.openxmlformats.org/officeDocument/2006/relationships/hyperlink" Target="https://en.wikipedia.org/wiki/Tanishk_Bagchi" TargetMode="External" Id="rId206"/><Relationship Type="http://schemas.openxmlformats.org/officeDocument/2006/relationships/hyperlink" Target="https://en.wikipedia.org/wiki/Disney_India" TargetMode="External" Id="rId207"/><Relationship Type="http://schemas.openxmlformats.org/officeDocument/2006/relationships/hyperlink" Target="https://en.wikipedia.org/wiki/Vanraj_Bhatia" TargetMode="External" Id="rId208"/><Relationship Type="http://schemas.openxmlformats.org/officeDocument/2006/relationships/hyperlink" Target="https://en.wikipedia.org/wiki/Viacom18_Studios" TargetMode="External" Id="rId209"/><Relationship Type="http://schemas.openxmlformats.org/officeDocument/2006/relationships/hyperlink" Target="https://en.wikipedia.org/wiki/Viju_Shah" TargetMode="External" Id="rId210"/><Relationship Type="http://schemas.openxmlformats.org/officeDocument/2006/relationships/hyperlink" Target="https://en.wikipedia.org/wiki/Vinay_Kumar_Sinha" TargetMode="External" Id="rId211"/><Relationship Type="http://schemas.openxmlformats.org/officeDocument/2006/relationships/hyperlink" Target="https://en.wikipedia.org/wiki/Vir_Das" TargetMode="External" Id="rId212"/><Relationship Type="http://schemas.openxmlformats.org/officeDocument/2006/relationships/hyperlink" Target="https://en.wikipedia.org/wiki/Zee_Studios" TargetMode="External" Id="rId213"/></Relationships>
</file>

<file path=xl/worksheets/sheet1.xml><?xml version="1.0" encoding="utf-8"?>
<worksheet xmlns="http://schemas.openxmlformats.org/spreadsheetml/2006/main">
  <sheetPr>
    <outlinePr summaryBelow="1" summaryRight="1"/>
    <pageSetUpPr/>
  </sheetPr>
  <dimension ref="A1:AN70"/>
  <sheetViews>
    <sheetView workbookViewId="0">
      <selection activeCell="A1" sqref="A1"/>
    </sheetView>
  </sheetViews>
  <sheetFormatPr baseColWidth="8" defaultRowHeight="15"/>
  <cols>
    <col width="40" customWidth="1" min="1" max="1"/>
    <col width="38" customWidth="1" min="2" max="2"/>
    <col width="14" customWidth="1" min="3" max="3"/>
    <col width="52" customWidth="1" min="4" max="4"/>
    <col width="14" customWidth="1" min="5" max="5"/>
    <col width="3" customWidth="1" min="6" max="6"/>
    <col hidden="1" width="13" customWidth="1" min="40" max="40"/>
  </cols>
  <sheetData>
    <row r="1">
      <c r="A1" s="1" t="inlineStr">
        <is>
          <t>Aamir Khan: Filmography Overview</t>
        </is>
      </c>
      <c r="AN1" t="inlineStr">
        <is>
          <t>Overall Relationship Classification</t>
        </is>
      </c>
    </row>
    <row r="2">
      <c r="A2" s="2" t="inlineStr">
        <is>
          <t>Generated 2026-10-08 from the research files. Research cutoff: 2026-09-12. Released feature-film acting appearances through 12 September 2026, including child roles, cameos, song appearances and a voice role. Excluded: the silent short Paranoia (1983); the documentaries Madness in the Desert (2004) and Big in Bollywood (2011); producer-only credits; television; and Lahore 1947 (released 14 August 2026, Wikipedia page now titled Batwara 1947), where he is credited only as producer. Pre-2000 box-office figures come from Wikipedia citations of trade sources and are graded down accordingly. Collaborators covers directors, producers or banners, composers and key writers with at least two of his films, plus directors of historically significant single collaborations. Awards covers documented Filmfare and National Film Award wins for his non-cameo films, all of Aamir Khan's own Filmfare nominations, his wins at other ceremonies, civilian honours, and major international awards and nominations.</t>
        </is>
      </c>
      <c r="AN2" t="inlineStr">
        <is>
          <t>Frictionless idealized romance</t>
        </is>
      </c>
    </row>
    <row r="3">
      <c r="AN3" t="inlineStr">
        <is>
          <t>United couple versus external world</t>
        </is>
      </c>
    </row>
    <row r="4">
      <c r="A4" s="3" t="inlineStr">
        <is>
          <t>Career summary</t>
        </is>
      </c>
      <c r="AN4" t="inlineStr">
        <is>
          <t>Friendship to love</t>
        </is>
      </c>
    </row>
    <row r="5">
      <c r="A5" s="4" t="inlineStr">
        <is>
          <t>Metric</t>
        </is>
      </c>
      <c r="B5" s="4" t="inlineStr">
        <is>
          <t>Value</t>
        </is>
      </c>
      <c r="C5" s="4" t="inlineStr">
        <is>
          <t>Method</t>
        </is>
      </c>
      <c r="D5" s="4" t="inlineStr">
        <is>
          <t>Notes</t>
        </is>
      </c>
      <c r="AN5" t="inlineStr">
        <is>
          <t>Rivals to lovers</t>
        </is>
      </c>
    </row>
    <row r="6" ht="19" customHeight="1">
      <c r="A6" s="5" t="inlineStr">
        <is>
          <t>Actor</t>
        </is>
      </c>
      <c r="B6" s="5" t="inlineStr">
        <is>
          <t>Aamir Khan</t>
        </is>
      </c>
      <c r="C6" s="5" t="inlineStr">
        <is>
          <t>Research file</t>
        </is>
      </c>
      <c r="D6" s="5" t="inlineStr"/>
      <c r="AN6" t="inlineStr">
        <is>
          <t>Playful conflict masking attraction</t>
        </is>
      </c>
    </row>
    <row r="7" ht="19" customHeight="1">
      <c r="A7" s="5" t="inlineStr">
        <is>
          <t>Career period</t>
        </is>
      </c>
      <c r="B7" s="5">
        <f>IF(COUNT(Films!$D$2:$D$58)=0,"n/a",MIN(Films!$D$2:$D$58)&amp;"–"&amp;MAX(Films!$D$2:$D$58))</f>
        <v/>
      </c>
      <c r="C7" s="5" t="inlineStr">
        <is>
          <t>Formula</t>
        </is>
      </c>
      <c r="D7" s="5" t="inlineStr">
        <is>
          <t>First to latest theatrical release year in Films</t>
        </is>
      </c>
      <c r="AN7" t="inlineStr">
        <is>
          <t>Genuine incompatibility gradually resolved</t>
        </is>
      </c>
    </row>
    <row r="8" ht="19" customHeight="1">
      <c r="A8" s="5" t="inlineStr">
        <is>
          <t>Research cutoff date</t>
        </is>
      </c>
      <c r="B8" s="6" t="n">
        <v>46277</v>
      </c>
      <c r="C8" s="5" t="inlineStr">
        <is>
          <t>Research file</t>
        </is>
      </c>
      <c r="D8" s="5" t="inlineStr"/>
      <c r="AN8" t="inlineStr">
        <is>
          <t>Established relationship</t>
        </is>
      </c>
    </row>
    <row r="9" ht="19" customHeight="1">
      <c r="A9" s="5" t="inlineStr">
        <is>
          <t>Total released acting films</t>
        </is>
      </c>
      <c r="B9" s="5">
        <f>COUNTA(Films!$A$2:$A$58)</f>
        <v/>
      </c>
      <c r="C9" s="5" t="inlineStr">
        <is>
          <t>Formula</t>
        </is>
      </c>
      <c r="D9" s="5" t="inlineStr"/>
      <c r="AN9" t="inlineStr">
        <is>
          <t>Marriage under strain</t>
        </is>
      </c>
    </row>
    <row r="10" ht="19" customHeight="1">
      <c r="A10" s="5" t="inlineStr">
        <is>
          <t>Lead and co-lead films</t>
        </is>
      </c>
      <c r="B10" s="5">
        <f>COUNTIF(Films!$T$2:$T$58,"Lead")+COUNTIF(Films!$T$2:$T$58,"Co-lead")+COUNTIF(Films!$T$2:$T$58,"Ensemble lead")</f>
        <v/>
      </c>
      <c r="C10" s="5" t="inlineStr">
        <is>
          <t>Formula</t>
        </is>
      </c>
      <c r="D10" s="5" t="inlineStr">
        <is>
          <t>Role Type: Lead, Co-lead, Ensemble lead</t>
        </is>
      </c>
      <c r="AN10" t="inlineStr">
        <is>
          <t>Relationship damaged by mistrust</t>
        </is>
      </c>
    </row>
    <row r="11" ht="19" customHeight="1">
      <c r="A11" s="5" t="inlineStr">
        <is>
          <t>Supporting roles</t>
        </is>
      </c>
      <c r="B11" s="5">
        <f>COUNTIF(Films!$T$2:$T$58,"Supporting")+COUNTIF(Films!$T$2:$T$58,"Antagonist")</f>
        <v/>
      </c>
      <c r="C11" s="5" t="inlineStr">
        <is>
          <t>Formula</t>
        </is>
      </c>
      <c r="D11" s="5" t="inlineStr">
        <is>
          <t>Role Type: Supporting, Antagonist</t>
        </is>
      </c>
      <c r="AN11" t="inlineStr">
        <is>
          <t>Relationship manipulated by outsiders</t>
        </is>
      </c>
    </row>
    <row r="12" ht="19" customHeight="1">
      <c r="A12" s="5" t="inlineStr">
        <is>
          <t>Cameos and special appearances</t>
        </is>
      </c>
      <c r="B12" s="5">
        <f>COUNTIF(Films!$T$2:$T$58,"Cameo")+COUNTIF(Films!$T$2:$T$58,"Extended special appearance")+COUNTIF(Films!$T$2:$T$58,"Self appearance")</f>
        <v/>
      </c>
      <c r="C12" s="5" t="inlineStr">
        <is>
          <t>Formula</t>
        </is>
      </c>
      <c r="D12" s="5" t="inlineStr">
        <is>
          <t>Role Type: Cameo, Extended special appearance, Self appearance</t>
        </is>
      </c>
      <c r="AN12" t="inlineStr">
        <is>
          <t>Forbidden love</t>
        </is>
      </c>
    </row>
    <row r="13" ht="19" customHeight="1">
      <c r="A13" s="5" t="inlineStr">
        <is>
          <t>Voice, narration and child roles</t>
        </is>
      </c>
      <c r="B13" s="5">
        <f>COUNTIF(Films!$T$2:$T$58,"Voice role")+COUNTIF(Films!$T$2:$T$58,"Narrator")+COUNTIF(Films!$T$2:$T$58,"Child role")</f>
        <v/>
      </c>
      <c r="C13" s="5" t="inlineStr">
        <is>
          <t>Formula</t>
        </is>
      </c>
      <c r="D13" s="5" t="inlineStr">
        <is>
          <t>Role Type: Voice role, Narrator, Child role</t>
        </is>
      </c>
      <c r="AN13" t="inlineStr">
        <is>
          <t>Unrequited love</t>
        </is>
      </c>
    </row>
    <row r="14" ht="19" customHeight="1">
      <c r="A14" s="5" t="inlineStr">
        <is>
          <t>Films with central romance</t>
        </is>
      </c>
      <c r="B14" s="5">
        <f>COUNTIF(Films!$AE$2:$AE$58,"Central")</f>
        <v/>
      </c>
      <c r="C14" s="5" t="inlineStr">
        <is>
          <t>Formula</t>
        </is>
      </c>
      <c r="D14" s="5" t="inlineStr">
        <is>
          <t>Romance Presence: Central</t>
        </is>
      </c>
      <c r="AN14" t="inlineStr">
        <is>
          <t>Love triangle</t>
        </is>
      </c>
    </row>
    <row r="15" ht="19" customHeight="1">
      <c r="A15" s="5" t="inlineStr">
        <is>
          <t>Films with major romance</t>
        </is>
      </c>
      <c r="B15" s="5">
        <f>COUNTIF(Films!$AE$2:$AE$58,"Major")</f>
        <v/>
      </c>
      <c r="C15" s="5" t="inlineStr">
        <is>
          <t>Formula</t>
        </is>
      </c>
      <c r="D15" s="5" t="inlineStr">
        <is>
          <t>Romance Presence: Major</t>
        </is>
      </c>
      <c r="AN15" t="inlineStr">
        <is>
          <t>Tragic lovers</t>
        </is>
      </c>
    </row>
    <row r="16" ht="19" customHeight="1">
      <c r="A16" s="5" t="inlineStr">
        <is>
          <t>Films with secondary romance</t>
        </is>
      </c>
      <c r="B16" s="5">
        <f>COUNTIF(Films!$AE$2:$AE$58,"Secondary")</f>
        <v/>
      </c>
      <c r="C16" s="5" t="inlineStr">
        <is>
          <t>Formula</t>
        </is>
      </c>
      <c r="D16" s="5" t="inlineStr">
        <is>
          <t>Romance Presence: Secondary</t>
        </is>
      </c>
      <c r="AN16" t="inlineStr">
        <is>
          <t>Unequal or coercive relationship</t>
        </is>
      </c>
    </row>
    <row r="17" ht="19" customHeight="1">
      <c r="A17" s="5" t="inlineStr">
        <is>
          <t>Films with minor or implied romance</t>
        </is>
      </c>
      <c r="B17" s="5">
        <f>COUNTIF(Films!$AE$2:$AE$58,"Minor")+COUNTIF(Films!$AE$2:$AE$58,"Implied")</f>
        <v/>
      </c>
      <c r="C17" s="5" t="inlineStr">
        <is>
          <t>Formula</t>
        </is>
      </c>
      <c r="D17" s="5" t="inlineStr">
        <is>
          <t>Romance Presence: Minor, Implied</t>
        </is>
      </c>
      <c r="AN17" t="inlineStr">
        <is>
          <t>Obsessive pursuit</t>
        </is>
      </c>
    </row>
    <row r="18" ht="19" customHeight="1">
      <c r="A18" s="5" t="inlineStr">
        <is>
          <t>Films without meaningful romance</t>
        </is>
      </c>
      <c r="B18" s="5">
        <f>COUNTIF(Films!$AE$2:$AE$58,"None")</f>
        <v/>
      </c>
      <c r="C18" s="5" t="inlineStr">
        <is>
          <t>Formula</t>
        </is>
      </c>
      <c r="D18" s="5" t="inlineStr">
        <is>
          <t>Romance Presence: None</t>
        </is>
      </c>
      <c r="AN18" t="inlineStr">
        <is>
          <t>Romance subordinate to another genre</t>
        </is>
      </c>
    </row>
    <row r="19" ht="19" customHeight="1">
      <c r="A19" s="5" t="inlineStr">
        <is>
          <t>Distinct principal female co-stars</t>
        </is>
      </c>
      <c r="B19" s="5" t="n">
        <v>40</v>
      </c>
      <c r="C19" s="5" t="inlineStr">
        <is>
          <t>Build script</t>
        </is>
      </c>
      <c r="D19" s="5" t="inlineStr">
        <is>
          <t>Distinct names in Principal Female Lead or Leads</t>
        </is>
      </c>
      <c r="AN19" t="inlineStr">
        <is>
          <t>Multiple romantic relationships</t>
        </is>
      </c>
    </row>
    <row r="20" ht="19" customHeight="1">
      <c r="A20" s="5" t="inlineStr">
        <is>
          <t>Romantic pairings recorded</t>
        </is>
      </c>
      <c r="B20" s="5">
        <f>COUNTA(Romances!$A$2:$A$38)</f>
        <v/>
      </c>
      <c r="C20" s="5" t="inlineStr">
        <is>
          <t>Formula</t>
        </is>
      </c>
      <c r="D20" s="5" t="inlineStr"/>
      <c r="AN20" t="inlineStr">
        <is>
          <t>No meaningful romance</t>
        </is>
      </c>
    </row>
    <row r="21" ht="19" customHeight="1">
      <c r="A21" s="5" t="inlineStr">
        <is>
          <t>Most frequent romantic co-star</t>
        </is>
      </c>
      <c r="B21" s="5" t="inlineStr">
        <is>
          <t>Juhi Chawla (6 films)</t>
        </is>
      </c>
      <c r="C21" s="5" t="inlineStr">
        <is>
          <t>Build script</t>
        </is>
      </c>
      <c r="D21" s="5" t="inlineStr">
        <is>
          <t>Films with a Romances row for her</t>
        </is>
      </c>
    </row>
    <row r="22" ht="34" customHeight="1">
      <c r="A22" s="5" t="inlineStr">
        <is>
          <t>Most frequent director</t>
        </is>
      </c>
      <c r="B22" s="5" t="inlineStr">
        <is>
          <t>Ashutosh Gowariker; Indra Kumar; Mansoor Khan; Zoya Akhtar (3 films each)</t>
        </is>
      </c>
      <c r="C22" s="5" t="inlineStr">
        <is>
          <t>Build script</t>
        </is>
      </c>
      <c r="D22" s="5" t="inlineStr"/>
    </row>
    <row r="23" ht="19" customHeight="1">
      <c r="A23" s="5" t="inlineStr">
        <is>
          <t>Most frequent producer or production banner</t>
        </is>
      </c>
      <c r="B23" s="5" t="inlineStr">
        <is>
          <t>Aamir Khan Productions (11 films)</t>
        </is>
      </c>
      <c r="C23" s="5" t="inlineStr">
        <is>
          <t>Build script</t>
        </is>
      </c>
      <c r="D23" s="5" t="inlineStr">
        <is>
          <t>From Production Banner</t>
        </is>
      </c>
    </row>
    <row r="24" ht="19" customHeight="1">
      <c r="A24" s="5" t="inlineStr">
        <is>
          <t>Most frequent music director</t>
        </is>
      </c>
      <c r="B24" s="5" t="inlineStr">
        <is>
          <t>A. R. Rahman; Anand–Milind (6 films each)</t>
        </is>
      </c>
      <c r="C24" s="5" t="inlineStr">
        <is>
          <t>Build script</t>
        </is>
      </c>
      <c r="D24" s="5" t="inlineStr">
        <is>
          <t>From Song Composer</t>
        </is>
      </c>
    </row>
    <row r="25" ht="19" customHeight="1">
      <c r="A25" s="5" t="inlineStr">
        <is>
          <t>Average pair-friction score</t>
        </is>
      </c>
      <c r="B25" s="7">
        <f>IFERROR(ROUND(AVERAGE(Romances!$Q$2:$Q$38),1),"n/a")</f>
        <v/>
      </c>
      <c r="C25" s="5" t="inlineStr">
        <is>
          <t>Formula</t>
        </is>
      </c>
      <c r="D25" s="5" t="inlineStr">
        <is>
          <t>Per pairing</t>
        </is>
      </c>
    </row>
    <row r="26" ht="19" customHeight="1">
      <c r="A26" s="5" t="inlineStr">
        <is>
          <t>Average external-opposition score</t>
        </is>
      </c>
      <c r="B26" s="7">
        <f>IFERROR(ROUND(AVERAGE(Romances!$S$2:$S$38),1),"n/a")</f>
        <v/>
      </c>
      <c r="C26" s="5" t="inlineStr">
        <is>
          <t>Formula</t>
        </is>
      </c>
      <c r="D26" s="5" t="inlineStr">
        <is>
          <t>Per pairing</t>
        </is>
      </c>
    </row>
    <row r="27" ht="19" customHeight="1">
      <c r="A27" s="5" t="inlineStr">
        <is>
          <t>Average lover-boy score</t>
        </is>
      </c>
      <c r="B27" s="7">
        <f>IFERROR(ROUND(AVERAGE(Romances!$V$2:$V$38),1),"n/a")</f>
        <v/>
      </c>
      <c r="C27" s="5" t="inlineStr">
        <is>
          <t>Formula</t>
        </is>
      </c>
      <c r="D27" s="5" t="inlineStr">
        <is>
          <t>Per pairing</t>
        </is>
      </c>
    </row>
    <row r="28" ht="19" customHeight="1">
      <c r="A28" s="5" t="inlineStr">
        <is>
          <t>Average romance-centrality score</t>
        </is>
      </c>
      <c r="B28" s="7">
        <f>IFERROR(ROUND(AVERAGE(Films!$AF$2:$AF$58),1),"n/a")</f>
        <v/>
      </c>
      <c r="C28" s="5" t="inlineStr">
        <is>
          <t>Formula</t>
        </is>
      </c>
      <c r="D28" s="5" t="inlineStr">
        <is>
          <t>Per film</t>
        </is>
      </c>
    </row>
    <row r="29" ht="49" customHeight="1">
      <c r="A29" s="5" t="inlineStr">
        <is>
          <t>Highest-grossing film</t>
        </is>
      </c>
      <c r="B29" s="5" t="inlineStr">
        <is>
          <t>Dangal (2016): 2,024 INR crore</t>
        </is>
      </c>
      <c r="C29" s="5" t="inlineStr">
        <is>
          <t>Build script</t>
        </is>
      </c>
      <c r="D29" s="5" t="inlineStr">
        <is>
          <t>Largest nominal worldwide gross among 14 film(s) reported in INR crore; not inflation-adjusted; 3 film(s) with ranged or disputed figures excluded</t>
        </is>
      </c>
    </row>
    <row r="30" ht="34" customHeight="1">
      <c r="A30" s="5" t="inlineStr">
        <is>
          <t>Award wins received by the actor</t>
        </is>
      </c>
      <c r="B30" s="5">
        <f>COUNTIFS(Awards!$I$2:$I$144,"Win",Awards!$G$2:$G$144,"*Aamir Khan*")</f>
        <v/>
      </c>
      <c r="C30" s="5" t="inlineStr">
        <is>
          <t>Formula</t>
        </is>
      </c>
      <c r="D30" s="5" t="inlineStr">
        <is>
          <t>Awards rows whose Recipient includes the actor, in any capacity: acting, directing, producing, honours</t>
        </is>
      </c>
    </row>
    <row r="31" ht="19" customHeight="1">
      <c r="A31" s="5" t="inlineStr">
        <is>
          <t>Acting award wins</t>
        </is>
      </c>
      <c r="B31" s="5">
        <f>COUNTIFS(Awards!$I$2:$I$144,"Win",Awards!$G$2:$G$144,"*Aamir Khan*",Awards!$H$2:$H$144,"Actor")</f>
        <v/>
      </c>
      <c r="C31" s="5" t="inlineStr">
        <is>
          <t>Formula</t>
        </is>
      </c>
      <c r="D31" s="5" t="inlineStr">
        <is>
          <t>As above, limited to Recipient Type 'Actor'</t>
        </is>
      </c>
    </row>
    <row r="32" ht="19" customHeight="1">
      <c r="A32" s="5" t="inlineStr">
        <is>
          <t>Award nominations received by the actor</t>
        </is>
      </c>
      <c r="B32" s="5">
        <f>COUNTIFS(Awards!$I$2:$I$144,"Nomination",Awards!$G$2:$G$144,"*Aamir Khan*")</f>
        <v/>
      </c>
      <c r="C32" s="5" t="inlineStr">
        <is>
          <t>Formula</t>
        </is>
      </c>
      <c r="D32" s="5" t="inlineStr">
        <is>
          <t>Nominations that did not win</t>
        </is>
      </c>
    </row>
    <row r="33" ht="19" customHeight="1">
      <c r="A33" s="5" t="inlineStr">
        <is>
          <t>Award wins for his films (all recipients)</t>
        </is>
      </c>
      <c r="B33" s="5">
        <f>COUNTIF(Awards!$I$2:$I$144,"Win")</f>
        <v/>
      </c>
      <c r="C33" s="5" t="inlineStr">
        <is>
          <t>Formula</t>
        </is>
      </c>
      <c r="D33" s="5" t="inlineStr"/>
    </row>
    <row r="34" ht="19" customHeight="1">
      <c r="A34" s="5" t="inlineStr">
        <is>
          <t>Source-confidence summary (films)</t>
        </is>
      </c>
      <c r="B34" s="5">
        <f>"High "&amp;COUNTIF(Films!$AS$2:$AS$58,"High")&amp;" · "&amp;"Medium "&amp;COUNTIF(Films!$AS$2:$AS$58,"Medium")&amp;" · "&amp;"Low "&amp;COUNTIF(Films!$AS$2:$AS$58,"Low")&amp;" · "&amp;"Unknown "&amp;COUNTIF(Films!$AS$2:$AS$58,"Unknown")</f>
        <v/>
      </c>
      <c r="C34" s="5" t="inlineStr">
        <is>
          <t>Formula</t>
        </is>
      </c>
      <c r="D34" s="5" t="inlineStr">
        <is>
          <t>Confidence Grade in Films</t>
        </is>
      </c>
    </row>
    <row r="35" ht="34" customHeight="1">
      <c r="A35" s="5" t="inlineStr">
        <is>
          <t>Sources by reliability tier</t>
        </is>
      </c>
      <c r="B35" s="5">
        <f>"A "&amp;COUNTIF(Sources!$L$2:$L$215,"A")&amp;" · "&amp;"B "&amp;COUNTIF(Sources!$L$2:$L$215,"B")&amp;" · "&amp;"C "&amp;COUNTIF(Sources!$L$2:$L$215,"C")&amp;" · "&amp;"D "&amp;COUNTIF(Sources!$L$2:$L$215,"D")</f>
        <v/>
      </c>
      <c r="C35" s="5" t="inlineStr">
        <is>
          <t>Formula</t>
        </is>
      </c>
      <c r="D35" s="5" t="inlineStr">
        <is>
          <t>A official · B reputable press · C reference databases · D weak</t>
        </is>
      </c>
    </row>
    <row r="37">
      <c r="A37" s="3" t="inlineStr">
        <is>
          <t>Career phases</t>
        </is>
      </c>
    </row>
    <row r="38">
      <c r="A38" s="4" t="inlineStr">
        <is>
          <t>Phase</t>
        </is>
      </c>
      <c r="B38" s="4" t="inlineStr">
        <is>
          <t>Years</t>
        </is>
      </c>
      <c r="C38" s="4" t="inlineStr">
        <is>
          <t>Films</t>
        </is>
      </c>
      <c r="D38" s="4" t="inlineStr">
        <is>
          <t>Summary</t>
        </is>
      </c>
      <c r="E38" s="4" t="inlineStr">
        <is>
          <t>Avg lover-boy score</t>
        </is>
      </c>
    </row>
    <row r="39" ht="34" customHeight="1">
      <c r="A39" s="5" t="inlineStr">
        <is>
          <t>Child actor</t>
        </is>
      </c>
      <c r="B39" s="5" t="inlineStr">
        <is>
          <t>1973–1974</t>
        </is>
      </c>
      <c r="C39" s="8">
        <f>COUNTIFS(Films!$D$2:$D$58,"&gt;=1973",Films!$D$2:$D$58,"&lt;=1974")</f>
        <v/>
      </c>
      <c r="D39" s="5" t="inlineStr">
        <is>
          <t>Brief child roles in two films, including the title song of his uncle Nasir Hussain's Yaadon Ki Baaraat.</t>
        </is>
      </c>
      <c r="E39" s="7">
        <f>IFERROR(ROUND(AVERAGEIFS(Romances!$V$2:$V$38,Romances!$D$2:$D$38,"&gt;=1973",Romances!$D$2:$D$38,"&lt;=1974"),1),"n/a")</f>
        <v/>
      </c>
    </row>
    <row r="40" ht="64" customHeight="1">
      <c r="A40" s="5" t="inlineStr">
        <is>
          <t>Early romantic-hero phase</t>
        </is>
      </c>
      <c r="B40" s="5" t="inlineStr">
        <is>
          <t>1984–1994</t>
        </is>
      </c>
      <c r="C40" s="8">
        <f>COUNTIFS(Films!$D$2:$D$58,"&gt;=1984",Films!$D$2:$D$58,"&lt;=1994")</f>
        <v/>
      </c>
      <c r="D40" s="5" t="inlineStr">
        <is>
          <t>After the parallel-cinema Holi, Qayamat Se Qayamat Tak made him a teenage romantic lead; most films pair a young couple against feuding or class-proud families, often opposite Juhi Chawla.</t>
        </is>
      </c>
      <c r="E40" s="7">
        <f>IFERROR(ROUND(AVERAGEIFS(Romances!$V$2:$V$38,Romances!$D$2:$D$38,"&gt;=1984",Romances!$D$2:$D$38,"&lt;=1994"),1),"n/a")</f>
        <v/>
      </c>
    </row>
    <row r="41" ht="49" customHeight="1">
      <c r="A41" s="5" t="inlineStr">
        <is>
          <t>Star consolidation and genre range</t>
        </is>
      </c>
      <c r="B41" s="5" t="inlineStr">
        <is>
          <t>1995–2001</t>
        </is>
      </c>
      <c r="C41" s="8">
        <f>COUNTIFS(Films!$D$2:$D$58,"&gt;=1995",Films!$D$2:$D$58,"&lt;=2001")</f>
        <v/>
      </c>
      <c r="D41" s="5" t="inlineStr">
        <is>
          <t>Rangeela, Raja Hindustani and Ghulam move him to street-smart and working-class lovers; Sarfarosh, Earth and Lagaan widen his range, and romance becomes one strand among others.</t>
        </is>
      </c>
      <c r="E41" s="7">
        <f>IFERROR(ROUND(AVERAGEIFS(Romances!$V$2:$V$38,Romances!$D$2:$D$38,"&gt;=1995",Romances!$D$2:$D$38,"&lt;=2001"),1),"n/a")</f>
        <v/>
      </c>
    </row>
    <row r="42" ht="49" customHeight="1">
      <c r="A42" s="5" t="inlineStr">
        <is>
          <t>Selective prestige lead phase</t>
        </is>
      </c>
      <c r="B42" s="5" t="inlineStr">
        <is>
          <t>2005–2014</t>
        </is>
      </c>
      <c r="C42" s="8">
        <f>COUNTIFS(Films!$D$2:$D$58,"&gt;=2005",Films!$D$2:$D$58,"&lt;=2014")</f>
        <v/>
      </c>
      <c r="D42" s="5" t="inlineStr">
        <is>
          <t>Roughly one film a year, mostly event films with social or historical themes; romance is usually subordinate, with Fanaa and Ghajini the main exceptions.</t>
        </is>
      </c>
      <c r="E42" s="7">
        <f>IFERROR(ROUND(AVERAGEIFS(Romances!$V$2:$V$38,Romances!$D$2:$D$38,"&gt;=2005",Romances!$D$2:$D$38,"&lt;=2014"),1),"n/a")</f>
        <v/>
      </c>
    </row>
    <row r="43" ht="64" customHeight="1">
      <c r="A43" s="5" t="inlineStr">
        <is>
          <t>Character-actor and producer phase</t>
        </is>
      </c>
      <c r="B43" s="5" t="inlineStr">
        <is>
          <t>2015–2026</t>
        </is>
      </c>
      <c r="C43" s="8">
        <f>COUNTIFS(Films!$D$2:$D$58,"&gt;=2015",Films!$D$2:$D$58,"&lt;=2026")</f>
        <v/>
      </c>
      <c r="D43" s="5" t="inlineStr">
        <is>
          <t>Older, flawed or comic characters (Dangal, Secret Superstar, Sitaare Zameen Par), a voice role, song cameos and special appearances; romance appears mainly as marriage or unrequited devotion.</t>
        </is>
      </c>
      <c r="E43" s="7">
        <f>IFERROR(ROUND(AVERAGEIFS(Romances!$V$2:$V$38,Romances!$D$2:$D$38,"&gt;=2015",Romances!$D$2:$D$38,"&lt;=2026"),1),"n/a")</f>
        <v/>
      </c>
    </row>
    <row r="45">
      <c r="A45" s="3" t="inlineStr">
        <is>
          <t>Romantic co-stars (top 10)</t>
        </is>
      </c>
    </row>
    <row r="46">
      <c r="A46" s="4" t="inlineStr">
        <is>
          <t>Actress</t>
        </is>
      </c>
      <c r="B46" s="4" t="inlineStr">
        <is>
          <t>Films with a pairing</t>
        </is>
      </c>
    </row>
    <row r="47" ht="19" customHeight="1">
      <c r="A47" s="5" t="inlineStr">
        <is>
          <t>Juhi Chawla</t>
        </is>
      </c>
      <c r="B47" s="5" t="n">
        <v>6</v>
      </c>
    </row>
    <row r="48" ht="19" customHeight="1">
      <c r="A48" s="5" t="inlineStr">
        <is>
          <t>Rani Mukerji</t>
        </is>
      </c>
      <c r="B48" s="5" t="n">
        <v>3</v>
      </c>
    </row>
    <row r="49" ht="19" customHeight="1">
      <c r="A49" s="5" t="inlineStr">
        <is>
          <t>Madhuri Dixit</t>
        </is>
      </c>
      <c r="B49" s="5" t="n">
        <v>2</v>
      </c>
    </row>
    <row r="50" ht="19" customHeight="1">
      <c r="A50" s="5" t="inlineStr">
        <is>
          <t>Manisha Koirala</t>
        </is>
      </c>
      <c r="B50" s="5" t="n">
        <v>2</v>
      </c>
    </row>
    <row r="51" ht="19" customHeight="1">
      <c r="A51" s="5" t="inlineStr">
        <is>
          <t>Kareena Kapoor</t>
        </is>
      </c>
      <c r="B51" s="5" t="n">
        <v>2</v>
      </c>
    </row>
    <row r="52" ht="19" customHeight="1">
      <c r="A52" s="5" t="inlineStr">
        <is>
          <t>Supriya Pathak</t>
        </is>
      </c>
      <c r="B52" s="5" t="n">
        <v>1</v>
      </c>
    </row>
    <row r="53" ht="19" customHeight="1">
      <c r="A53" s="5" t="inlineStr">
        <is>
          <t>Farha Naaz</t>
        </is>
      </c>
      <c r="B53" s="5" t="n">
        <v>1</v>
      </c>
    </row>
    <row r="54" ht="19" customHeight="1">
      <c r="A54" s="5" t="inlineStr">
        <is>
          <t>Neelam</t>
        </is>
      </c>
      <c r="B54" s="5" t="n">
        <v>1</v>
      </c>
    </row>
    <row r="55" ht="19" customHeight="1">
      <c r="A55" s="5" t="inlineStr">
        <is>
          <t>Pooja Bhatt</t>
        </is>
      </c>
      <c r="B55" s="5" t="n">
        <v>1</v>
      </c>
    </row>
    <row r="56" ht="19" customHeight="1">
      <c r="A56" s="5" t="inlineStr">
        <is>
          <t>Pooja Bedi</t>
        </is>
      </c>
      <c r="B56" s="5" t="n">
        <v>1</v>
      </c>
    </row>
    <row r="58">
      <c r="A58" s="3" t="inlineStr">
        <is>
          <t>Romance centrality by decade</t>
        </is>
      </c>
    </row>
    <row r="59">
      <c r="A59" s="4" t="inlineStr">
        <is>
          <t>Decade</t>
        </is>
      </c>
      <c r="B59" s="4" t="inlineStr">
        <is>
          <t>Films</t>
        </is>
      </c>
      <c r="C59" s="4" t="inlineStr">
        <is>
          <t>Avg romance centrality</t>
        </is>
      </c>
    </row>
    <row r="60" ht="19" customHeight="1">
      <c r="A60" s="5" t="inlineStr">
        <is>
          <t>1970s</t>
        </is>
      </c>
      <c r="B60" s="8" t="n">
        <v>2</v>
      </c>
      <c r="C60" s="7" t="n">
        <v>0</v>
      </c>
    </row>
    <row r="61" ht="19" customHeight="1">
      <c r="A61" s="5" t="inlineStr">
        <is>
          <t>1980s</t>
        </is>
      </c>
      <c r="B61" s="8" t="n">
        <v>4</v>
      </c>
      <c r="C61" s="7" t="n">
        <v>5.8</v>
      </c>
    </row>
    <row r="62" ht="19" customHeight="1">
      <c r="A62" s="5" t="inlineStr">
        <is>
          <t>1990s</t>
        </is>
      </c>
      <c r="B62" s="8" t="n">
        <v>25</v>
      </c>
      <c r="C62" s="7" t="n">
        <v>6</v>
      </c>
    </row>
    <row r="63" ht="19" customHeight="1">
      <c r="A63" s="5" t="inlineStr">
        <is>
          <t>2000s</t>
        </is>
      </c>
      <c r="B63" s="8" t="n">
        <v>10</v>
      </c>
      <c r="C63" s="7" t="n">
        <v>4.5</v>
      </c>
    </row>
    <row r="64" ht="19" customHeight="1">
      <c r="A64" s="5" t="inlineStr">
        <is>
          <t>2010s</t>
        </is>
      </c>
      <c r="B64" s="8" t="n">
        <v>10</v>
      </c>
      <c r="C64" s="7" t="n">
        <v>1.8</v>
      </c>
    </row>
    <row r="65" ht="19" customHeight="1">
      <c r="A65" s="5" t="inlineStr">
        <is>
          <t>2020s</t>
        </is>
      </c>
      <c r="B65" s="8" t="n">
        <v>6</v>
      </c>
      <c r="C65" s="7" t="n">
        <v>1.8</v>
      </c>
    </row>
    <row r="67">
      <c r="A67" s="3" t="inlineStr">
        <is>
          <t>Column colour key</t>
        </is>
      </c>
    </row>
    <row r="68">
      <c r="A68" s="9" t="inlineStr">
        <is>
          <t>Fact</t>
        </is>
      </c>
      <c r="B68" t="inlineStr">
        <is>
          <t>Fact: credits, dates, figures and descriptive fields</t>
        </is>
      </c>
    </row>
    <row r="69">
      <c r="A69" s="10" t="inlineStr">
        <is>
          <t>Score</t>
        </is>
      </c>
      <c r="B69" t="inlineStr">
        <is>
          <t>Score (0–10): cells shaded white (0) to orange (10)</t>
        </is>
      </c>
    </row>
    <row r="70">
      <c r="A70" s="11" t="inlineStr">
        <is>
          <t>Analysis</t>
        </is>
      </c>
      <c r="B70" t="inlineStr">
        <is>
          <t>Interpretive analysis: header green, cells tinted green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T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2" customWidth="1" min="3" max="3"/>
    <col width="9" customWidth="1" min="4" max="4"/>
    <col width="9" customWidth="1" min="5" max="5"/>
    <col width="14" customWidth="1" min="6" max="6"/>
    <col width="16" customWidth="1" min="7" max="7"/>
    <col width="16" customWidth="1" min="8" max="8"/>
    <col width="10" customWidth="1" min="9" max="9"/>
    <col width="22" customWidth="1" min="10" max="10"/>
    <col width="26" customWidth="1" min="11" max="11"/>
    <col width="24" customWidth="1" min="12" max="12"/>
    <col width="26" customWidth="1" min="13" max="13"/>
    <col width="26" customWidth="1" min="14" max="14"/>
    <col width="22" customWidth="1" min="15" max="15"/>
    <col width="22" customWidth="1" min="16" max="16"/>
    <col width="22" customWidth="1" min="17" max="17"/>
    <col width="20" customWidth="1" min="18" max="18"/>
    <col width="22" customWidth="1" min="19" max="19"/>
    <col width="20" customWidth="1" min="20" max="20"/>
    <col width="11" customWidth="1" min="21" max="21"/>
    <col width="22" customWidth="1" min="22" max="22"/>
    <col width="26" customWidth="1" min="23" max="23"/>
    <col width="60" customWidth="1" min="24" max="24"/>
    <col width="36" customWidth="1" min="25" max="25"/>
    <col width="36" customWidth="1" min="26" max="26"/>
    <col width="40" customWidth="1" min="27" max="27"/>
    <col width="18" customWidth="1" min="28" max="28"/>
    <col width="30" customWidth="1" min="29" max="29"/>
    <col width="26" customWidth="1" min="30" max="30"/>
    <col width="14" customWidth="1" min="31" max="31"/>
    <col width="10" customWidth="1" min="32" max="32"/>
    <col width="30" customWidth="1" min="33" max="33"/>
    <col width="15" customWidth="1" min="34" max="34"/>
    <col width="15" customWidth="1" min="35" max="35"/>
    <col width="15" customWidth="1" min="36" max="36"/>
    <col width="15" customWidth="1" min="37" max="37"/>
    <col width="15" customWidth="1" min="38" max="38"/>
    <col width="13" customWidth="1" min="39" max="39"/>
    <col width="16" customWidth="1" min="40" max="40"/>
    <col width="11" customWidth="1" min="41" max="41"/>
    <col width="45" customWidth="1" min="42" max="42"/>
    <col width="40" customWidth="1" min="43" max="43"/>
    <col width="22" customWidth="1" min="44" max="44"/>
    <col width="12" customWidth="1" min="45" max="45"/>
    <col width="45" customWidth="1" min="46" max="46"/>
  </cols>
  <sheetData>
    <row r="1" ht="51" customHeight="1">
      <c r="A1" s="12" t="inlineStr">
        <is>
          <t>Film ID</t>
        </is>
      </c>
      <c r="B1" s="12" t="inlineStr">
        <is>
          <t>Title</t>
        </is>
      </c>
      <c r="C1" s="12" t="inlineStr">
        <is>
          <t>Release Date</t>
        </is>
      </c>
      <c r="D1" s="12" t="inlineStr">
        <is>
          <t>Release Year</t>
        </is>
      </c>
      <c r="E1" s="12" t="inlineStr">
        <is>
          <t>Decade</t>
        </is>
      </c>
      <c r="F1" s="12" t="inlineStr">
        <is>
          <t>Language</t>
        </is>
      </c>
      <c r="G1" s="12" t="inlineStr">
        <is>
          <t>Genre</t>
        </is>
      </c>
      <c r="H1" s="12" t="inlineStr">
        <is>
          <t>Secondary Genre</t>
        </is>
      </c>
      <c r="I1" s="12" t="inlineStr">
        <is>
          <t>Runtime</t>
        </is>
      </c>
      <c r="J1" s="12" t="inlineStr">
        <is>
          <t>Director</t>
        </is>
      </c>
      <c r="K1" s="12" t="inlineStr">
        <is>
          <t>Producer or Producers</t>
        </is>
      </c>
      <c r="L1" s="12" t="inlineStr">
        <is>
          <t>Production Banner</t>
        </is>
      </c>
      <c r="M1" s="12" t="inlineStr">
        <is>
          <t>Writer or Writers</t>
        </is>
      </c>
      <c r="N1" s="12" t="inlineStr">
        <is>
          <t>Source Material or Remake Status</t>
        </is>
      </c>
      <c r="O1" s="12" t="inlineStr">
        <is>
          <t>Song Composer</t>
        </is>
      </c>
      <c r="P1" s="12" t="inlineStr">
        <is>
          <t>Background-Score Composer</t>
        </is>
      </c>
      <c r="Q1" s="12" t="inlineStr">
        <is>
          <t>Lyricist</t>
        </is>
      </c>
      <c r="R1" s="12" t="inlineStr">
        <is>
          <t>Actor’s Character</t>
        </is>
      </c>
      <c r="S1" s="12" t="inlineStr">
        <is>
          <t>Alternate Identity or Double Role</t>
        </is>
      </c>
      <c r="T1" s="12" t="inlineStr">
        <is>
          <t>Role Type</t>
        </is>
      </c>
      <c r="U1" s="12" t="inlineStr">
        <is>
          <t>Billing Position</t>
        </is>
      </c>
      <c r="V1" s="12" t="inlineStr">
        <is>
          <t>Character Occupation</t>
        </is>
      </c>
      <c r="W1" s="12" t="inlineStr">
        <is>
          <t>Character Social Background</t>
        </is>
      </c>
      <c r="X1" s="13" t="inlineStr">
        <is>
          <t>Role Gist</t>
        </is>
      </c>
      <c r="Y1" s="13" t="inlineStr">
        <is>
          <t>Principal Motivation</t>
        </is>
      </c>
      <c r="Z1" s="13" t="inlineStr">
        <is>
          <t>Principal Conflict</t>
        </is>
      </c>
      <c r="AA1" s="13" t="inlineStr">
        <is>
          <t>Character Arc</t>
        </is>
      </c>
      <c r="AB1" s="13" t="inlineStr">
        <is>
          <t>Moral Alignment</t>
        </is>
      </c>
      <c r="AC1" s="12" t="inlineStr">
        <is>
          <t>Character Outcome</t>
        </is>
      </c>
      <c r="AD1" s="12" t="inlineStr">
        <is>
          <t>Principal Female Lead or Leads</t>
        </is>
      </c>
      <c r="AE1" s="12" t="inlineStr">
        <is>
          <t>Romance Presence</t>
        </is>
      </c>
      <c r="AF1" s="14" t="inlineStr">
        <is>
          <t>Romance Centrality Score</t>
        </is>
      </c>
      <c r="AG1" s="13" t="inlineStr">
        <is>
          <t>Overall Relationship Classification</t>
        </is>
      </c>
      <c r="AH1" s="12" t="inlineStr">
        <is>
          <t>Budget</t>
        </is>
      </c>
      <c r="AI1" s="12" t="inlineStr">
        <is>
          <t>Domestic Nett</t>
        </is>
      </c>
      <c r="AJ1" s="12" t="inlineStr">
        <is>
          <t>Domestic Gross</t>
        </is>
      </c>
      <c r="AK1" s="12" t="inlineStr">
        <is>
          <t>Overseas Gross</t>
        </is>
      </c>
      <c r="AL1" s="12" t="inlineStr">
        <is>
          <t>Worldwide Gross</t>
        </is>
      </c>
      <c r="AM1" s="12" t="inlineStr">
        <is>
          <t>Currency</t>
        </is>
      </c>
      <c r="AN1" s="12" t="inlineStr">
        <is>
          <t>Box-Office Verdict</t>
        </is>
      </c>
      <c r="AO1" s="12" t="inlineStr">
        <is>
          <t>Annual Box-Office Rank</t>
        </is>
      </c>
      <c r="AP1" s="13" t="inlineStr">
        <is>
          <t>Critical Reception Summary</t>
        </is>
      </c>
      <c r="AQ1" s="13" t="inlineStr">
        <is>
          <t>Recognition or Legacy</t>
        </is>
      </c>
      <c r="AR1" s="12" t="inlineStr">
        <is>
          <t>Source IDs</t>
        </is>
      </c>
      <c r="AS1" s="12" t="inlineStr">
        <is>
          <t>Confidence Grade</t>
        </is>
      </c>
      <c r="AT1" s="12" t="inlineStr">
        <is>
          <t>Research Notes</t>
        </is>
      </c>
    </row>
    <row r="2" ht="79" customHeight="1">
      <c r="A2" s="15" t="inlineStr">
        <is>
          <t>FILM-001</t>
        </is>
      </c>
      <c r="B2" s="5" t="inlineStr">
        <is>
          <t>Yaadon Ki Baaraat</t>
        </is>
      </c>
      <c r="C2" s="16" t="n">
        <v>26977</v>
      </c>
      <c r="D2" s="17" t="n">
        <v>1973</v>
      </c>
      <c r="E2" s="5" t="inlineStr">
        <is>
          <t>1970s</t>
        </is>
      </c>
      <c r="F2" s="5" t="inlineStr">
        <is>
          <t>Hindi</t>
        </is>
      </c>
      <c r="G2" s="5" t="inlineStr">
        <is>
          <t>Masala</t>
        </is>
      </c>
      <c r="H2" s="5" t="inlineStr">
        <is>
          <t>Musical</t>
        </is>
      </c>
      <c r="I2" s="17" t="n">
        <v>168</v>
      </c>
      <c r="J2" s="5" t="inlineStr">
        <is>
          <t>Nasir Hussain</t>
        </is>
      </c>
      <c r="K2" s="5" t="inlineStr">
        <is>
          <t>Nasir Hussain</t>
        </is>
      </c>
      <c r="L2" s="5" t="inlineStr">
        <is>
          <t>Nasir Hussain Films</t>
        </is>
      </c>
      <c r="M2" s="5" t="inlineStr">
        <is>
          <t>Salim–Javed; Nasir Hussain</t>
        </is>
      </c>
      <c r="N2" s="5" t="inlineStr">
        <is>
          <t>Original</t>
        </is>
      </c>
      <c r="O2" s="5" t="inlineStr">
        <is>
          <t>R. D. Burman</t>
        </is>
      </c>
      <c r="P2" s="5" t="n"/>
      <c r="Q2" s="5" t="inlineStr">
        <is>
          <t>Majrooh Sultanpuri</t>
        </is>
      </c>
      <c r="R2" s="5" t="inlineStr">
        <is>
          <t>Young Ratan</t>
        </is>
      </c>
      <c r="S2" s="5" t="inlineStr">
        <is>
          <t>Credited as Master Aamir</t>
        </is>
      </c>
      <c r="T2" s="5" t="inlineStr">
        <is>
          <t>Child role</t>
        </is>
      </c>
      <c r="U2" s="18" t="n"/>
      <c r="V2" s="5" t="n"/>
      <c r="W2" s="5" t="inlineStr">
        <is>
          <t>Younger version of Ratan (played as an adult by Tariq Khan)</t>
        </is>
      </c>
      <c r="X2" s="19" t="inlineStr">
        <is>
          <t>Credited as Master Aamir, the eight-year-old plays the younger Ratan in the flashback built around the title song 'Yaadon Ki Baaraat Nikli Hai', which shows the brothers as children before they are separated. The appearance is brief and has no independent arc; the adult Ratan is played by Tariq Khan.</t>
        </is>
      </c>
      <c r="Y2" s="19" t="n"/>
      <c r="Z2" s="19" t="n"/>
      <c r="AA2" s="19" t="inlineStr">
        <is>
          <t>Not applicable (brief child role)</t>
        </is>
      </c>
      <c r="AB2" s="19" t="n"/>
      <c r="AC2" s="5" t="n"/>
      <c r="AD2" s="5" t="n"/>
      <c r="AE2" s="5" t="inlineStr">
        <is>
          <t>None</t>
        </is>
      </c>
      <c r="AF2" s="20" t="n">
        <v>0</v>
      </c>
      <c r="AG2" s="19" t="inlineStr">
        <is>
          <t>No meaningful romance</t>
        </is>
      </c>
      <c r="AH2" s="5" t="n"/>
      <c r="AI2" s="5" t="n"/>
      <c r="AJ2" s="5" t="n"/>
      <c r="AK2" s="5" t="n"/>
      <c r="AL2" s="5" t="n"/>
      <c r="AM2" s="5" t="inlineStr">
        <is>
          <t>INR crore</t>
        </is>
      </c>
      <c r="AN2" s="5" t="n"/>
      <c r="AO2" s="20" t="n">
        <v>5</v>
      </c>
      <c r="AP2" s="19" t="n"/>
      <c r="AQ2" s="19" t="inlineStr">
        <is>
          <t>Described as the first quintessential masala film; popularised the separated-siblings-reunited formula and launched the careers of Zeenat Aman, Neetu Singh and Tariq Khan.</t>
        </is>
      </c>
      <c r="AR2" s="5" t="inlineStr">
        <is>
          <t>SOURCE-004; SOURCE-001</t>
        </is>
      </c>
      <c r="AS2" s="5" t="inlineStr">
        <is>
          <t>Medium</t>
        </is>
      </c>
      <c r="AT2" s="5" t="inlineStr">
        <is>
          <t>Release date 9 November 1973 per Wikipedia; Bollywood Hungama lists 3 November 1973. Wikipedia gives box office of ₹5.5 crore (Box Office India) without a nett/gross label, so it is not entered; annual rank 5 refers to that unlabeled measure.</t>
        </is>
      </c>
    </row>
    <row r="3" ht="79" customHeight="1">
      <c r="A3" s="15" t="inlineStr">
        <is>
          <t>FILM-002</t>
        </is>
      </c>
      <c r="B3" s="5" t="inlineStr">
        <is>
          <t>Madhosh</t>
        </is>
      </c>
      <c r="C3" s="5" t="inlineStr">
        <is>
          <t>1974</t>
        </is>
      </c>
      <c r="D3" s="17" t="n">
        <v>1974</v>
      </c>
      <c r="E3" s="5" t="inlineStr">
        <is>
          <t>1970s</t>
        </is>
      </c>
      <c r="F3" s="5" t="inlineStr">
        <is>
          <t>Hindi</t>
        </is>
      </c>
      <c r="G3" s="5" t="inlineStr">
        <is>
          <t>Drama</t>
        </is>
      </c>
      <c r="H3" s="5" t="n"/>
      <c r="I3" s="17" t="n">
        <v>133</v>
      </c>
      <c r="J3" s="5" t="inlineStr">
        <is>
          <t>Desh Gautam</t>
        </is>
      </c>
      <c r="K3" s="5" t="inlineStr">
        <is>
          <t>Tahir Hussain</t>
        </is>
      </c>
      <c r="L3" s="5" t="n"/>
      <c r="M3" s="5" t="n"/>
      <c r="N3" s="5" t="n"/>
      <c r="O3" s="5" t="inlineStr">
        <is>
          <t>R. D. Burman</t>
        </is>
      </c>
      <c r="P3" s="5" t="n"/>
      <c r="Q3" s="5" t="inlineStr">
        <is>
          <t>Majrooh Sultanpuri</t>
        </is>
      </c>
      <c r="R3" s="5" t="inlineStr">
        <is>
          <t>Younger Raj</t>
        </is>
      </c>
      <c r="S3" s="5" t="n"/>
      <c r="T3" s="5" t="inlineStr">
        <is>
          <t>Child role</t>
        </is>
      </c>
      <c r="U3" s="18" t="n"/>
      <c r="V3" s="5" t="n"/>
      <c r="W3" s="5" t="inlineStr">
        <is>
          <t>Younger version of Raj Kumar (played as an adult by Mahendra Sandhu)</t>
        </is>
      </c>
      <c r="X3" s="19" t="inlineStr">
        <is>
          <t>Aamir Khan is credited as the younger version of Raj, the lead played by Mahendra Sandhu, in a 1974 drama produced by Tahir Hussain. The sources consulted carry no plot summary and do not describe the child role, so the character's function in the film is unverified beyond the cast credit.</t>
        </is>
      </c>
      <c r="Y3" s="19" t="n"/>
      <c r="Z3" s="19" t="n"/>
      <c r="AA3" s="19" t="inlineStr">
        <is>
          <t>Not applicable (brief child role)</t>
        </is>
      </c>
      <c r="AB3" s="19" t="n"/>
      <c r="AC3" s="5" t="n"/>
      <c r="AD3" s="5" t="n"/>
      <c r="AE3" s="5" t="inlineStr">
        <is>
          <t>None</t>
        </is>
      </c>
      <c r="AF3" s="20" t="n">
        <v>0</v>
      </c>
      <c r="AG3" s="19" t="inlineStr">
        <is>
          <t>No meaningful romance</t>
        </is>
      </c>
      <c r="AH3" s="5" t="n"/>
      <c r="AI3" s="5" t="n"/>
      <c r="AJ3" s="5" t="n"/>
      <c r="AK3" s="5" t="n"/>
      <c r="AL3" s="5" t="n"/>
      <c r="AM3" s="5" t="n"/>
      <c r="AN3" s="5" t="n"/>
      <c r="AO3" s="18" t="n"/>
      <c r="AP3" s="19" t="n"/>
      <c r="AQ3" s="19" t="n"/>
      <c r="AR3" s="5" t="inlineStr">
        <is>
          <t>SOURCE-005; SOURCE-001</t>
        </is>
      </c>
      <c r="AS3" s="5" t="inlineStr">
        <is>
          <t>Low</t>
        </is>
      </c>
      <c r="AT3" s="5" t="inlineStr">
        <is>
          <t>Exact release date, writers, box office and reception not found. Wikipedia's article is a stub flagged as needing a plot summary.</t>
        </is>
      </c>
    </row>
    <row r="4" ht="79" customHeight="1">
      <c r="A4" s="15" t="inlineStr">
        <is>
          <t>FILM-003</t>
        </is>
      </c>
      <c r="B4" s="5" t="inlineStr">
        <is>
          <t>Holi</t>
        </is>
      </c>
      <c r="C4" s="16" t="n">
        <v>30909</v>
      </c>
      <c r="D4" s="17" t="n">
        <v>1984</v>
      </c>
      <c r="E4" s="5" t="inlineStr">
        <is>
          <t>1980s</t>
        </is>
      </c>
      <c r="F4" s="5" t="inlineStr">
        <is>
          <t>Hindi</t>
        </is>
      </c>
      <c r="G4" s="5" t="inlineStr">
        <is>
          <t>Drama</t>
        </is>
      </c>
      <c r="H4" s="5" t="inlineStr">
        <is>
          <t>Coming-of-age</t>
        </is>
      </c>
      <c r="I4" s="17" t="n">
        <v>120</v>
      </c>
      <c r="J4" s="5" t="inlineStr">
        <is>
          <t>Ketan Mehta</t>
        </is>
      </c>
      <c r="K4" s="5" t="inlineStr">
        <is>
          <t>Pradeep Uppoor</t>
        </is>
      </c>
      <c r="L4" s="5" t="n"/>
      <c r="M4" s="5" t="inlineStr">
        <is>
          <t>Ketan Mehta; Mahesh Elkunchwar (screenplay)</t>
        </is>
      </c>
      <c r="N4" s="5" t="inlineStr">
        <is>
          <t>Based on a play by Marathi playwright Mahesh Elkunchwar</t>
        </is>
      </c>
      <c r="O4" s="5" t="inlineStr">
        <is>
          <t>Rajat Dholakia</t>
        </is>
      </c>
      <c r="P4" s="5" t="n"/>
      <c r="Q4" s="5" t="n"/>
      <c r="R4" s="5" t="inlineStr">
        <is>
          <t>Madan Sharma</t>
        </is>
      </c>
      <c r="S4" s="5" t="inlineStr">
        <is>
          <t>Credited as Aamir Hussain</t>
        </is>
      </c>
      <c r="T4" s="5" t="inlineStr">
        <is>
          <t>Ensemble lead</t>
        </is>
      </c>
      <c r="U4" s="18" t="n"/>
      <c r="V4" s="5" t="inlineStr">
        <is>
          <t>College hostel student</t>
        </is>
      </c>
      <c r="W4" s="5" t="inlineStr">
        <is>
          <t>Student in a college hostel</t>
        </is>
      </c>
      <c r="X4" s="19" t="inlineStr">
        <is>
          <t>Madan is one of the restless hostel students whose boredom and resentment of the principal escalate into a campus revolt. He joins the protest, is suspended, is implicated after a classmate's suicide and is arrested. The largely improvised parallel-cinema ensemble gave Aamir Khan his first adult screen role, credited as Aamir Hussain.</t>
        </is>
      </c>
      <c r="Y4" s="19" t="inlineStr">
        <is>
          <t>Rebellion against the college authorities</t>
        </is>
      </c>
      <c r="Z4" s="19" t="inlineStr">
        <is>
          <t>Student protest against the principal and its fallout</t>
        </is>
      </c>
      <c r="AA4" s="19" t="inlineStr">
        <is>
          <t>Bored participant in hostel pranks becomes implicated in tragedy</t>
        </is>
      </c>
      <c r="AB4" s="19" t="inlineStr">
        <is>
          <t>Morally ambiguous</t>
        </is>
      </c>
      <c r="AC4" s="5" t="inlineStr">
        <is>
          <t>Suspended and arrested</t>
        </is>
      </c>
      <c r="AD4" s="5" t="n"/>
      <c r="AE4" s="5" t="inlineStr">
        <is>
          <t>None</t>
        </is>
      </c>
      <c r="AF4" s="20" t="n">
        <v>0</v>
      </c>
      <c r="AG4" s="19" t="inlineStr">
        <is>
          <t>No meaningful romance</t>
        </is>
      </c>
      <c r="AH4" s="5" t="n"/>
      <c r="AI4" s="5" t="n"/>
      <c r="AJ4" s="5" t="n"/>
      <c r="AK4" s="5" t="n"/>
      <c r="AL4" s="5" t="n"/>
      <c r="AM4" s="5" t="n"/>
      <c r="AN4" s="5" t="n"/>
      <c r="AO4" s="18" t="n"/>
      <c r="AP4" s="19" t="inlineStr">
        <is>
          <t>Vincent Canby (The New York Times, 1985) found it decently and exuberantly performed by its largely non-professional cast.</t>
        </is>
      </c>
      <c r="AQ4" s="19" t="inlineStr">
        <is>
          <t>Wikipedia lists a National Film Award for Best Cinematography (Jehangir Choudhary), flagged as needing a citation.</t>
        </is>
      </c>
      <c r="AR4" s="5" t="inlineStr">
        <is>
          <t>SOURCE-006; SOURCE-001</t>
        </is>
      </c>
      <c r="AS4" s="5" t="inlineStr">
        <is>
          <t>Medium</t>
        </is>
      </c>
      <c r="AT4" s="5" t="inlineStr">
        <is>
          <t>No budget or box-office data found. Production company not stated.</t>
        </is>
      </c>
    </row>
    <row r="5" ht="94" customHeight="1">
      <c r="A5" s="15" t="inlineStr">
        <is>
          <t>FILM-004</t>
        </is>
      </c>
      <c r="B5" s="5" t="inlineStr">
        <is>
          <t>Qayamat Se Qayamat Tak</t>
        </is>
      </c>
      <c r="C5" s="16" t="n">
        <v>32262</v>
      </c>
      <c r="D5" s="17" t="n">
        <v>1988</v>
      </c>
      <c r="E5" s="5" t="inlineStr">
        <is>
          <t>1980s</t>
        </is>
      </c>
      <c r="F5" s="5" t="inlineStr">
        <is>
          <t>Hindi</t>
        </is>
      </c>
      <c r="G5" s="5" t="inlineStr">
        <is>
          <t>Romance</t>
        </is>
      </c>
      <c r="H5" s="5" t="inlineStr">
        <is>
          <t>Musical tragedy</t>
        </is>
      </c>
      <c r="I5" s="17" t="n">
        <v>163</v>
      </c>
      <c r="J5" s="5" t="inlineStr">
        <is>
          <t>Mansoor Khan</t>
        </is>
      </c>
      <c r="K5" s="5" t="inlineStr">
        <is>
          <t>Nasir Hussain</t>
        </is>
      </c>
      <c r="L5" s="5" t="inlineStr">
        <is>
          <t>Nasir Hussain Films</t>
        </is>
      </c>
      <c r="M5" s="5" t="inlineStr">
        <is>
          <t>Nasir Hussain (story, screenplay); Nuzhat Khan, Aamir Khan (assistant writers)</t>
        </is>
      </c>
      <c r="N5" s="5" t="inlineStr">
        <is>
          <t>Original; modern retelling of Layla–Majnun, Heer–Ranjha and Romeo and Juliet</t>
        </is>
      </c>
      <c r="O5" s="5" t="inlineStr">
        <is>
          <t>Anand–Milind</t>
        </is>
      </c>
      <c r="P5" s="5" t="n"/>
      <c r="Q5" s="5" t="inlineStr">
        <is>
          <t>Majrooh Sultanpuri</t>
        </is>
      </c>
      <c r="R5" s="5" t="inlineStr">
        <is>
          <t>Rajveer "Raj" Singh</t>
        </is>
      </c>
      <c r="S5" s="5" t="inlineStr">
        <is>
          <t>Poses as Roop Singh, Rashmi's intended suitor, at her birthday party</t>
        </is>
      </c>
      <c r="T5" s="5" t="inlineStr">
        <is>
          <t>Lead</t>
        </is>
      </c>
      <c r="U5" s="20" t="n">
        <v>1</v>
      </c>
      <c r="V5" s="5" t="inlineStr">
        <is>
          <t>Graduate who joins the family clothing business</t>
        </is>
      </c>
      <c r="W5" s="5" t="inlineStr">
        <is>
          <t>Rajput family from Dhanakpur, raised in Delhi by his uncle after his father's imprisonment for murder</t>
        </is>
      </c>
      <c r="X5" s="19" t="inlineStr">
        <is>
          <t>Raj, the college-educated son of a Rajput family broken by a murder, falls for Rashmi without knowing she belongs to the clan his father wronged. He gatecrashes her birthday under a false name, courts her on holiday and, when both families forbid the match, elopes with her to a ruined fort. Hired killers shoot Rashmi; Raj stabs himself and dies beside her.</t>
        </is>
      </c>
      <c r="Y5" s="19" t="inlineStr">
        <is>
          <t>Love for Rashmi and a life free of the family feud</t>
        </is>
      </c>
      <c r="Z5" s="19" t="inlineStr">
        <is>
          <t>Loves the daughter of his family's sworn enemy</t>
        </is>
      </c>
      <c r="AA5" s="19" t="inlineStr">
        <is>
          <t>Dutiful, wholesome son becomes a lover who defies both families and chooses death over separation</t>
        </is>
      </c>
      <c r="AB5" s="19" t="inlineStr">
        <is>
          <t>Heroic</t>
        </is>
      </c>
      <c r="AC5" s="5" t="inlineStr">
        <is>
          <t>Dies by suicide beside Rashmi after she is shot</t>
        </is>
      </c>
      <c r="AD5" s="5" t="inlineStr">
        <is>
          <t>Juhi Chawla</t>
        </is>
      </c>
      <c r="AE5" s="5" t="inlineStr">
        <is>
          <t>Central</t>
        </is>
      </c>
      <c r="AF5" s="20" t="n">
        <v>10</v>
      </c>
      <c r="AG5" s="19" t="inlineStr">
        <is>
          <t>Tragic lovers</t>
        </is>
      </c>
      <c r="AH5" s="21" t="n">
        <v>2.5</v>
      </c>
      <c r="AI5" s="21" t="n">
        <v>5</v>
      </c>
      <c r="AJ5" s="5" t="n"/>
      <c r="AK5" s="5" t="n"/>
      <c r="AL5" s="5" t="n"/>
      <c r="AM5" s="5" t="inlineStr">
        <is>
          <t>INR crore</t>
        </is>
      </c>
      <c r="AN5" s="5" t="inlineStr">
        <is>
          <t>Blockbuster</t>
        </is>
      </c>
      <c r="AO5" s="20" t="n">
        <v>3</v>
      </c>
      <c r="AP5" s="19" t="inlineStr">
        <is>
          <t>Positive reviews; credited with reinventing the romantic musical and bringing family audiences back to cinemas.</t>
        </is>
      </c>
      <c r="AQ5" s="19" t="inlineStr">
        <is>
          <t>Cult classic with a 50-week run; subject of a 2016 book crediting it with reviving Hindi cinema; remade in Telugu, Bangladeshi Bengali, Sinhala and Nepali.</t>
        </is>
      </c>
      <c r="AR5" s="5" t="inlineStr">
        <is>
          <t>SOURCE-007</t>
        </is>
      </c>
      <c r="AS5" s="5" t="inlineStr">
        <is>
          <t>Medium</t>
        </is>
      </c>
      <c r="AT5" s="5" t="inlineStr">
        <is>
          <t>Budget ₹25 million and domestic nett ₹50 million (The Times of India, via Wikipedia). Wikipedia also lists ₹50 million as worldwide gross without a separate source; not recorded because it duplicates the nett figure. Annual rank 3 (behind Tezaab and Shahenshah) per Box Office India via Wikipedia.</t>
        </is>
      </c>
    </row>
    <row r="6" ht="79" customHeight="1">
      <c r="A6" s="15" t="inlineStr">
        <is>
          <t>FILM-005</t>
        </is>
      </c>
      <c r="B6" s="5" t="inlineStr">
        <is>
          <t>Raakh</t>
        </is>
      </c>
      <c r="C6" s="16" t="n">
        <v>32619</v>
      </c>
      <c r="D6" s="17" t="n">
        <v>1989</v>
      </c>
      <c r="E6" s="5" t="inlineStr">
        <is>
          <t>1980s</t>
        </is>
      </c>
      <c r="F6" s="5" t="inlineStr">
        <is>
          <t>Hindi</t>
        </is>
      </c>
      <c r="G6" s="5" t="inlineStr">
        <is>
          <t>Action crime</t>
        </is>
      </c>
      <c r="H6" s="5" t="inlineStr">
        <is>
          <t>Revenge drama</t>
        </is>
      </c>
      <c r="I6" s="17" t="n">
        <v>124</v>
      </c>
      <c r="J6" s="5" t="inlineStr">
        <is>
          <t>Aditya Bhattacharya</t>
        </is>
      </c>
      <c r="K6" s="5" t="inlineStr">
        <is>
          <t>Asif Noor; Sangeeth Sivan; Aditya Bhattacharya</t>
        </is>
      </c>
      <c r="L6" s="5" t="n"/>
      <c r="M6" s="5" t="inlineStr">
        <is>
          <t>Aditya Bhattacharya; Nuzhat Khan</t>
        </is>
      </c>
      <c r="N6" s="5" t="inlineStr">
        <is>
          <t>Original screenplay</t>
        </is>
      </c>
      <c r="O6" s="5" t="n"/>
      <c r="P6" s="5" t="inlineStr">
        <is>
          <t>Ranjit Barot</t>
        </is>
      </c>
      <c r="Q6" s="5" t="n"/>
      <c r="R6" s="5" t="inlineStr">
        <is>
          <t>Amir Hussein</t>
        </is>
      </c>
      <c r="S6" s="5" t="n"/>
      <c r="T6" s="5" t="inlineStr">
        <is>
          <t>Lead</t>
        </is>
      </c>
      <c r="U6" s="20" t="n">
        <v>1</v>
      </c>
      <c r="V6" s="5" t="inlineStr">
        <is>
          <t>Aimless young man who becomes a vigilante</t>
        </is>
      </c>
      <c r="W6" s="5" t="inlineStr">
        <is>
          <t>From a well-off family, leading an otherwise mundane life</t>
        </is>
      </c>
      <c r="X6" s="19" t="inlineStr">
        <is>
          <t>Amir is a fearless but aimless young man whose older, more pragmatic girlfriend Neeta is raped by the crime boss Hassan Karmali while he is forced to watch. Guided by a disillusioned policeman, he sets out to wipe out the Karmali family, growing used to violence and even enjoying it. Neeta slowly rebuilds her life; Amir ends on death row.</t>
        </is>
      </c>
      <c r="Y6" s="19" t="inlineStr">
        <is>
          <t>Revenge for the assault on Neeta</t>
        </is>
      </c>
      <c r="Z6" s="19" t="inlineStr">
        <is>
          <t>Rage at an unjust system against guilt over his own violence</t>
        </is>
      </c>
      <c r="AA6" s="19" t="inlineStr">
        <is>
          <t>Innocent, fearless youth becomes a hardened killer</t>
        </is>
      </c>
      <c r="AB6" s="19" t="inlineStr">
        <is>
          <t>Anti-hero</t>
        </is>
      </c>
      <c r="AC6" s="5" t="inlineStr">
        <is>
          <t>Awaits execution on death row</t>
        </is>
      </c>
      <c r="AD6" s="5" t="inlineStr">
        <is>
          <t>Supriya Pathak</t>
        </is>
      </c>
      <c r="AE6" s="5" t="inlineStr">
        <is>
          <t>Secondary</t>
        </is>
      </c>
      <c r="AF6" s="20" t="n">
        <v>4</v>
      </c>
      <c r="AG6" s="19" t="inlineStr">
        <is>
          <t>Romance subordinate to another genre</t>
        </is>
      </c>
      <c r="AH6" s="5" t="n"/>
      <c r="AI6" s="5" t="n"/>
      <c r="AJ6" s="5" t="n"/>
      <c r="AK6" s="5" t="n"/>
      <c r="AL6" s="5" t="n"/>
      <c r="AM6" s="5" t="inlineStr">
        <is>
          <t>INR crore</t>
        </is>
      </c>
      <c r="AN6" s="5" t="n"/>
      <c r="AO6" s="18" t="n"/>
      <c r="AP6" s="19" t="inlineStr">
        <is>
          <t>Strong critical acclaim; developed a considerable cult following.</t>
        </is>
      </c>
      <c r="AQ6" s="19" t="inlineStr">
        <is>
          <t>Three National Film Awards, including a Special Mention for Aamir Khan (shared with Qayamat Se Qayamat Tak); Bollywood debuts of cinematographer Santosh Sivan and editor A. Sreekar Prasad.</t>
        </is>
      </c>
      <c r="AR6" s="5" t="inlineStr">
        <is>
          <t>SOURCE-008</t>
        </is>
      </c>
      <c r="AS6" s="5" t="inlineStr">
        <is>
          <t>Medium</t>
        </is>
      </c>
      <c r="AT6" s="5" t="inlineStr">
        <is>
          <t>Shot before but released after Qayamat Se Qayamat Tak. Wikipedia gives box office of ₹15 million (₹1.5 crore) citing Talking Moviez, without a nett/gross label; not entered.</t>
        </is>
      </c>
    </row>
    <row r="7" ht="79" customHeight="1">
      <c r="A7" s="15" t="inlineStr">
        <is>
          <t>FILM-006</t>
        </is>
      </c>
      <c r="B7" s="5" t="inlineStr">
        <is>
          <t>Love Love Love</t>
        </is>
      </c>
      <c r="C7" s="16" t="n">
        <v>32724</v>
      </c>
      <c r="D7" s="17" t="n">
        <v>1989</v>
      </c>
      <c r="E7" s="5" t="inlineStr">
        <is>
          <t>1980s</t>
        </is>
      </c>
      <c r="F7" s="5" t="inlineStr">
        <is>
          <t>Hindi</t>
        </is>
      </c>
      <c r="G7" s="5" t="inlineStr">
        <is>
          <t>Romantic action</t>
        </is>
      </c>
      <c r="H7" s="5" t="n"/>
      <c r="I7" s="17" t="n">
        <v>146</v>
      </c>
      <c r="J7" s="5" t="inlineStr">
        <is>
          <t>Babbar Subhash</t>
        </is>
      </c>
      <c r="K7" s="5" t="inlineStr">
        <is>
          <t>Babbar Subhash</t>
        </is>
      </c>
      <c r="L7" s="5" t="inlineStr">
        <is>
          <t>B. Subhash Movie Unit</t>
        </is>
      </c>
      <c r="M7" s="5" t="inlineStr">
        <is>
          <t>Babbar Subhash</t>
        </is>
      </c>
      <c r="N7" s="5" t="n"/>
      <c r="O7" s="5" t="inlineStr">
        <is>
          <t>Bappi Lahiri</t>
        </is>
      </c>
      <c r="P7" s="5" t="n"/>
      <c r="Q7" s="5" t="n"/>
      <c r="R7" s="5" t="inlineStr">
        <is>
          <t>Amit Verma</t>
        </is>
      </c>
      <c r="S7" s="5" t="n"/>
      <c r="T7" s="5" t="inlineStr">
        <is>
          <t>Lead</t>
        </is>
      </c>
      <c r="U7" s="20" t="n">
        <v>1</v>
      </c>
      <c r="V7" s="5" t="inlineStr">
        <is>
          <t>Student</t>
        </is>
      </c>
      <c r="W7" s="5" t="inlineStr">
        <is>
          <t>Poor household with his father, stepmother and sister</t>
        </is>
      </c>
      <c r="X7" s="19" t="inlineStr">
        <is>
          <t>Amit, a student from a poor family, falls for his wealthy schoolmate Reema, who is coveted by the violent Vicky. Vicky and his father threaten Amit's family and force the lovers apart, and Amit is humiliated at Reema's engagement party. The couple flee, Amit survives an assassination attempt, and they are reunited after Reema's father kills both antagonists.</t>
        </is>
      </c>
      <c r="Y7" s="19" t="inlineStr">
        <is>
          <t>Love for Reema across the class divide</t>
        </is>
      </c>
      <c r="Z7" s="19" t="inlineStr">
        <is>
          <t>A violent rival and threats against his family</t>
        </is>
      </c>
      <c r="AA7" s="19" t="inlineStr">
        <is>
          <t>Humiliated poor lover persists and survives to win Reema</t>
        </is>
      </c>
      <c r="AB7" s="19" t="inlineStr">
        <is>
          <t>Heroic</t>
        </is>
      </c>
      <c r="AC7" s="5" t="inlineStr">
        <is>
          <t>Reunited with Reema</t>
        </is>
      </c>
      <c r="AD7" s="5" t="inlineStr">
        <is>
          <t>Juhi Chawla</t>
        </is>
      </c>
      <c r="AE7" s="5" t="inlineStr">
        <is>
          <t>Central</t>
        </is>
      </c>
      <c r="AF7" s="20" t="n">
        <v>9</v>
      </c>
      <c r="AG7" s="19" t="inlineStr">
        <is>
          <t>United couple versus external world</t>
        </is>
      </c>
      <c r="AH7" s="5" t="n"/>
      <c r="AI7" s="5" t="n"/>
      <c r="AJ7" s="5" t="n"/>
      <c r="AK7" s="5" t="n"/>
      <c r="AL7" s="5" t="n"/>
      <c r="AM7" s="5" t="inlineStr">
        <is>
          <t>INR crore</t>
        </is>
      </c>
      <c r="AN7" s="5" t="inlineStr">
        <is>
          <t>Average</t>
        </is>
      </c>
      <c r="AO7" s="18" t="n"/>
      <c r="AP7" s="19" t="inlineStr">
        <is>
          <t>Did not match the expectations set by the pair's debut film but was appreciated by viewers.</t>
        </is>
      </c>
      <c r="AQ7" s="19" t="inlineStr">
        <is>
          <t>Second film of the Aamir Khan–Juhi Chawla pairing.</t>
        </is>
      </c>
      <c r="AR7" s="5" t="inlineStr">
        <is>
          <t>SOURCE-009</t>
        </is>
      </c>
      <c r="AS7" s="5" t="inlineStr">
        <is>
          <t>Medium</t>
        </is>
      </c>
      <c r="AT7" s="5" t="inlineStr">
        <is>
          <t>Wikipedia gives box office of ₹2.8 crore citing Indicine, without a nett/gross label; not entered. Budget not found.</t>
        </is>
      </c>
    </row>
    <row r="8" ht="94" customHeight="1">
      <c r="A8" s="15" t="inlineStr">
        <is>
          <t>FILM-007</t>
        </is>
      </c>
      <c r="B8" s="5" t="inlineStr">
        <is>
          <t>Awwal Number</t>
        </is>
      </c>
      <c r="C8" s="16" t="n">
        <v>33004</v>
      </c>
      <c r="D8" s="17" t="n">
        <v>1990</v>
      </c>
      <c r="E8" s="5" t="inlineStr">
        <is>
          <t>1990s</t>
        </is>
      </c>
      <c r="F8" s="5" t="inlineStr">
        <is>
          <t>Hindi</t>
        </is>
      </c>
      <c r="G8" s="5" t="inlineStr">
        <is>
          <t>Sports action</t>
        </is>
      </c>
      <c r="H8" s="5" t="n"/>
      <c r="I8" s="17" t="n">
        <v>143</v>
      </c>
      <c r="J8" s="5" t="inlineStr">
        <is>
          <t>Dev Anand</t>
        </is>
      </c>
      <c r="K8" s="5" t="inlineStr">
        <is>
          <t>Dev Anand</t>
        </is>
      </c>
      <c r="L8" s="5" t="n"/>
      <c r="M8" s="5" t="inlineStr">
        <is>
          <t>Dev Anand</t>
        </is>
      </c>
      <c r="N8" s="5" t="n"/>
      <c r="O8" s="5" t="inlineStr">
        <is>
          <t>Bappi Lahiri</t>
        </is>
      </c>
      <c r="P8" s="5" t="n"/>
      <c r="Q8" s="5" t="inlineStr">
        <is>
          <t>Amit Khanna</t>
        </is>
      </c>
      <c r="R8" s="5" t="inlineStr">
        <is>
          <t>Sunny</t>
        </is>
      </c>
      <c r="S8" s="5" t="n"/>
      <c r="T8" s="5" t="inlineStr">
        <is>
          <t>Co-lead</t>
        </is>
      </c>
      <c r="U8" s="20" t="n">
        <v>2</v>
      </c>
      <c r="V8" s="5" t="inlineStr">
        <is>
          <t>Cricketer newly selected for the national team</t>
        </is>
      </c>
      <c r="W8" s="5" t="inlineStr">
        <is>
          <t>Up-and-coming player replacing an established star</t>
        </is>
      </c>
      <c r="X8" s="19" t="inlineStr">
        <is>
          <t>Sunny is a young cricketer picked for India in place of the established star Ronny, who turns vengeful. As DIG Vikram Singh races to stop a terrorist plot to bomb an India–Australia match, Sunny weathers Ronny's hostility and becomes a star by playing the match-winning stroke. A light romance with Aarti offers him emotional support.</t>
        </is>
      </c>
      <c r="Y8" s="19" t="inlineStr">
        <is>
          <t>Prove himself in international cricket</t>
        </is>
      </c>
      <c r="Z8" s="19" t="inlineStr">
        <is>
          <t>Rivalry with the displaced star Ronny amid a terror plot</t>
        </is>
      </c>
      <c r="AA8" s="19" t="inlineStr">
        <is>
          <t>Untested newcomer becomes a match-winner</t>
        </is>
      </c>
      <c r="AB8" s="19" t="inlineStr">
        <is>
          <t>Heroic</t>
        </is>
      </c>
      <c r="AC8" s="5" t="inlineStr">
        <is>
          <t>Wins the match for India</t>
        </is>
      </c>
      <c r="AD8" s="5" t="inlineStr">
        <is>
          <t>Ekta Sohini</t>
        </is>
      </c>
      <c r="AE8" s="5" t="inlineStr">
        <is>
          <t>Minor</t>
        </is>
      </c>
      <c r="AF8" s="20" t="n">
        <v>2</v>
      </c>
      <c r="AG8" s="19" t="inlineStr">
        <is>
          <t>Romance subordinate to another genre</t>
        </is>
      </c>
      <c r="AH8" s="5" t="n"/>
      <c r="AI8" s="5" t="n"/>
      <c r="AJ8" s="5" t="n"/>
      <c r="AK8" s="5" t="n"/>
      <c r="AL8" s="5" t="n"/>
      <c r="AM8" s="5" t="n"/>
      <c r="AN8" s="5" t="n"/>
      <c r="AO8" s="18" t="n"/>
      <c r="AP8" s="19" t="inlineStr">
        <is>
          <t>A 2019 retrospective blog review treats the film as unintentionally comic.</t>
        </is>
      </c>
      <c r="AQ8" s="19" t="n"/>
      <c r="AR8" s="5" t="inlineStr">
        <is>
          <t>SOURCE-010; SOURCE-011; SOURCE-065</t>
        </is>
      </c>
      <c r="AS8" s="5" t="inlineStr">
        <is>
          <t>Low</t>
        </is>
      </c>
      <c r="AT8" s="5" t="inlineStr">
        <is>
          <t>Second-billed after Dev Anand. The romance with Aarti (Ekta Sohini) is documented only through the 'I love you' recorder scene, so no Romances row was created. Bollywood Hungama's 1 January 1990 date is a placeholder; Wikipedia's 11 May 1990 is used. No box-office data found.</t>
        </is>
      </c>
    </row>
    <row r="9" ht="79" customHeight="1">
      <c r="A9" s="15" t="inlineStr">
        <is>
          <t>FILM-008</t>
        </is>
      </c>
      <c r="B9" s="5" t="inlineStr">
        <is>
          <t>Tum Mere Ho</t>
        </is>
      </c>
      <c r="C9" s="16" t="n">
        <v>33018</v>
      </c>
      <c r="D9" s="17" t="n">
        <v>1990</v>
      </c>
      <c r="E9" s="5" t="inlineStr">
        <is>
          <t>1990s</t>
        </is>
      </c>
      <c r="F9" s="5" t="inlineStr">
        <is>
          <t>Hindi</t>
        </is>
      </c>
      <c r="G9" s="5" t="inlineStr">
        <is>
          <t>Fantasy</t>
        </is>
      </c>
      <c r="H9" s="5" t="inlineStr">
        <is>
          <t>Action</t>
        </is>
      </c>
      <c r="I9" s="17" t="n">
        <v>129</v>
      </c>
      <c r="J9" s="5" t="inlineStr">
        <is>
          <t>Tahir Hussain</t>
        </is>
      </c>
      <c r="K9" s="5" t="inlineStr">
        <is>
          <t>Tahir Hussain</t>
        </is>
      </c>
      <c r="L9" s="5" t="inlineStr">
        <is>
          <t>Tahir Hussain Enterprises</t>
        </is>
      </c>
      <c r="M9" s="5" t="inlineStr">
        <is>
          <t>Tahir Hussain, M. Kaleem Rahi (screenplay); Tahir Hussain, Surinder Singh (story)</t>
        </is>
      </c>
      <c r="N9" s="5" t="n"/>
      <c r="O9" s="5" t="inlineStr">
        <is>
          <t>Anand–Milind</t>
        </is>
      </c>
      <c r="P9" s="5" t="n"/>
      <c r="Q9" s="5" t="inlineStr">
        <is>
          <t>Majrooh Sultanpuri</t>
        </is>
      </c>
      <c r="R9" s="5" t="inlineStr">
        <is>
          <t>Shiva</t>
        </is>
      </c>
      <c r="S9" s="5" t="n"/>
      <c r="T9" s="5" t="inlineStr">
        <is>
          <t>Lead</t>
        </is>
      </c>
      <c r="U9" s="20" t="n">
        <v>1</v>
      </c>
      <c r="V9" s="5" t="inlineStr">
        <is>
          <t>Snake charmer</t>
        </is>
      </c>
      <c r="W9" s="5" t="inlineStr">
        <is>
          <t>Foundling raised by a poor snake charmer after surviving a serpent's revenge as a baby</t>
        </is>
      </c>
      <c r="X9" s="19" t="inlineStr">
        <is>
          <t>Shiva survives a shape-shifting serpent's revenge as a baby and is raised by a poor snake charmer. His music enchants Paro at a fair and they fall in love, but her family reveals she was married as a child and must live as a widow, and her father sends men to kill him. Shiva finally uses his charmer's powers to force the serpent to undo her curse.</t>
        </is>
      </c>
      <c r="Y9" s="19" t="inlineStr">
        <is>
          <t>Love for Paro</t>
        </is>
      </c>
      <c r="Z9" s="19" t="inlineStr">
        <is>
          <t>Paro's family, the child-widow custom and the serpent's curse</t>
        </is>
      </c>
      <c r="AA9" s="19" t="inlineStr">
        <is>
          <t>Cursed foundling becomes a charmer powerful enough to defeat the serpent</t>
        </is>
      </c>
      <c r="AB9" s="19" t="inlineStr">
        <is>
          <t>Heroic</t>
        </is>
      </c>
      <c r="AC9" s="5" t="inlineStr">
        <is>
          <t>Defeats the serpent; union with Paro implied but not confirmed by sources</t>
        </is>
      </c>
      <c r="AD9" s="5" t="inlineStr">
        <is>
          <t>Juhi Chawla</t>
        </is>
      </c>
      <c r="AE9" s="5" t="inlineStr">
        <is>
          <t>Central</t>
        </is>
      </c>
      <c r="AF9" s="20" t="n">
        <v>8</v>
      </c>
      <c r="AG9" s="19" t="inlineStr">
        <is>
          <t>Forbidden love</t>
        </is>
      </c>
      <c r="AH9" s="5" t="n"/>
      <c r="AI9" s="5" t="n"/>
      <c r="AJ9" s="5" t="n"/>
      <c r="AK9" s="5" t="n"/>
      <c r="AL9" s="5" t="n"/>
      <c r="AM9" s="5" t="n"/>
      <c r="AN9" s="5" t="inlineStr">
        <is>
          <t>Disaster</t>
        </is>
      </c>
      <c r="AO9" s="18" t="n"/>
      <c r="AP9" s="19" t="inlineStr">
        <is>
          <t>A box-office disaster later enjoyed as a so-bad-it's-good cult film; one 2019 review credits it with using snake tropes to dramatise patriarchal custom.</t>
        </is>
      </c>
      <c r="AQ9" s="19" t="n"/>
      <c r="AR9" s="5" t="inlineStr">
        <is>
          <t>SOURCE-012; SOURCE-013</t>
        </is>
      </c>
      <c r="AS9" s="5" t="inlineStr">
        <is>
          <t>Low</t>
        </is>
      </c>
      <c r="AT9" s="5" t="inlineStr">
        <is>
          <t>Wikipedia and The Cultural Gutter describe Shiva's origin differently (his father kills the snake versus a stranger stealing its crown); the shared elements are used. The ending is not stated explicitly in either source. No budget or box-office figures found.</t>
        </is>
      </c>
    </row>
    <row r="10" ht="94" customHeight="1">
      <c r="A10" s="15" t="inlineStr">
        <is>
          <t>FILM-009</t>
        </is>
      </c>
      <c r="B10" s="5" t="inlineStr">
        <is>
          <t>Dil</t>
        </is>
      </c>
      <c r="C10" s="16" t="n">
        <v>33046</v>
      </c>
      <c r="D10" s="17" t="n">
        <v>1990</v>
      </c>
      <c r="E10" s="5" t="inlineStr">
        <is>
          <t>1990s</t>
        </is>
      </c>
      <c r="F10" s="5" t="inlineStr">
        <is>
          <t>Hindi</t>
        </is>
      </c>
      <c r="G10" s="5" t="inlineStr">
        <is>
          <t>Romantic action</t>
        </is>
      </c>
      <c r="H10" s="5" t="n"/>
      <c r="I10" s="17" t="n">
        <v>172</v>
      </c>
      <c r="J10" s="5" t="inlineStr">
        <is>
          <t>Indra Kumar</t>
        </is>
      </c>
      <c r="K10" s="5" t="inlineStr">
        <is>
          <t>Indra Kumar; Ashok Thakeria</t>
        </is>
      </c>
      <c r="L10" s="5" t="inlineStr">
        <is>
          <t>Maruti International</t>
        </is>
      </c>
      <c r="M10" s="5" t="inlineStr">
        <is>
          <t>Naushir Khatau (story, screenplay); Rajeev Kaul, Praful Parekh (screenplay); Kamlesh Pandey (dialogue)</t>
        </is>
      </c>
      <c r="N10" s="5" t="n"/>
      <c r="O10" s="5" t="inlineStr">
        <is>
          <t>Anand–Milind</t>
        </is>
      </c>
      <c r="P10" s="5" t="n"/>
      <c r="Q10" s="5" t="inlineStr">
        <is>
          <t>Sameer</t>
        </is>
      </c>
      <c r="R10" s="5" t="inlineStr">
        <is>
          <t>Raja Prasad</t>
        </is>
      </c>
      <c r="S10" s="5" t="n"/>
      <c r="T10" s="5" t="inlineStr">
        <is>
          <t>Lead</t>
        </is>
      </c>
      <c r="U10" s="20" t="n">
        <v>1</v>
      </c>
      <c r="V10" s="5" t="inlineStr">
        <is>
          <t>College student, later construction worker</t>
        </is>
      </c>
      <c r="W10" s="5" t="inlineStr">
        <is>
          <t>Son of Hazari Prasad, a miserly and greedy wastepaper businessman</t>
        </is>
      </c>
      <c r="X10" s="19" t="inlineStr">
        <is>
          <t>Raja, the spendthrift son of a miserly scrap dealer, meets the arrogant heiress Madhu at college, fakes blindness to fool her and trades pranks with her. After she falsely accuses him of attempted rape and he rebukes her, they fall in love. Disowned by both fathers, they marry secretly and live in poverty; when Raja is injured, his father tricks Madhu into leaving, but they reunite.</t>
        </is>
      </c>
      <c r="Y10" s="19" t="inlineStr">
        <is>
          <t>Love for Madhu</t>
        </is>
      </c>
      <c r="Z10" s="19" t="inlineStr">
        <is>
          <t>Both fathers' greed and class pride</t>
        </is>
      </c>
      <c r="AA10" s="19" t="inlineStr">
        <is>
          <t>Pleasure-seeking prankster becomes a hard-working husband</t>
        </is>
      </c>
      <c r="AB10" s="19" t="inlineStr">
        <is>
          <t>Heroic</t>
        </is>
      </c>
      <c r="AC10" s="5" t="inlineStr">
        <is>
          <t>Reunited with Madhu</t>
        </is>
      </c>
      <c r="AD10" s="5" t="inlineStr">
        <is>
          <t>Madhuri Dixit</t>
        </is>
      </c>
      <c r="AE10" s="5" t="inlineStr">
        <is>
          <t>Central</t>
        </is>
      </c>
      <c r="AF10" s="20" t="n">
        <v>10</v>
      </c>
      <c r="AG10" s="19" t="inlineStr">
        <is>
          <t>Rivals to lovers</t>
        </is>
      </c>
      <c r="AH10" s="21" t="n">
        <v>2</v>
      </c>
      <c r="AI10" s="5" t="n"/>
      <c r="AJ10" s="5" t="n"/>
      <c r="AK10" s="5" t="n"/>
      <c r="AL10" s="5" t="n"/>
      <c r="AM10" s="5" t="inlineStr">
        <is>
          <t>INR crore</t>
        </is>
      </c>
      <c r="AN10" s="5" t="inlineStr">
        <is>
          <t>Highest-grossing film of the year</t>
        </is>
      </c>
      <c r="AO10" s="20" t="n">
        <v>1</v>
      </c>
      <c r="AP10" s="19" t="inlineStr">
        <is>
          <t>Positive reviews, with praise for the soundtrack and cast performances.</t>
        </is>
      </c>
      <c r="AQ10" s="19" t="inlineStr">
        <is>
          <t>Madhuri Dixit's first Filmfare Best Actress award; soundtrack sold about 2 million units; remade in Telugu (Tholi Muddu) and Kannada (Shivaranjani).</t>
        </is>
      </c>
      <c r="AR10" s="5" t="inlineStr">
        <is>
          <t>SOURCE-014</t>
        </is>
      </c>
      <c r="AS10" s="5" t="inlineStr">
        <is>
          <t>Medium</t>
        </is>
      </c>
      <c r="AT10" s="5" t="inlineStr">
        <is>
          <t>Wikipedia gives two release dates (15 and 22 June 1990); the infobox date 22 June is used, matching Bollywood Hungama. Box office 'est. ₹20 crore' (Box Office India via Wikipedia) has no nett/gross label and is not entered.</t>
        </is>
      </c>
    </row>
    <row r="11" ht="94" customHeight="1">
      <c r="A11" s="15" t="inlineStr">
        <is>
          <t>FILM-010</t>
        </is>
      </c>
      <c r="B11" s="5" t="inlineStr">
        <is>
          <t>Deewana Mujh Sa Nahin</t>
        </is>
      </c>
      <c r="C11" s="16" t="n">
        <v>33074</v>
      </c>
      <c r="D11" s="17" t="n">
        <v>1990</v>
      </c>
      <c r="E11" s="5" t="inlineStr">
        <is>
          <t>1990s</t>
        </is>
      </c>
      <c r="F11" s="5" t="inlineStr">
        <is>
          <t>Hindi</t>
        </is>
      </c>
      <c r="G11" s="5" t="inlineStr">
        <is>
          <t>Romantic action</t>
        </is>
      </c>
      <c r="H11" s="5" t="n"/>
      <c r="I11" s="17" t="n">
        <v>130</v>
      </c>
      <c r="J11" s="5" t="inlineStr">
        <is>
          <t>Y. Nageshwar Rao</t>
        </is>
      </c>
      <c r="K11" s="5" t="inlineStr">
        <is>
          <t>Aji</t>
        </is>
      </c>
      <c r="L11" s="5" t="inlineStr">
        <is>
          <t>Vandana Productions</t>
        </is>
      </c>
      <c r="M11" s="5" t="inlineStr">
        <is>
          <t>M. Parvez</t>
        </is>
      </c>
      <c r="N11" s="5" t="inlineStr">
        <is>
          <t>Remake of the 1986 Pakistani film Beyqaraar</t>
        </is>
      </c>
      <c r="O11" s="5" t="inlineStr">
        <is>
          <t>Anand–Milind</t>
        </is>
      </c>
      <c r="P11" s="5" t="n"/>
      <c r="Q11" s="5" t="inlineStr">
        <is>
          <t>Sameer</t>
        </is>
      </c>
      <c r="R11" s="5" t="inlineStr">
        <is>
          <t>Ajay Sharma</t>
        </is>
      </c>
      <c r="S11" s="5" t="n"/>
      <c r="T11" s="5" t="inlineStr">
        <is>
          <t>Lead</t>
        </is>
      </c>
      <c r="U11" s="20" t="n">
        <v>1</v>
      </c>
      <c r="V11" s="5" t="inlineStr">
        <is>
          <t>Photographer at a modelling agency</t>
        </is>
      </c>
      <c r="W11" s="5" t="n"/>
      <c r="X11" s="19" t="inlineStr">
        <is>
          <t>Ajay, a photographer at a modelling agency, becomes convinced that his colleague Anita returns his love, though she sees him only as a friend. When she becomes engaged to Vikram, Ajay keeps preparing to marry her anyway, and she must act to stop his obsession. Events expose that Vikram does not love her and that Ajay's devotion is sincere, and the film ends happily with them together.</t>
        </is>
      </c>
      <c r="Y11" s="19" t="inlineStr">
        <is>
          <t>Marry Anita</t>
        </is>
      </c>
      <c r="Z11" s="19" t="inlineStr">
        <is>
          <t>Anita does not love him and is engaged to Vikram</t>
        </is>
      </c>
      <c r="AA11" s="19" t="inlineStr">
        <is>
          <t>Deluded, fixated admirer is finally accepted</t>
        </is>
      </c>
      <c r="AB11" s="19" t="inlineStr">
        <is>
          <t>Sympathetic but obsessive</t>
        </is>
      </c>
      <c r="AC11" s="5" t="inlineStr">
        <is>
          <t>Wins Anita</t>
        </is>
      </c>
      <c r="AD11" s="5" t="inlineStr">
        <is>
          <t>Madhuri Dixit</t>
        </is>
      </c>
      <c r="AE11" s="5" t="inlineStr">
        <is>
          <t>Central</t>
        </is>
      </c>
      <c r="AF11" s="20" t="n">
        <v>9</v>
      </c>
      <c r="AG11" s="19" t="inlineStr">
        <is>
          <t>Obsessive pursuit</t>
        </is>
      </c>
      <c r="AH11" s="5" t="n"/>
      <c r="AI11" s="5" t="n"/>
      <c r="AJ11" s="5" t="n"/>
      <c r="AK11" s="5" t="n"/>
      <c r="AL11" s="5" t="n"/>
      <c r="AM11" s="5" t="n"/>
      <c r="AN11" s="5" t="n"/>
      <c r="AO11" s="18" t="n"/>
      <c r="AP11" s="19" t="n"/>
      <c r="AQ11" s="19" t="n"/>
      <c r="AR11" s="5" t="inlineStr">
        <is>
          <t>SOURCE-015</t>
        </is>
      </c>
      <c r="AS11" s="5" t="inlineStr">
        <is>
          <t>Low</t>
        </is>
      </c>
      <c r="AT11" s="5" t="inlineStr">
        <is>
          <t>No budget, box-office, reception or award data found. Plot detail comes from a short Wikipedia synopsis.</t>
        </is>
      </c>
    </row>
    <row r="12" ht="79" customHeight="1">
      <c r="A12" s="15" t="inlineStr">
        <is>
          <t>FILM-011</t>
        </is>
      </c>
      <c r="B12" s="5" t="inlineStr">
        <is>
          <t>Jawani Zindabad</t>
        </is>
      </c>
      <c r="C12" s="16" t="n">
        <v>33102</v>
      </c>
      <c r="D12" s="17" t="n">
        <v>1990</v>
      </c>
      <c r="E12" s="5" t="inlineStr">
        <is>
          <t>1990s</t>
        </is>
      </c>
      <c r="F12" s="5" t="inlineStr">
        <is>
          <t>Hindi</t>
        </is>
      </c>
      <c r="G12" s="5" t="inlineStr">
        <is>
          <t>Romantic action</t>
        </is>
      </c>
      <c r="H12" s="5" t="inlineStr">
        <is>
          <t>Social drama</t>
        </is>
      </c>
      <c r="I12" s="17" t="n">
        <v>163</v>
      </c>
      <c r="J12" s="5" t="inlineStr">
        <is>
          <t>Arun Bhatt</t>
        </is>
      </c>
      <c r="K12" s="5" t="inlineStr">
        <is>
          <t>Jay Mehta</t>
        </is>
      </c>
      <c r="L12" s="5" t="inlineStr">
        <is>
          <t>Prathima Films</t>
        </is>
      </c>
      <c r="M12" s="5" t="inlineStr">
        <is>
          <t>Bhushan Vanmali</t>
        </is>
      </c>
      <c r="N12" s="5" t="inlineStr">
        <is>
          <t>Remake of the Kannada film Avale Nanna Hendthi (1988)</t>
        </is>
      </c>
      <c r="O12" s="5" t="inlineStr">
        <is>
          <t>Anand–Milind</t>
        </is>
      </c>
      <c r="P12" s="5" t="n"/>
      <c r="Q12" s="5" t="n"/>
      <c r="R12" s="5" t="inlineStr">
        <is>
          <t>Shashi Sharma</t>
        </is>
      </c>
      <c r="S12" s="5" t="n"/>
      <c r="T12" s="5" t="inlineStr">
        <is>
          <t>Lead</t>
        </is>
      </c>
      <c r="U12" s="20" t="n">
        <v>1</v>
      </c>
      <c r="V12" s="5" t="inlineStr">
        <is>
          <t>Office worker</t>
        </is>
      </c>
      <c r="W12" s="5" t="inlineStr">
        <is>
          <t>Family scarred by dowry: his elder sister died a dowry victim</t>
        </is>
      </c>
      <c r="X12" s="19" t="inlineStr">
        <is>
          <t>Shashi, whose elder sister died as a victim of dowry, vows never to give or take dowry. Defying his mother, he marries Sugandha without any dowry, then takes on the greedy in-laws of his younger sister Rama, led by the politician Goverdhan Verma. Seriously injured in the confrontation, he survives to see Goverdhan reform.</t>
        </is>
      </c>
      <c r="Y12" s="19" t="inlineStr">
        <is>
          <t>End the dowry practice that killed his sister</t>
        </is>
      </c>
      <c r="Z12" s="19" t="inlineStr">
        <is>
          <t>Protecting Rama from her in-laws' greed</t>
        </is>
      </c>
      <c r="AA12" s="19" t="inlineStr">
        <is>
          <t>A principled young man holds to his vow against family pressure and political power</t>
        </is>
      </c>
      <c r="AB12" s="19" t="inlineStr">
        <is>
          <t>Heroic</t>
        </is>
      </c>
      <c r="AC12" s="5" t="inlineStr">
        <is>
          <t>Survives serious injuries; Goverdhan reforms</t>
        </is>
      </c>
      <c r="AD12" s="5" t="inlineStr">
        <is>
          <t>Farha Naaz</t>
        </is>
      </c>
      <c r="AE12" s="5" t="inlineStr">
        <is>
          <t>Secondary</t>
        </is>
      </c>
      <c r="AF12" s="20" t="n">
        <v>4</v>
      </c>
      <c r="AG12" s="19" t="inlineStr">
        <is>
          <t>Romance subordinate to another genre</t>
        </is>
      </c>
      <c r="AH12" s="5" t="n"/>
      <c r="AI12" s="5" t="n"/>
      <c r="AJ12" s="5" t="n"/>
      <c r="AK12" s="5" t="n"/>
      <c r="AL12" s="5" t="n"/>
      <c r="AM12" s="5" t="n"/>
      <c r="AN12" s="5" t="n"/>
      <c r="AO12" s="18" t="n"/>
      <c r="AP12" s="19" t="n"/>
      <c r="AQ12" s="19" t="n"/>
      <c r="AR12" s="5" t="inlineStr">
        <is>
          <t>SOURCE-016</t>
        </is>
      </c>
      <c r="AS12" s="5" t="inlineStr">
        <is>
          <t>Low</t>
        </is>
      </c>
      <c r="AT12" s="5" t="inlineStr">
        <is>
          <t>Marriage to Sugandha is documented, but not how they meet. No box-office, reception or award data found.</t>
        </is>
      </c>
    </row>
    <row r="13" ht="79" customHeight="1">
      <c r="A13" s="15" t="inlineStr">
        <is>
          <t>FILM-012</t>
        </is>
      </c>
      <c r="B13" s="5" t="inlineStr">
        <is>
          <t>Afsana Pyar Ka</t>
        </is>
      </c>
      <c r="C13" s="16" t="n">
        <v>33354</v>
      </c>
      <c r="D13" s="17" t="n">
        <v>1991</v>
      </c>
      <c r="E13" s="5" t="inlineStr">
        <is>
          <t>1990s</t>
        </is>
      </c>
      <c r="F13" s="5" t="inlineStr">
        <is>
          <t>Hindi</t>
        </is>
      </c>
      <c r="G13" s="5" t="inlineStr">
        <is>
          <t>Romantic drama</t>
        </is>
      </c>
      <c r="H13" s="5" t="n"/>
      <c r="I13" s="17" t="n">
        <v>145</v>
      </c>
      <c r="J13" s="5" t="inlineStr">
        <is>
          <t>M. R. Shahjahan</t>
        </is>
      </c>
      <c r="K13" s="5" t="inlineStr">
        <is>
          <t>Manoj Seksaria; Sanjay Seksaria; Arvind Seksaria</t>
        </is>
      </c>
      <c r="L13" s="5" t="n"/>
      <c r="M13" s="5" t="inlineStr">
        <is>
          <t>Bono Deb (story, screenplay); Ramesh Pant (dialogue)</t>
        </is>
      </c>
      <c r="N13" s="5" t="n"/>
      <c r="O13" s="5" t="inlineStr">
        <is>
          <t>Bappi Lahiri</t>
        </is>
      </c>
      <c r="P13" s="5" t="n"/>
      <c r="Q13" s="5" t="inlineStr">
        <is>
          <t>Sameer; Anjaan</t>
        </is>
      </c>
      <c r="R13" s="5" t="inlineStr">
        <is>
          <t>Raj</t>
        </is>
      </c>
      <c r="S13" s="5" t="n"/>
      <c r="T13" s="5" t="inlineStr">
        <is>
          <t>Lead</t>
        </is>
      </c>
      <c r="U13" s="20" t="n">
        <v>1</v>
      </c>
      <c r="V13" s="5" t="inlineStr">
        <is>
          <t>College student</t>
        </is>
      </c>
      <c r="W13" s="5" t="inlineStr">
        <is>
          <t>Raised by his father Mahendra Behl, apart from the mother who left him as an infant</t>
        </is>
      </c>
      <c r="X13" s="19" t="inlineStr">
        <is>
          <t>Raj and Nikita meet at college and, after early misunderstandings, fall in love without knowing their families share a long-standing feud. Raj also does not realise that the college's new principal is the mother who left him with his father. When both families forbid the marriage and arrange other matches, the couple decide to elope.</t>
        </is>
      </c>
      <c r="Y13" s="19" t="inlineStr">
        <is>
          <t>Marry Nikita</t>
        </is>
      </c>
      <c r="Z13" s="19" t="inlineStr">
        <is>
          <t>Feuding families refuse the match</t>
        </is>
      </c>
      <c r="AA13" s="19" t="inlineStr">
        <is>
          <t>A college romance becomes open defiance of both families</t>
        </is>
      </c>
      <c r="AB13" s="19" t="inlineStr">
        <is>
          <t>Heroic</t>
        </is>
      </c>
      <c r="AC13" s="5" t="inlineStr">
        <is>
          <t>Elopes with Nikita; later events not verified</t>
        </is>
      </c>
      <c r="AD13" s="5" t="inlineStr">
        <is>
          <t>Neelam</t>
        </is>
      </c>
      <c r="AE13" s="5" t="inlineStr">
        <is>
          <t>Central</t>
        </is>
      </c>
      <c r="AF13" s="20" t="n">
        <v>9</v>
      </c>
      <c r="AG13" s="19" t="inlineStr">
        <is>
          <t>Forbidden love</t>
        </is>
      </c>
      <c r="AH13" s="5" t="n"/>
      <c r="AI13" s="5" t="n"/>
      <c r="AJ13" s="5" t="n"/>
      <c r="AK13" s="5" t="n"/>
      <c r="AL13" s="5" t="n"/>
      <c r="AM13" s="5" t="n"/>
      <c r="AN13" s="5" t="n"/>
      <c r="AO13" s="18" t="n"/>
      <c r="AP13" s="19" t="n"/>
      <c r="AQ13" s="19" t="n"/>
      <c r="AR13" s="5" t="inlineStr">
        <is>
          <t>SOURCE-017; SOURCE-065</t>
        </is>
      </c>
      <c r="AS13" s="5" t="inlineStr">
        <is>
          <t>Low</t>
        </is>
      </c>
      <c r="AT13" s="5" t="inlineStr">
        <is>
          <t>The family backstory and elopement come from web search summaries of IMDb-style plot synopses. The songs 'Nazren Mili' and 'Tip Tip Tip Tip Baarish Shuru Ho Gayi' were popular. No box-office data found.</t>
        </is>
      </c>
    </row>
    <row r="14" ht="94" customHeight="1">
      <c r="A14" s="15" t="inlineStr">
        <is>
          <t>FILM-013</t>
        </is>
      </c>
      <c r="B14" s="5" t="inlineStr">
        <is>
          <t>Dil Hai Ke Manta Nahin</t>
        </is>
      </c>
      <c r="C14" s="16" t="n">
        <v>33431</v>
      </c>
      <c r="D14" s="17" t="n">
        <v>1991</v>
      </c>
      <c r="E14" s="5" t="inlineStr">
        <is>
          <t>1990s</t>
        </is>
      </c>
      <c r="F14" s="5" t="inlineStr">
        <is>
          <t>Hindi</t>
        </is>
      </c>
      <c r="G14" s="5" t="inlineStr">
        <is>
          <t>Romantic comedy</t>
        </is>
      </c>
      <c r="H14" s="5" t="inlineStr">
        <is>
          <t>Road film</t>
        </is>
      </c>
      <c r="I14" s="17" t="n">
        <v>151</v>
      </c>
      <c r="J14" s="5" t="inlineStr">
        <is>
          <t>Mahesh Bhatt</t>
        </is>
      </c>
      <c r="K14" s="5" t="inlineStr">
        <is>
          <t>Gulshan Kumar; Mukesh Bhatt</t>
        </is>
      </c>
      <c r="L14" s="5" t="inlineStr">
        <is>
          <t>T-Series; Vishesh Films</t>
        </is>
      </c>
      <c r="M14" s="5" t="inlineStr">
        <is>
          <t>Robin Bhatt; Sharad Joshi</t>
        </is>
      </c>
      <c r="N14" s="5" t="inlineStr">
        <is>
          <t>Adaptation of It Happened One Night (1934) and Chori Chori (1956)</t>
        </is>
      </c>
      <c r="O14" s="5" t="inlineStr">
        <is>
          <t>Nadeem–Shravan</t>
        </is>
      </c>
      <c r="P14" s="5" t="n"/>
      <c r="Q14" s="5" t="inlineStr">
        <is>
          <t>Sameer; Faaiz Anwar; Rani Malik; Aziz Khan</t>
        </is>
      </c>
      <c r="R14" s="5" t="inlineStr">
        <is>
          <t>Raghu Jetley</t>
        </is>
      </c>
      <c r="S14" s="5" t="n"/>
      <c r="T14" s="5" t="inlineStr">
        <is>
          <t>Lead</t>
        </is>
      </c>
      <c r="U14" s="20" t="n">
        <v>1</v>
      </c>
      <c r="V14" s="5" t="inlineStr">
        <is>
          <t>Journalist who has just lost his job</t>
        </is>
      </c>
      <c r="W14" s="5" t="inlineStr">
        <is>
          <t>Working-class and financially insecure</t>
        </is>
      </c>
      <c r="X14" s="19" t="inlineStr">
        <is>
          <t>Raghu, a newly unemployed journalist, recognises a runaway heiress on a bus and forces a bargain: he will help her reach her film-star fiancé in exchange for an exclusive story. The road trip turns bickering into love. When he leaves to raise money so he can propose, she believes he has used her and returns to marry the star, until her father reveals Raghu's integrity.</t>
        </is>
      </c>
      <c r="Y14" s="19" t="inlineStr">
        <is>
          <t>An exclusive story to rescue his career, then love for Pooja</t>
        </is>
      </c>
      <c r="Z14" s="19" t="inlineStr">
        <is>
          <t>Has no money or standing to marry the heiress he has fallen for</t>
        </is>
      </c>
      <c r="AA14" s="19" t="inlineStr">
        <is>
          <t>Opportunistic blackmailer becomes a devoted, scrupulous lover</t>
        </is>
      </c>
      <c r="AB14" s="19" t="inlineStr">
        <is>
          <t>Morally grey to heroic</t>
        </is>
      </c>
      <c r="AC14" s="5" t="inlineStr">
        <is>
          <t>Pooja leaves her wedding to marry him with her father's blessing</t>
        </is>
      </c>
      <c r="AD14" s="5" t="inlineStr">
        <is>
          <t>Pooja Bhatt</t>
        </is>
      </c>
      <c r="AE14" s="5" t="inlineStr">
        <is>
          <t>Central</t>
        </is>
      </c>
      <c r="AF14" s="20" t="n">
        <v>9</v>
      </c>
      <c r="AG14" s="19" t="inlineStr">
        <is>
          <t>Playful conflict masking attraction</t>
        </is>
      </c>
      <c r="AH14" s="5" t="n"/>
      <c r="AI14" s="5" t="n"/>
      <c r="AJ14" s="5" t="n"/>
      <c r="AK14" s="5" t="n"/>
      <c r="AL14" s="5" t="n"/>
      <c r="AM14" s="5" t="inlineStr">
        <is>
          <t>INR crore</t>
        </is>
      </c>
      <c r="AN14" s="5" t="inlineStr">
        <is>
          <t>Box office success</t>
        </is>
      </c>
      <c r="AO14" s="18" t="n"/>
      <c r="AP14" s="19" t="inlineStr">
        <is>
          <t>A commercial success whose soundtrack was praised; boosted Pooja Bhatt's career and consolidated Aamir Khan's stardom.</t>
        </is>
      </c>
      <c r="AQ14" s="19" t="inlineStr">
        <is>
          <t>Remade in Telugu as Kurradi Kurrodu (1994) and Tamil as Kadhal Rojavae (2000).</t>
        </is>
      </c>
      <c r="AR14" s="5" t="inlineStr">
        <is>
          <t>SOURCE-018; SOURCE-019</t>
        </is>
      </c>
      <c r="AS14" s="5" t="inlineStr">
        <is>
          <t>Medium</t>
        </is>
      </c>
      <c r="AT14" s="5" t="inlineStr">
        <is>
          <t>Wikipedia gives box office of ₹42 million (₹4.2 crore) citing Box Office India, without saying whether it is nett or gross; Box Office India's own film page shows no figures. Not entered in any commercial column. Runtime from Box Office India. Filmfare: Best Actor nomination for Aamir Khan.</t>
        </is>
      </c>
    </row>
    <row r="15" ht="79" customHeight="1">
      <c r="A15" s="15" t="inlineStr">
        <is>
          <t>FILM-014</t>
        </is>
      </c>
      <c r="B15" s="5" t="inlineStr">
        <is>
          <t>Daulat Ki Jung</t>
        </is>
      </c>
      <c r="C15" s="16" t="n">
        <v>33620</v>
      </c>
      <c r="D15" s="17" t="n">
        <v>1992</v>
      </c>
      <c r="E15" s="5" t="inlineStr">
        <is>
          <t>1990s</t>
        </is>
      </c>
      <c r="F15" s="5" t="inlineStr">
        <is>
          <t>Hindi</t>
        </is>
      </c>
      <c r="G15" s="5" t="inlineStr">
        <is>
          <t>Action adventure</t>
        </is>
      </c>
      <c r="H15" s="5" t="n"/>
      <c r="I15" s="18" t="n"/>
      <c r="J15" s="5" t="inlineStr">
        <is>
          <t>S. A. Kader</t>
        </is>
      </c>
      <c r="K15" s="5" t="inlineStr">
        <is>
          <t>Jalil Ahmed</t>
        </is>
      </c>
      <c r="L15" s="5" t="n"/>
      <c r="M15" s="5" t="n"/>
      <c r="N15" s="5" t="inlineStr">
        <is>
          <t>Inspired by Mackenna's Gold (1969)</t>
        </is>
      </c>
      <c r="O15" s="5" t="inlineStr">
        <is>
          <t>Anand–Milind</t>
        </is>
      </c>
      <c r="P15" s="5" t="n"/>
      <c r="Q15" s="5" t="inlineStr">
        <is>
          <t>Majrooh Sultanpuri</t>
        </is>
      </c>
      <c r="R15" s="5" t="inlineStr">
        <is>
          <t>Rajesh Chaudhry</t>
        </is>
      </c>
      <c r="S15" s="5" t="n"/>
      <c r="T15" s="5" t="inlineStr">
        <is>
          <t>Lead</t>
        </is>
      </c>
      <c r="U15" s="20" t="n">
        <v>1</v>
      </c>
      <c r="V15" s="5" t="inlineStr">
        <is>
          <t>College student</t>
        </is>
      </c>
      <c r="W15" s="5" t="inlineStr">
        <is>
          <t>Son of the wealthy businessman Bhushan Chaudhry</t>
        </is>
      </c>
      <c r="X15" s="19" t="inlineStr">
        <is>
          <t>Rajesh, the son of a wealthy businessman, loves his classmate Asha, whose father is his father's business rival. When both fathers clamp down on them, the couple elope in a stolen car and stumble into a treasure hunt around a tribal village, pursued by crooks. An undercover police officer disposes of the criminals and the lovers are united.</t>
        </is>
      </c>
      <c r="Y15" s="19" t="inlineStr">
        <is>
          <t>Be with Asha</t>
        </is>
      </c>
      <c r="Z15" s="19" t="inlineStr">
        <is>
          <t>Rival fathers and treasure-hunting criminals</t>
        </is>
      </c>
      <c r="AA15" s="19" t="inlineStr">
        <is>
          <t>Sheltered rich son becomes a fugitive lover</t>
        </is>
      </c>
      <c r="AB15" s="19" t="inlineStr">
        <is>
          <t>Heroic</t>
        </is>
      </c>
      <c r="AC15" s="5" t="inlineStr">
        <is>
          <t>United with Asha</t>
        </is>
      </c>
      <c r="AD15" s="5" t="inlineStr">
        <is>
          <t>Juhi Chawla</t>
        </is>
      </c>
      <c r="AE15" s="5" t="inlineStr">
        <is>
          <t>Central</t>
        </is>
      </c>
      <c r="AF15" s="20" t="n">
        <v>7</v>
      </c>
      <c r="AG15" s="19" t="inlineStr">
        <is>
          <t>United couple versus external world</t>
        </is>
      </c>
      <c r="AH15" s="5" t="n"/>
      <c r="AI15" s="5" t="n"/>
      <c r="AJ15" s="5" t="n"/>
      <c r="AK15" s="5" t="n"/>
      <c r="AL15" s="5" t="n"/>
      <c r="AM15" s="5" t="n"/>
      <c r="AN15" s="5" t="inlineStr">
        <is>
          <t>Box office failure</t>
        </is>
      </c>
      <c r="AO15" s="18" t="n"/>
      <c r="AP15" s="19" t="n"/>
      <c r="AQ15" s="19" t="n"/>
      <c r="AR15" s="5" t="inlineStr">
        <is>
          <t>SOURCE-020</t>
        </is>
      </c>
      <c r="AS15" s="5" t="inlineStr">
        <is>
          <t>Low</t>
        </is>
      </c>
      <c r="AT15" s="5" t="inlineStr">
        <is>
          <t>Release date 17 January 1992 per Wikipedia; Bollywood Hungama lists 3 January 1992. Runtime, writers and box-office figures not found.</t>
        </is>
      </c>
    </row>
    <row r="16" ht="94" customHeight="1">
      <c r="A16" s="15" t="inlineStr">
        <is>
          <t>FILM-015</t>
        </is>
      </c>
      <c r="B16" s="5" t="inlineStr">
        <is>
          <t>Jo Jeeta Wohi Sikandar</t>
        </is>
      </c>
      <c r="C16" s="16" t="n">
        <v>33746</v>
      </c>
      <c r="D16" s="17" t="n">
        <v>1992</v>
      </c>
      <c r="E16" s="5" t="inlineStr">
        <is>
          <t>1990s</t>
        </is>
      </c>
      <c r="F16" s="5" t="inlineStr">
        <is>
          <t>Hindi</t>
        </is>
      </c>
      <c r="G16" s="5" t="inlineStr">
        <is>
          <t>Sports drama</t>
        </is>
      </c>
      <c r="H16" s="5" t="inlineStr">
        <is>
          <t>Coming-of-age</t>
        </is>
      </c>
      <c r="I16" s="17" t="n">
        <v>169</v>
      </c>
      <c r="J16" s="5" t="inlineStr">
        <is>
          <t>Mansoor Khan</t>
        </is>
      </c>
      <c r="K16" s="5" t="inlineStr">
        <is>
          <t>Nasir Hussain</t>
        </is>
      </c>
      <c r="L16" s="5" t="inlineStr">
        <is>
          <t>Nasir Hussain Films</t>
        </is>
      </c>
      <c r="M16" s="5" t="inlineStr">
        <is>
          <t>Nasir Hussain; Mansoor Khan</t>
        </is>
      </c>
      <c r="N16" s="5" t="inlineStr">
        <is>
          <t>Original; resemblance to Breaking Away (1979) noted after release</t>
        </is>
      </c>
      <c r="O16" s="5" t="inlineStr">
        <is>
          <t>Jatin–Lalit</t>
        </is>
      </c>
      <c r="P16" s="5" t="n"/>
      <c r="Q16" s="5" t="inlineStr">
        <is>
          <t>Majrooh Sultanpuri</t>
        </is>
      </c>
      <c r="R16" s="5" t="inlineStr">
        <is>
          <t>Sanjaylal "Sanju" Sharma</t>
        </is>
      </c>
      <c r="S16" s="5" t="n"/>
      <c r="T16" s="5" t="inlineStr">
        <is>
          <t>Lead</t>
        </is>
      </c>
      <c r="U16" s="20" t="n">
        <v>1</v>
      </c>
      <c r="V16" s="5" t="inlineStr">
        <is>
          <t>Student at Model College</t>
        </is>
      </c>
      <c r="W16" s="5" t="inlineStr">
        <is>
          <t>Middle-class son of Ramlal Sharma; younger brother of the college's star cyclist Ratan</t>
        </is>
      </c>
      <c r="X16" s="19" t="inlineStr">
        <is>
          <t>Sanju is a carefree Model College student living in the shadow of his brother Ratan and the elite Rajput College. He fakes wealth to date the rich Devika, ignoring his loyal friend Anjali's warnings, and is humiliated when exposed. After Ratan is badly injured in the rivalry, a chastened Sanju takes his place in the inter-college cycle race and wins it in the final seconds.</t>
        </is>
      </c>
      <c r="Y16" s="19" t="inlineStr">
        <is>
          <t>Status and fun, later redemption for his brother and father</t>
        </is>
      </c>
      <c r="Z16" s="19" t="inlineStr">
        <is>
          <t>Class rivalry with Rajput College and its champion Shekhar</t>
        </is>
      </c>
      <c r="AA16" s="19" t="inlineStr">
        <is>
          <t>Irresponsible show-off becomes a disciplined, humbled champion</t>
        </is>
      </c>
      <c r="AB16" s="19" t="inlineStr">
        <is>
          <t>Flawed, redeemed</t>
        </is>
      </c>
      <c r="AC16" s="5" t="inlineStr">
        <is>
          <t>Wins the cycle race for Model College</t>
        </is>
      </c>
      <c r="AD16" s="5" t="inlineStr">
        <is>
          <t>Ayesha Jhulka; Pooja Bedi</t>
        </is>
      </c>
      <c r="AE16" s="5" t="inlineStr">
        <is>
          <t>Major</t>
        </is>
      </c>
      <c r="AF16" s="20" t="n">
        <v>6</v>
      </c>
      <c r="AG16" s="19" t="inlineStr">
        <is>
          <t>Multiple romantic relationships</t>
        </is>
      </c>
      <c r="AH16" s="5" t="n"/>
      <c r="AI16" s="5" t="n"/>
      <c r="AJ16" s="5" t="n"/>
      <c r="AK16" s="5" t="n"/>
      <c r="AL16" s="5" t="n"/>
      <c r="AM16" s="5" t="inlineStr">
        <is>
          <t>INR crore</t>
        </is>
      </c>
      <c r="AN16" s="5" t="inlineStr">
        <is>
          <t>Commercially successful</t>
        </is>
      </c>
      <c r="AO16" s="18" t="n"/>
      <c r="AP16" s="19" t="inlineStr">
        <is>
          <t>The Indian Express (1992) praised the cinematography, sets and performances of Aamir Khan, Ayesha Jhulka and Pooja Bedi but criticised the music.</t>
        </is>
      </c>
      <c r="AQ16" s="19" t="inlineStr">
        <is>
          <t>Cult following; often cited among the best Indian coming-of-age films. Filmfare Best Film.</t>
        </is>
      </c>
      <c r="AR16" s="5" t="inlineStr">
        <is>
          <t>SOURCE-021</t>
        </is>
      </c>
      <c r="AS16" s="5" t="inlineStr">
        <is>
          <t>Medium</t>
        </is>
      </c>
      <c r="AT16" s="5" t="inlineStr">
        <is>
          <t>Wikipedia gives India box office of ₹70 million (₹7 crore), citing Bollywood Hungama and Box Office India, without a nett/gross label; not entered.</t>
        </is>
      </c>
    </row>
    <row r="17" ht="79" customHeight="1">
      <c r="A17" s="15" t="inlineStr">
        <is>
          <t>FILM-016</t>
        </is>
      </c>
      <c r="B17" s="5" t="inlineStr">
        <is>
          <t>Isi Ka Naam Zindagi</t>
        </is>
      </c>
      <c r="C17" s="16" t="n">
        <v>33844</v>
      </c>
      <c r="D17" s="17" t="n">
        <v>1992</v>
      </c>
      <c r="E17" s="5" t="inlineStr">
        <is>
          <t>1990s</t>
        </is>
      </c>
      <c r="F17" s="5" t="inlineStr">
        <is>
          <t>Hindi</t>
        </is>
      </c>
      <c r="G17" s="5" t="inlineStr">
        <is>
          <t>Supernatural action comedy</t>
        </is>
      </c>
      <c r="H17" s="5" t="n"/>
      <c r="I17" s="17" t="n">
        <v>145</v>
      </c>
      <c r="J17" s="5" t="inlineStr">
        <is>
          <t>Kalidas</t>
        </is>
      </c>
      <c r="K17" s="5" t="inlineStr">
        <is>
          <t>Ratan Mukherjee</t>
        </is>
      </c>
      <c r="L17" s="5" t="n"/>
      <c r="M17" s="5" t="n"/>
      <c r="N17" s="5" t="inlineStr">
        <is>
          <t>Remake of the Bengali film Banchharamer Bagaan (1980), based on Manoj Mitra's play Shajano Bagaan</t>
        </is>
      </c>
      <c r="O17" s="5" t="inlineStr">
        <is>
          <t>Bappi Lahiri</t>
        </is>
      </c>
      <c r="P17" s="5" t="n"/>
      <c r="Q17" s="5" t="inlineStr">
        <is>
          <t>Ramesh Pant</t>
        </is>
      </c>
      <c r="R17" s="5" t="inlineStr">
        <is>
          <t>Chhotu</t>
        </is>
      </c>
      <c r="S17" s="5" t="n"/>
      <c r="T17" s="5" t="inlineStr">
        <is>
          <t>Co-lead</t>
        </is>
      </c>
      <c r="U17" s="20" t="n">
        <v>1</v>
      </c>
      <c r="V17" s="5" t="n"/>
      <c r="W17" s="5" t="inlineStr">
        <is>
          <t>Grandson of Bansiram, who guards a coveted plot of land</t>
        </is>
      </c>
      <c r="X17" s="19" t="inlineStr">
        <is>
          <t>Chhotu is the grandson of Bansiram, an old man who refuses to surrender a prized plot of land to successive heirs of a zamindar family. The film's weight rests on Pran's Bansiram, and later comment describes Aamir Khan's part as largely inconsequential, relegated to songs and a romance with Chumki. No detailed account of Chhotu's own arc was found.</t>
        </is>
      </c>
      <c r="Y17" s="19" t="n"/>
      <c r="Z17" s="19" t="n"/>
      <c r="AA17" s="19" t="n"/>
      <c r="AB17" s="19" t="n"/>
      <c r="AC17" s="5" t="n"/>
      <c r="AD17" s="5" t="inlineStr">
        <is>
          <t>Farah</t>
        </is>
      </c>
      <c r="AE17" s="5" t="inlineStr">
        <is>
          <t>Minor</t>
        </is>
      </c>
      <c r="AF17" s="20" t="n">
        <v>3</v>
      </c>
      <c r="AG17" s="19" t="inlineStr">
        <is>
          <t>Romance subordinate to another genre</t>
        </is>
      </c>
      <c r="AH17" s="5" t="n"/>
      <c r="AI17" s="5" t="n"/>
      <c r="AJ17" s="5" t="n"/>
      <c r="AK17" s="5" t="n"/>
      <c r="AL17" s="5" t="n"/>
      <c r="AM17" s="5" t="inlineStr">
        <is>
          <t>INR crore</t>
        </is>
      </c>
      <c r="AN17" s="5" t="inlineStr">
        <is>
          <t>Box office failure</t>
        </is>
      </c>
      <c r="AO17" s="18" t="n"/>
      <c r="AP17" s="19" t="inlineStr">
        <is>
          <t>Pran's performance was singled out and used to promote the film.</t>
        </is>
      </c>
      <c r="AQ17" s="19" t="n"/>
      <c r="AR17" s="5" t="inlineStr">
        <is>
          <t>SOURCE-022; SOURCE-065</t>
        </is>
      </c>
      <c r="AS17" s="5" t="inlineStr">
        <is>
          <t>Low</t>
        </is>
      </c>
      <c r="AT17" s="5" t="inlineStr">
        <is>
          <t>Billed first but functions as a co-lead to Pran. Wikipedia gives box office of ₹18 million (Indicine) without a nett/gross label; not entered. No Romances row because the relationship with Chumki is undocumented beyond the cast list.</t>
        </is>
      </c>
    </row>
    <row r="18" ht="94" customHeight="1">
      <c r="A18" s="15" t="inlineStr">
        <is>
          <t>FILM-017</t>
        </is>
      </c>
      <c r="B18" s="5" t="inlineStr">
        <is>
          <t>Damini</t>
        </is>
      </c>
      <c r="C18" s="16" t="n">
        <v>34089</v>
      </c>
      <c r="D18" s="17" t="n">
        <v>1993</v>
      </c>
      <c r="E18" s="5" t="inlineStr">
        <is>
          <t>1990s</t>
        </is>
      </c>
      <c r="F18" s="5" t="inlineStr">
        <is>
          <t>Hindi</t>
        </is>
      </c>
      <c r="G18" s="5" t="inlineStr">
        <is>
          <t>Legal drama</t>
        </is>
      </c>
      <c r="H18" s="5" t="n"/>
      <c r="I18" s="17" t="n">
        <v>150</v>
      </c>
      <c r="J18" s="5" t="inlineStr">
        <is>
          <t>Rajkumar Santoshi</t>
        </is>
      </c>
      <c r="K18" s="5" t="inlineStr">
        <is>
          <t>Karim Morani; Bunty Soorma; Ali Morani</t>
        </is>
      </c>
      <c r="L18" s="5" t="inlineStr">
        <is>
          <t>Cineyug Films</t>
        </is>
      </c>
      <c r="M18" s="5" t="inlineStr">
        <is>
          <t>Rajkumar Santoshi (story, screenplay); Sutanu Gupta (story); Dilip Shukla (dialogue)</t>
        </is>
      </c>
      <c r="N18" s="5" t="n"/>
      <c r="O18" s="5" t="inlineStr">
        <is>
          <t>Nadeem–Shravan</t>
        </is>
      </c>
      <c r="P18" s="5" t="inlineStr">
        <is>
          <t>Vanraj Bhatia</t>
        </is>
      </c>
      <c r="Q18" s="5" t="inlineStr">
        <is>
          <t>Sameer</t>
        </is>
      </c>
      <c r="R18" s="5" t="inlineStr">
        <is>
          <t>Himself</t>
        </is>
      </c>
      <c r="S18" s="5" t="n"/>
      <c r="T18" s="5" t="inlineStr">
        <is>
          <t>Self appearance</t>
        </is>
      </c>
      <c r="U18" s="18" t="n"/>
      <c r="V18" s="5" t="n"/>
      <c r="W18" s="5" t="n"/>
      <c r="X18" s="19" t="inlineStr">
        <is>
          <t>Aamir Khan appears as himself in the stage-show dance number 'Bin Sajan Jhoola Jhoolu' in Rajkumar Santoshi's legal drama. The appearance doubles as promotion for his then-upcoming Santoshi film Andaz Apna Apna and has no narrative function. The drama itself, led by Meenakshi Seshadri and Sunny Deol, is regarded as a cult feminist film and won National Film and Filmfare awards.</t>
        </is>
      </c>
      <c r="Y18" s="19" t="n"/>
      <c r="Z18" s="19" t="n"/>
      <c r="AA18" s="19" t="n"/>
      <c r="AB18" s="19" t="n"/>
      <c r="AC18" s="5" t="n"/>
      <c r="AD18" s="5" t="n"/>
      <c r="AE18" s="5" t="inlineStr">
        <is>
          <t>None</t>
        </is>
      </c>
      <c r="AF18" s="20" t="n">
        <v>0</v>
      </c>
      <c r="AG18" s="19" t="inlineStr">
        <is>
          <t>No meaningful romance</t>
        </is>
      </c>
      <c r="AH18" s="5" t="n"/>
      <c r="AI18" s="5" t="n"/>
      <c r="AJ18" s="5" t="n"/>
      <c r="AK18" s="5" t="n"/>
      <c r="AL18" s="5" t="n"/>
      <c r="AM18" s="5" t="inlineStr">
        <is>
          <t>INR crore</t>
        </is>
      </c>
      <c r="AN18" s="5" t="n"/>
      <c r="AO18" s="18" t="n"/>
      <c r="AP18" s="19" t="inlineStr">
        <is>
          <t>Universal acclaim for its execution and performances; regarded as a cult feminist film.</t>
        </is>
      </c>
      <c r="AQ18" s="19" t="inlineStr">
        <is>
          <t>National Film Award for Best Supporting Actor (Sunny Deol); Filmfare Best Director, Supporting Actor, Story and Sound.</t>
        </is>
      </c>
      <c r="AR18" s="5" t="inlineStr">
        <is>
          <t>SOURCE-023</t>
        </is>
      </c>
      <c r="AS18" s="5" t="inlineStr">
        <is>
          <t>Medium</t>
        </is>
      </c>
      <c r="AT18" s="5" t="inlineStr">
        <is>
          <t>Wikipedia's 'est. ₹11.75 crore' box office has no nett/gross label and is not entered.</t>
        </is>
      </c>
    </row>
    <row r="19" ht="79" customHeight="1">
      <c r="A19" s="15" t="inlineStr">
        <is>
          <t>FILM-018</t>
        </is>
      </c>
      <c r="B19" s="5" t="inlineStr">
        <is>
          <t>Parampara</t>
        </is>
      </c>
      <c r="C19" s="16" t="n">
        <v>34103</v>
      </c>
      <c r="D19" s="17" t="n">
        <v>1993</v>
      </c>
      <c r="E19" s="5" t="inlineStr">
        <is>
          <t>1990s</t>
        </is>
      </c>
      <c r="F19" s="5" t="inlineStr">
        <is>
          <t>Hindi</t>
        </is>
      </c>
      <c r="G19" s="5" t="inlineStr">
        <is>
          <t>Action drama</t>
        </is>
      </c>
      <c r="H19" s="5" t="n"/>
      <c r="I19" s="17" t="n">
        <v>155</v>
      </c>
      <c r="J19" s="5" t="inlineStr">
        <is>
          <t>Yash Chopra</t>
        </is>
      </c>
      <c r="K19" s="5" t="inlineStr">
        <is>
          <t>Firoz A. Nadiadwala</t>
        </is>
      </c>
      <c r="L19" s="5" t="n"/>
      <c r="M19" s="5" t="inlineStr">
        <is>
          <t>Honey Irani (story, screenplay); Aditya Chopra (screenplay); Rahi Masoom Raza (dialogue)</t>
        </is>
      </c>
      <c r="N19" s="5" t="n"/>
      <c r="O19" s="5" t="inlineStr">
        <is>
          <t>Shiv–Hari</t>
        </is>
      </c>
      <c r="P19" s="5" t="n"/>
      <c r="Q19" s="5" t="n"/>
      <c r="R19" s="5" t="inlineStr">
        <is>
          <t>Ranvir Prithvi Singh</t>
        </is>
      </c>
      <c r="S19" s="5" t="n"/>
      <c r="T19" s="5" t="inlineStr">
        <is>
          <t>Co-lead</t>
        </is>
      </c>
      <c r="U19" s="18" t="n"/>
      <c r="V19" s="5" t="inlineStr">
        <is>
          <t>College student</t>
        </is>
      </c>
      <c r="W19" s="5" t="inlineStr">
        <is>
          <t>Son of Prithvi Singh and the gypsy woman Tara, raised in the Thakur household after her death</t>
        </is>
      </c>
      <c r="X19" s="19" t="inlineStr">
        <is>
          <t>Ranvir, son of Prithvi Singh and the gypsy woman Tara, grows up in the Thakur household alongside his half-brother Pratap. On learning who ordered his mother's execution, he turns on Pratap and a violent feud engulfs the family. After the patriarch's death the brothers embrace and the bloodshed ends.</t>
        </is>
      </c>
      <c r="Y19" s="19" t="inlineStr">
        <is>
          <t>Justice for his mother's death</t>
        </is>
      </c>
      <c r="Z19" s="19" t="inlineStr">
        <is>
          <t>Feud with his half-brother Pratap over the family's past</t>
        </is>
      </c>
      <c r="AA19" s="19" t="inlineStr">
        <is>
          <t>Unaware youth becomes vengeful, then reconciles</t>
        </is>
      </c>
      <c r="AB19" s="19" t="inlineStr">
        <is>
          <t>Morally conflicted</t>
        </is>
      </c>
      <c r="AC19" s="5" t="inlineStr">
        <is>
          <t>Reconciles with Pratap</t>
        </is>
      </c>
      <c r="AD19" s="5" t="n"/>
      <c r="AE19" s="5" t="inlineStr">
        <is>
          <t>Minor</t>
        </is>
      </c>
      <c r="AF19" s="20" t="n">
        <v>2</v>
      </c>
      <c r="AG19" s="19" t="inlineStr">
        <is>
          <t>Romance subordinate to another genre</t>
        </is>
      </c>
      <c r="AH19" s="5" t="n"/>
      <c r="AI19" s="5" t="n"/>
      <c r="AJ19" s="5" t="n"/>
      <c r="AK19" s="5" t="n"/>
      <c r="AL19" s="5" t="n"/>
      <c r="AM19" s="5" t="n"/>
      <c r="AN19" s="5" t="inlineStr">
        <is>
          <t>Flop</t>
        </is>
      </c>
      <c r="AO19" s="18" t="n"/>
      <c r="AP19" s="19" t="inlineStr">
        <is>
          <t>Largely negative reviews; one review singled out Aamir Khan's performance while calling the younger cast out of place.</t>
        </is>
      </c>
      <c r="AQ19" s="19" t="n"/>
      <c r="AR19" s="5" t="inlineStr">
        <is>
          <t>SOURCE-024; SOURCE-065</t>
        </is>
      </c>
      <c r="AS19" s="5" t="inlineStr">
        <is>
          <t>Low</t>
        </is>
      </c>
      <c r="AT19" s="5" t="inlineStr">
        <is>
          <t>Neelam (Sapna) and Raveena Tandon (Vijaya) appear, but no source consulted documents a romantic pairing for Ranvir, so Principal Female Lead is left blank and no Romances row was created. Saif Ali Khan's Hindi film debut. No box-office figures found.</t>
        </is>
      </c>
    </row>
    <row r="20" ht="94" customHeight="1">
      <c r="A20" s="15" t="inlineStr">
        <is>
          <t>FILM-019</t>
        </is>
      </c>
      <c r="B20" s="5" t="inlineStr">
        <is>
          <t>Hum Hain Rahi Pyar Ke</t>
        </is>
      </c>
      <c r="C20" s="16" t="n">
        <v>34173</v>
      </c>
      <c r="D20" s="17" t="n">
        <v>1993</v>
      </c>
      <c r="E20" s="5" t="inlineStr">
        <is>
          <t>1990s</t>
        </is>
      </c>
      <c r="F20" s="5" t="inlineStr">
        <is>
          <t>Hindi</t>
        </is>
      </c>
      <c r="G20" s="5" t="inlineStr">
        <is>
          <t>Romantic comedy-drama</t>
        </is>
      </c>
      <c r="H20" s="5" t="n"/>
      <c r="I20" s="17" t="n">
        <v>150</v>
      </c>
      <c r="J20" s="5" t="inlineStr">
        <is>
          <t>Mahesh Bhatt</t>
        </is>
      </c>
      <c r="K20" s="5" t="inlineStr">
        <is>
          <t>Tahir Hussain</t>
        </is>
      </c>
      <c r="L20" s="5" t="inlineStr">
        <is>
          <t>Tahir Hussain Enterprises</t>
        </is>
      </c>
      <c r="M20" s="5" t="inlineStr">
        <is>
          <t>Robin Bhatt (story, screenplay, dialogue); Aamir Khan (screenplay, dialogue)</t>
        </is>
      </c>
      <c r="N20" s="5" t="inlineStr">
        <is>
          <t>Based on Houseboat (1958)</t>
        </is>
      </c>
      <c r="O20" s="5" t="inlineStr">
        <is>
          <t>Nadeem–Shravan</t>
        </is>
      </c>
      <c r="P20" s="5" t="inlineStr">
        <is>
          <t>Shyam–Surender; Nadeem–Shravan</t>
        </is>
      </c>
      <c r="Q20" s="5" t="inlineStr">
        <is>
          <t>Sameer</t>
        </is>
      </c>
      <c r="R20" s="5" t="inlineStr">
        <is>
          <t>Rahul Malhotra</t>
        </is>
      </c>
      <c r="S20" s="5" t="n"/>
      <c r="T20" s="5" t="inlineStr">
        <is>
          <t>Lead</t>
        </is>
      </c>
      <c r="U20" s="20" t="n">
        <v>1</v>
      </c>
      <c r="V20" s="5" t="inlineStr">
        <is>
          <t>Runs a garment company under pressure to deliver a large shirt order</t>
        </is>
      </c>
      <c r="W20" s="5" t="inlineStr">
        <is>
          <t>Guardian of his late sister's three mischievous children</t>
        </is>
      </c>
      <c r="X20" s="19" t="inlineStr">
        <is>
          <t>Rahul, struggling to run a garment business and control his late sister's three unruly children, agrees to marry the businessman Bijlani's daughter Maya for the children's sake. The children secretly shelter Vyjayanti, who has escaped her father's confinement, and she wins them over and then Rahul. Surviving sabotage by the spurned Bijlanis and her tradition-bound father's resistance, Rahul marries Vyjayanti.</t>
        </is>
      </c>
      <c r="Y20" s="19" t="inlineStr">
        <is>
          <t>Keep the business afloat and give the children a stable home</t>
        </is>
      </c>
      <c r="Z20" s="19" t="inlineStr">
        <is>
          <t>Obligation to the Bijlanis against love for Vyjayanti</t>
        </is>
      </c>
      <c r="AA20" s="19" t="inlineStr">
        <is>
          <t>Stern, overwhelmed guardian becomes a warm father figure and partner</t>
        </is>
      </c>
      <c r="AB20" s="19" t="inlineStr">
        <is>
          <t>Heroic</t>
        </is>
      </c>
      <c r="AC20" s="5" t="inlineStr">
        <is>
          <t>Completes the order despite sabotage and marries Vyjayanti</t>
        </is>
      </c>
      <c r="AD20" s="5" t="inlineStr">
        <is>
          <t>Juhi Chawla</t>
        </is>
      </c>
      <c r="AE20" s="5" t="inlineStr">
        <is>
          <t>Central</t>
        </is>
      </c>
      <c r="AF20" s="20" t="n">
        <v>8</v>
      </c>
      <c r="AG20" s="19" t="inlineStr">
        <is>
          <t>Friendship to love</t>
        </is>
      </c>
      <c r="AH20" s="5" t="n"/>
      <c r="AI20" s="5" t="n"/>
      <c r="AJ20" s="5" t="n"/>
      <c r="AK20" s="5" t="n"/>
      <c r="AL20" s="5" t="n"/>
      <c r="AM20" s="5" t="inlineStr">
        <is>
          <t>INR crore</t>
        </is>
      </c>
      <c r="AN20" s="5" t="n"/>
      <c r="AO20" s="18" t="n"/>
      <c r="AP20" s="19" t="inlineStr">
        <is>
          <t>Positive reviews, with particular praise for Juhi Chawla's performance.</t>
        </is>
      </c>
      <c r="AQ20" s="19" t="inlineStr">
        <is>
          <t>National Film Awards: Special Jury Award (Mahesh Bhatt) and Best Female Playback Singer (Alka Yagnik). Filmfare Best Film and Best Actress. Soundtrack sold 2.5 million units. Remade in Telugu and Malayalam.</t>
        </is>
      </c>
      <c r="AR20" s="5" t="inlineStr">
        <is>
          <t>SOURCE-025</t>
        </is>
      </c>
      <c r="AS20" s="5" t="inlineStr">
        <is>
          <t>Medium</t>
        </is>
      </c>
      <c r="AT20" s="5" t="inlineStr">
        <is>
          <t>Aamir Khan co-wrote the screenplay and dialogue. Wikipedia's ₹97 million box office (Box Office India) has no nett/gross label and is not entered.</t>
        </is>
      </c>
    </row>
    <row r="21" ht="79" customHeight="1">
      <c r="A21" s="15" t="inlineStr">
        <is>
          <t>FILM-020</t>
        </is>
      </c>
      <c r="B21" s="5" t="inlineStr">
        <is>
          <t>Pehla Nasha</t>
        </is>
      </c>
      <c r="C21" s="16" t="n">
        <v>34194</v>
      </c>
      <c r="D21" s="17" t="n">
        <v>1993</v>
      </c>
      <c r="E21" s="5" t="inlineStr">
        <is>
          <t>1990s</t>
        </is>
      </c>
      <c r="F21" s="5" t="inlineStr">
        <is>
          <t>Hindi</t>
        </is>
      </c>
      <c r="G21" s="5" t="inlineStr">
        <is>
          <t>Thriller</t>
        </is>
      </c>
      <c r="H21" s="5" t="n"/>
      <c r="I21" s="17" t="n">
        <v>131</v>
      </c>
      <c r="J21" s="5" t="inlineStr">
        <is>
          <t>Ashutosh Gowariker</t>
        </is>
      </c>
      <c r="K21" s="5" t="inlineStr">
        <is>
          <t>Mohammed A. Rahim; Viral Shah</t>
        </is>
      </c>
      <c r="L21" s="5" t="n"/>
      <c r="M21" s="5" t="inlineStr">
        <is>
          <t>Neeraj Vora (story); Ashutosh Gowariker (screenplay); Sanjay Chhel (dialogue)</t>
        </is>
      </c>
      <c r="N21" s="5" t="inlineStr">
        <is>
          <t>Remake of Body Double (1984)</t>
        </is>
      </c>
      <c r="O21" s="5" t="inlineStr">
        <is>
          <t>Uttankk V. Vora; Neeraj Vora</t>
        </is>
      </c>
      <c r="P21" s="5" t="n"/>
      <c r="Q21" s="5" t="inlineStr">
        <is>
          <t>Anand Bakshi</t>
        </is>
      </c>
      <c r="R21" s="5" t="inlineStr">
        <is>
          <t>Himself</t>
        </is>
      </c>
      <c r="S21" s="5" t="n"/>
      <c r="T21" s="5" t="inlineStr">
        <is>
          <t>Self appearance</t>
        </is>
      </c>
      <c r="U21" s="18" t="n"/>
      <c r="V21" s="5" t="n"/>
      <c r="W21" s="5" t="n"/>
      <c r="X21" s="19" t="inlineStr">
        <is>
          <t>Aamir Khan appears as himself in a scene with Shah Rukh Khan, Saif Ali Khan, Rahul Roy and Sudesh Berry in Ashutosh Gowariker's directorial debut, a remake of Body Double. It is noted as the only film to put Aamir, Shah Rukh and Saif Khan in a single scene; the cameo has no narrative role.</t>
        </is>
      </c>
      <c r="Y21" s="19" t="n"/>
      <c r="Z21" s="19" t="n"/>
      <c r="AA21" s="19" t="n"/>
      <c r="AB21" s="19" t="n"/>
      <c r="AC21" s="5" t="n"/>
      <c r="AD21" s="5" t="n"/>
      <c r="AE21" s="5" t="inlineStr">
        <is>
          <t>None</t>
        </is>
      </c>
      <c r="AF21" s="20" t="n">
        <v>0</v>
      </c>
      <c r="AG21" s="19" t="inlineStr">
        <is>
          <t>No meaningful romance</t>
        </is>
      </c>
      <c r="AH21" s="5" t="n"/>
      <c r="AI21" s="5" t="n"/>
      <c r="AJ21" s="5" t="n"/>
      <c r="AK21" s="5" t="n"/>
      <c r="AL21" s="5" t="n"/>
      <c r="AM21" s="5" t="n"/>
      <c r="AN21" s="5" t="inlineStr">
        <is>
          <t>Failure</t>
        </is>
      </c>
      <c r="AO21" s="18" t="n"/>
      <c r="AP21" s="19" t="inlineStr">
        <is>
          <t>Negative reviews.</t>
        </is>
      </c>
      <c r="AQ21" s="19" t="n"/>
      <c r="AR21" s="5" t="inlineStr">
        <is>
          <t>SOURCE-026</t>
        </is>
      </c>
      <c r="AS21" s="5" t="inlineStr">
        <is>
          <t>Medium</t>
        </is>
      </c>
      <c r="AT21" s="5" t="inlineStr">
        <is>
          <t>First collaboration with Ashutosh Gowariker as director. No box-office figures found.</t>
        </is>
      </c>
    </row>
    <row r="22" ht="124" customHeight="1">
      <c r="A22" s="15" t="inlineStr">
        <is>
          <t>FILM-021</t>
        </is>
      </c>
      <c r="B22" s="5" t="inlineStr">
        <is>
          <t>Andaz Apna Apna</t>
        </is>
      </c>
      <c r="C22" s="16" t="n">
        <v>34642</v>
      </c>
      <c r="D22" s="17" t="n">
        <v>1994</v>
      </c>
      <c r="E22" s="5" t="inlineStr">
        <is>
          <t>1990s</t>
        </is>
      </c>
      <c r="F22" s="5" t="inlineStr">
        <is>
          <t>Hindi</t>
        </is>
      </c>
      <c r="G22" s="5" t="inlineStr">
        <is>
          <t>Comedy</t>
        </is>
      </c>
      <c r="H22" s="5" t="inlineStr">
        <is>
          <t>Action</t>
        </is>
      </c>
      <c r="I22" s="17" t="n">
        <v>160</v>
      </c>
      <c r="J22" s="5" t="inlineStr">
        <is>
          <t>Rajkumar Santoshi</t>
        </is>
      </c>
      <c r="K22" s="5" t="inlineStr">
        <is>
          <t>Vinay Kumar Sinha</t>
        </is>
      </c>
      <c r="L22" s="5" t="inlineStr">
        <is>
          <t>Vinay Pictures</t>
        </is>
      </c>
      <c r="M22" s="5" t="inlineStr">
        <is>
          <t>Rajkumar Santoshi; Dilip Shukla</t>
        </is>
      </c>
      <c r="N22" s="5" t="n"/>
      <c r="O22" s="5" t="inlineStr">
        <is>
          <t>Tushar Bhatia</t>
        </is>
      </c>
      <c r="P22" s="5" t="inlineStr">
        <is>
          <t>Viju Shah</t>
        </is>
      </c>
      <c r="Q22" s="5" t="inlineStr">
        <is>
          <t>Majrooh Sultanpuri</t>
        </is>
      </c>
      <c r="R22" s="5" t="inlineStr">
        <is>
          <t>Amar Manohar</t>
        </is>
      </c>
      <c r="S22" s="5" t="inlineStr">
        <is>
          <t>Uses the alias Teelu; feigns amnesia and blindness</t>
        </is>
      </c>
      <c r="T22" s="5" t="inlineStr">
        <is>
          <t>Lead</t>
        </is>
      </c>
      <c r="U22" s="20" t="n">
        <v>1</v>
      </c>
      <c r="V22" s="5" t="inlineStr">
        <is>
          <t>Unemployed daydreamer</t>
        </is>
      </c>
      <c r="W22" s="5" t="inlineStr">
        <is>
          <t>Lives with his father Murli Manohar</t>
        </is>
      </c>
      <c r="X22" s="19" t="inlineStr">
        <is>
          <t>Amar, a lazy daydreamer, sets out to marry the heiress Raveena Bajaj for her father's money and meets his match in the equally scheming Prem. Unaware that Raveena and her secretary Karishma have swapped identities, he falls for the woman he believes is the heiress. Through feigned amnesia, rival cons and a villainous twin, he ends up marrying the real Karishma for love.</t>
        </is>
      </c>
      <c r="Y22" s="19" t="inlineStr">
        <is>
          <t>Get rich by marrying an heiress</t>
        </is>
      </c>
      <c r="Z22" s="19" t="inlineStr">
        <is>
          <t>Rivalry with Prem for the heiress</t>
        </is>
      </c>
      <c r="AA22" s="19" t="inlineStr">
        <is>
          <t>Gold-digger falls genuinely in love and becomes a reluctant hero</t>
        </is>
      </c>
      <c r="AB22" s="19" t="inlineStr">
        <is>
          <t>Comic rogue</t>
        </is>
      </c>
      <c r="AC22" s="5" t="inlineStr">
        <is>
          <t>Marries Karishma</t>
        </is>
      </c>
      <c r="AD22" s="5" t="inlineStr">
        <is>
          <t>Raveena Tandon; Karisma Kapoor</t>
        </is>
      </c>
      <c r="AE22" s="5" t="inlineStr">
        <is>
          <t>Major</t>
        </is>
      </c>
      <c r="AF22" s="20" t="n">
        <v>6</v>
      </c>
      <c r="AG22" s="19" t="inlineStr">
        <is>
          <t>Romance subordinate to another genre</t>
        </is>
      </c>
      <c r="AH22" s="21" t="n">
        <v>2.9</v>
      </c>
      <c r="AI22" s="5" t="n"/>
      <c r="AJ22" s="21" t="n">
        <v>8.18</v>
      </c>
      <c r="AK22" s="5" t="n"/>
      <c r="AL22" s="21" t="n">
        <v>8.653</v>
      </c>
      <c r="AM22" s="5" t="inlineStr">
        <is>
          <t>INR crore</t>
        </is>
      </c>
      <c r="AN22" s="5" t="inlineStr">
        <is>
          <t>Commercially unsuccessful</t>
        </is>
      </c>
      <c r="AO22" s="18" t="n"/>
      <c r="AP22" s="19" t="inlineStr">
        <is>
          <t>Unsuccessful on release; later praised as one of the greatest Hindi comedies (Raja Sen, Khalid Mohamed).</t>
        </is>
      </c>
      <c r="AQ22" s="19" t="inlineStr">
        <is>
          <t>Cult classic; voted second-best Bollywood comedy in an Indian Express online poll; 4K re-release on 25 April 2025.</t>
        </is>
      </c>
      <c r="AR22" s="5" t="inlineStr">
        <is>
          <t>SOURCE-027; SOURCE-065</t>
        </is>
      </c>
      <c r="AS22" s="5" t="inlineStr">
        <is>
          <t>Medium</t>
        </is>
      </c>
      <c r="AT22" s="5" t="inlineStr">
        <is>
          <t>Box Office India via Wikipedia: budget ₹29 million, domestic ₹8.18 crore, overseas US$150,000, worldwide gross ₹8.653 crore. The domestic figure is recorded as gross because it plus overseas approximates the worldwide gross. Release date 4 November 1994 per Wikipedia; Bollywood Hungama lists 3 September 1994. Raveena Tandon plays Karishma, the secretary posing as the heiress; she is Amar's partner.</t>
        </is>
      </c>
    </row>
    <row r="23" ht="94" customHeight="1">
      <c r="A23" s="15" t="inlineStr">
        <is>
          <t>FILM-022</t>
        </is>
      </c>
      <c r="B23" s="5" t="inlineStr">
        <is>
          <t>Baazi</t>
        </is>
      </c>
      <c r="C23" s="16" t="n">
        <v>34803</v>
      </c>
      <c r="D23" s="17" t="n">
        <v>1995</v>
      </c>
      <c r="E23" s="5" t="inlineStr">
        <is>
          <t>1990s</t>
        </is>
      </c>
      <c r="F23" s="5" t="inlineStr">
        <is>
          <t>Hindi</t>
        </is>
      </c>
      <c r="G23" s="5" t="inlineStr">
        <is>
          <t>Action thriller</t>
        </is>
      </c>
      <c r="H23" s="5" t="n"/>
      <c r="I23" s="17" t="n">
        <v>180</v>
      </c>
      <c r="J23" s="5" t="inlineStr">
        <is>
          <t>Ashutosh Gowariker</t>
        </is>
      </c>
      <c r="K23" s="5" t="inlineStr">
        <is>
          <t>Salim Akhtar</t>
        </is>
      </c>
      <c r="L23" s="5" t="inlineStr">
        <is>
          <t>Aftab Pictures</t>
        </is>
      </c>
      <c r="M23" s="5" t="inlineStr">
        <is>
          <t>Ashutosh Gowariker; Neeraj Vora; Naushil Mehta (writers); Santosh Saroj (dialogue)</t>
        </is>
      </c>
      <c r="N23" s="5" t="inlineStr">
        <is>
          <t>Original; critics likened it to Die Hard</t>
        </is>
      </c>
      <c r="O23" s="5" t="inlineStr">
        <is>
          <t>Anu Malik</t>
        </is>
      </c>
      <c r="P23" s="5" t="inlineStr">
        <is>
          <t>Aadesh Shrivastava</t>
        </is>
      </c>
      <c r="Q23" s="5" t="inlineStr">
        <is>
          <t>Majrooh Sultanpuri; Anwar Sagar</t>
        </is>
      </c>
      <c r="R23" s="5" t="inlineStr">
        <is>
          <t>Inspector Amar Damjee Rathod</t>
        </is>
      </c>
      <c r="S23" s="5" t="inlineStr">
        <is>
          <t>Goes undercover in drag as Miss Julie Braganza</t>
        </is>
      </c>
      <c r="T23" s="5" t="inlineStr">
        <is>
          <t>Lead</t>
        </is>
      </c>
      <c r="U23" s="20" t="n">
        <v>1</v>
      </c>
      <c r="V23" s="5" t="inlineStr">
        <is>
          <t>Police inspector</t>
        </is>
      </c>
      <c r="W23" s="5" t="inlineStr">
        <is>
          <t>Son of a police inspector; both parents were murdered by Chaubey</t>
        </is>
      </c>
      <c r="X23" s="19" t="inlineStr">
        <is>
          <t>Inspector Amar, whose parents were murdered by the politician Chaubey, investigates a multi-crore scandal and is framed for killing the police commissioner's daughter. Hunted, he works undercover, including in drag as Miss Julie Braganza, and fights through a hostage siege that endangers journalist Sanjana. He electrocutes Chaubey in the climax and is honoured by the Chief Minister.</t>
        </is>
      </c>
      <c r="Y23" s="19" t="inlineStr">
        <is>
          <t>Expose the scandal and avenge his parents</t>
        </is>
      </c>
      <c r="Z23" s="19" t="inlineStr">
        <is>
          <t>Framed and hunted by a powerful politician</t>
        </is>
      </c>
      <c r="AA23" s="19" t="inlineStr">
        <is>
          <t>Dedicated officer becomes a fugitive and avenger</t>
        </is>
      </c>
      <c r="AB23" s="19" t="inlineStr">
        <is>
          <t>Heroic</t>
        </is>
      </c>
      <c r="AC23" s="5" t="inlineStr">
        <is>
          <t>Kills Chaubey and is honoured</t>
        </is>
      </c>
      <c r="AD23" s="5" t="inlineStr">
        <is>
          <t>Mamta Kulkarni</t>
        </is>
      </c>
      <c r="AE23" s="5" t="inlineStr">
        <is>
          <t>Secondary</t>
        </is>
      </c>
      <c r="AF23" s="20" t="n">
        <v>3</v>
      </c>
      <c r="AG23" s="19" t="inlineStr">
        <is>
          <t>Romance subordinate to another genre</t>
        </is>
      </c>
      <c r="AH23" s="21" t="n">
        <v>3.25</v>
      </c>
      <c r="AI23" s="5" t="n"/>
      <c r="AJ23" s="5" t="n"/>
      <c r="AK23" s="5" t="n"/>
      <c r="AL23" s="5" t="n"/>
      <c r="AM23" s="5" t="inlineStr">
        <is>
          <t>INR crore</t>
        </is>
      </c>
      <c r="AN23" s="5" t="n"/>
      <c r="AO23" s="18" t="n"/>
      <c r="AP23" s="19" t="inlineStr">
        <is>
          <t>Mixed reviews; India Today called it an ambitious collage of Die Hard, Point Break and Rambo that 'just doesn't work'.</t>
        </is>
      </c>
      <c r="AQ23" s="19" t="n"/>
      <c r="AR23" s="5" t="inlineStr">
        <is>
          <t>SOURCE-028</t>
        </is>
      </c>
      <c r="AS23" s="5" t="inlineStr">
        <is>
          <t>Medium</t>
        </is>
      </c>
      <c r="AT23" s="5" t="inlineStr">
        <is>
          <t>Budget ₹32.50 million; box office 'est. ₹88 million' (boxofficeindia.com via Wikipedia) has no nett/gross label and is not entered. Release date 14 April 1995 per Wikipedia; Bollywood Hungama lists 13 April.</t>
        </is>
      </c>
    </row>
    <row r="24" ht="94" customHeight="1">
      <c r="A24" s="15" t="inlineStr">
        <is>
          <t>FILM-023</t>
        </is>
      </c>
      <c r="B24" s="5" t="inlineStr">
        <is>
          <t>Aatank Hi Aatank</t>
        </is>
      </c>
      <c r="C24" s="16" t="n">
        <v>34915</v>
      </c>
      <c r="D24" s="17" t="n">
        <v>1995</v>
      </c>
      <c r="E24" s="5" t="inlineStr">
        <is>
          <t>1990s</t>
        </is>
      </c>
      <c r="F24" s="5" t="inlineStr">
        <is>
          <t>Hindi</t>
        </is>
      </c>
      <c r="G24" s="5" t="inlineStr">
        <is>
          <t>Action crime</t>
        </is>
      </c>
      <c r="H24" s="5" t="n"/>
      <c r="I24" s="17" t="n">
        <v>155</v>
      </c>
      <c r="J24" s="5" t="inlineStr">
        <is>
          <t>Dilip Shankar</t>
        </is>
      </c>
      <c r="K24" s="5" t="inlineStr">
        <is>
          <t>Mangal; Xavier Marquis (presenter)</t>
        </is>
      </c>
      <c r="L24" s="5" t="inlineStr">
        <is>
          <t>Suyash Films</t>
        </is>
      </c>
      <c r="M24" s="5" t="inlineStr">
        <is>
          <t>Dilip Shankar</t>
        </is>
      </c>
      <c r="N24" s="5" t="inlineStr">
        <is>
          <t>Heavily inspired by The Godfather (1972)</t>
        </is>
      </c>
      <c r="O24" s="5" t="inlineStr">
        <is>
          <t>Bappi Lahiri</t>
        </is>
      </c>
      <c r="P24" s="5" t="n"/>
      <c r="Q24" s="5" t="inlineStr">
        <is>
          <t>Naqsh Lyallpuri; Anwar Sagar; Sanam Ghazipuri; others</t>
        </is>
      </c>
      <c r="R24" s="5" t="inlineStr">
        <is>
          <t>Rohan</t>
        </is>
      </c>
      <c r="S24" s="5" t="n"/>
      <c r="T24" s="5" t="inlineStr">
        <is>
          <t>Co-lead</t>
        </is>
      </c>
      <c r="U24" s="20" t="n">
        <v>2</v>
      </c>
      <c r="V24" s="5" t="inlineStr">
        <is>
          <t>Son of a crime boss who becomes one himself</t>
        </is>
      </c>
      <c r="W24" s="5" t="inlineStr">
        <is>
          <t>Younger son of the crime patriarch Shiv Charan Sharma</t>
        </is>
      </c>
      <c r="X24" s="19" t="inlineStr">
        <is>
          <t>Rohan, the younger son of crime patriarch Shiv Charan Sharma, has kept away from the family business until his father is shot. He takes revenge on the rival Gogia Advani, goes on the run, and four years later has become a crime lord alongside his brother Munna. His girlfriend Neha and a later attraction to Ganga sit at the margins of this Godfather-inspired gang war.</t>
        </is>
      </c>
      <c r="Y24" s="19" t="inlineStr">
        <is>
          <t>Avenge the attack on his father</t>
        </is>
      </c>
      <c r="Z24" s="19" t="inlineStr">
        <is>
          <t>Gang war with rival dons</t>
        </is>
      </c>
      <c r="AA24" s="19" t="inlineStr">
        <is>
          <t>Outsider son becomes a crime lord</t>
        </is>
      </c>
      <c r="AB24" s="19" t="inlineStr">
        <is>
          <t>Anti-hero</t>
        </is>
      </c>
      <c r="AC24" s="5" t="n"/>
      <c r="AD24" s="5" t="inlineStr">
        <is>
          <t>Juhi Chawla; Pooja Bedi</t>
        </is>
      </c>
      <c r="AE24" s="5" t="inlineStr">
        <is>
          <t>Minor</t>
        </is>
      </c>
      <c r="AF24" s="20" t="n">
        <v>3</v>
      </c>
      <c r="AG24" s="19" t="inlineStr">
        <is>
          <t>Romance subordinate to another genre</t>
        </is>
      </c>
      <c r="AH24" s="5" t="n"/>
      <c r="AI24" s="5" t="n"/>
      <c r="AJ24" s="5" t="n"/>
      <c r="AK24" s="5" t="n"/>
      <c r="AL24" s="5" t="n"/>
      <c r="AM24" s="5" t="n"/>
      <c r="AN24" s="5" t="inlineStr">
        <is>
          <t>Box office failure</t>
        </is>
      </c>
      <c r="AO24" s="18" t="n"/>
      <c r="AP24" s="19" t="n"/>
      <c r="AQ24" s="19" t="n"/>
      <c r="AR24" s="5" t="inlineStr">
        <is>
          <t>SOURCE-029</t>
        </is>
      </c>
      <c r="AS24" s="5" t="inlineStr">
        <is>
          <t>Low</t>
        </is>
      </c>
      <c r="AT24" s="5" t="inlineStr">
        <is>
          <t>Second-billed after Rajinikanth. Relationships with Neha (Juhi Chawla) and Ganga (Pooja Bedi) are documented only as one-line cast descriptions, so no Romances rows were created. Ending, box-office figures and reviews not found.</t>
        </is>
      </c>
    </row>
    <row r="25" ht="94" customHeight="1">
      <c r="A25" s="15" t="inlineStr">
        <is>
          <t>FILM-024</t>
        </is>
      </c>
      <c r="B25" s="5" t="inlineStr">
        <is>
          <t>Rangeela</t>
        </is>
      </c>
      <c r="C25" s="16" t="n">
        <v>34950</v>
      </c>
      <c r="D25" s="17" t="n">
        <v>1995</v>
      </c>
      <c r="E25" s="5" t="inlineStr">
        <is>
          <t>1990s</t>
        </is>
      </c>
      <c r="F25" s="5" t="inlineStr">
        <is>
          <t>Hindi</t>
        </is>
      </c>
      <c r="G25" s="5" t="inlineStr">
        <is>
          <t>Musical</t>
        </is>
      </c>
      <c r="H25" s="5" t="inlineStr">
        <is>
          <t>Romantic drama</t>
        </is>
      </c>
      <c r="I25" s="17" t="n">
        <v>150</v>
      </c>
      <c r="J25" s="5" t="inlineStr">
        <is>
          <t>Ram Gopal Varma</t>
        </is>
      </c>
      <c r="K25" s="5" t="inlineStr">
        <is>
          <t>Jhamu Sughand; Ram Gopal Varma</t>
        </is>
      </c>
      <c r="L25" s="5" t="inlineStr">
        <is>
          <t>Varma Creations</t>
        </is>
      </c>
      <c r="M25" s="5" t="inlineStr">
        <is>
          <t>Ram Gopal Varma (story, screenplay); Neeraj Vora, Sanjay Chhel (dialogue)</t>
        </is>
      </c>
      <c r="N25" s="5" t="n"/>
      <c r="O25" s="5" t="inlineStr">
        <is>
          <t>A. R. Rahman</t>
        </is>
      </c>
      <c r="P25" s="5" t="inlineStr">
        <is>
          <t>A. R. Rahman</t>
        </is>
      </c>
      <c r="Q25" s="5" t="inlineStr">
        <is>
          <t>Mehboob</t>
        </is>
      </c>
      <c r="R25" s="5" t="inlineStr">
        <is>
          <t>Munna</t>
        </is>
      </c>
      <c r="S25" s="5" t="n"/>
      <c r="T25" s="5" t="inlineStr">
        <is>
          <t>Lead</t>
        </is>
      </c>
      <c r="U25" s="20" t="n">
        <v>1</v>
      </c>
      <c r="V25" s="5" t="inlineStr">
        <is>
          <t>Black-market cinema ticket seller</t>
        </is>
      </c>
      <c r="W25" s="5" t="inlineStr">
        <is>
          <t>Streetwise Mumbai orphan (tapori)</t>
        </is>
      </c>
      <c r="X25" s="19" t="inlineStr">
        <is>
          <t>Munna, a streetwise orphan who sells cinema tickets on the black market, has loved his childhood friend Mili for years without saying so. When Mili starts working with the star Raj Kamal, Munna's sense of inferiority deepens as she spends her days with Raj, and every attempt to confess fails. He writes a farewell letter and leaves town, but Mili reads it and, with Raj's help, reaches him.</t>
        </is>
      </c>
      <c r="Y25" s="19" t="inlineStr">
        <is>
          <t>Love for Mili</t>
        </is>
      </c>
      <c r="Z25" s="19" t="inlineStr">
        <is>
          <t>Cannot confess his love while a film star seems to offer Mili a better life</t>
        </is>
      </c>
      <c r="AA25" s="19" t="inlineStr">
        <is>
          <t>Insecure tapori finds the courage to reveal his feelings</t>
        </is>
      </c>
      <c r="AB25" s="19" t="inlineStr">
        <is>
          <t>Heroic</t>
        </is>
      </c>
      <c r="AC25" s="5" t="inlineStr">
        <is>
          <t>Reunited with Mili</t>
        </is>
      </c>
      <c r="AD25" s="5" t="inlineStr">
        <is>
          <t>Urmila Matondkar</t>
        </is>
      </c>
      <c r="AE25" s="5" t="inlineStr">
        <is>
          <t>Central</t>
        </is>
      </c>
      <c r="AF25" s="20" t="n">
        <v>9</v>
      </c>
      <c r="AG25" s="19" t="inlineStr">
        <is>
          <t>Love triangle</t>
        </is>
      </c>
      <c r="AH25" s="21" t="n">
        <v>4.5</v>
      </c>
      <c r="AI25" s="5" t="n"/>
      <c r="AJ25" s="5" t="n"/>
      <c r="AK25" s="5" t="n"/>
      <c r="AL25" s="5" t="n"/>
      <c r="AM25" s="5" t="inlineStr">
        <is>
          <t>INR crore</t>
        </is>
      </c>
      <c r="AN25" s="5" t="inlineStr">
        <is>
          <t>Blockbuster</t>
        </is>
      </c>
      <c r="AO25" s="20" t="n">
        <v>4</v>
      </c>
      <c r="AP25" s="19" t="inlineStr">
        <is>
          <t>Critical acclaim, with particular praise for A. R. Rahman's soundtrack and Urmila Matondkar's performance.</t>
        </is>
      </c>
      <c r="AQ25" s="19" t="inlineStr">
        <is>
          <t>Landmark film credited with a modern sensibility in mid-1990s Hindi cinema; Filmfare wins for Supporting Actor, Music Director, Story, Costume and Choreography; BFJA Best Actor (Hindi) for Aamir Khan.</t>
        </is>
      </c>
      <c r="AR25" s="5" t="inlineStr">
        <is>
          <t>SOURCE-030</t>
        </is>
      </c>
      <c r="AS25" s="5" t="inlineStr">
        <is>
          <t>Medium</t>
        </is>
      </c>
      <c r="AT25" s="5" t="inlineStr">
        <is>
          <t>Wikipedia's ₹33.4 crore box office (Box Office India) has no nett/gross label and is not entered. Release date 8 September 1995 per Wikipedia; Bollywood Hungama lists 9 August 1995.</t>
        </is>
      </c>
    </row>
    <row r="26" ht="94" customHeight="1">
      <c r="A26" s="15" t="inlineStr">
        <is>
          <t>FILM-025</t>
        </is>
      </c>
      <c r="B26" s="5" t="inlineStr">
        <is>
          <t>Akele Hum Akele Tum</t>
        </is>
      </c>
      <c r="C26" s="16" t="n">
        <v>35034</v>
      </c>
      <c r="D26" s="17" t="n">
        <v>1995</v>
      </c>
      <c r="E26" s="5" t="inlineStr">
        <is>
          <t>1990s</t>
        </is>
      </c>
      <c r="F26" s="5" t="inlineStr">
        <is>
          <t>Hindi</t>
        </is>
      </c>
      <c r="G26" s="5" t="inlineStr">
        <is>
          <t>Romantic drama</t>
        </is>
      </c>
      <c r="H26" s="5" t="inlineStr">
        <is>
          <t>Musical</t>
        </is>
      </c>
      <c r="I26" s="17" t="n">
        <v>163</v>
      </c>
      <c r="J26" s="5" t="inlineStr">
        <is>
          <t>Mansoor Khan</t>
        </is>
      </c>
      <c r="K26" s="5" t="inlineStr">
        <is>
          <t>Champak Jain; Ratan Jain</t>
        </is>
      </c>
      <c r="L26" s="5" t="inlineStr">
        <is>
          <t>Venus Movies</t>
        </is>
      </c>
      <c r="M26" s="5" t="inlineStr">
        <is>
          <t>Mansoor Khan (story, screenplay); Nasir Hussain (dialogue)</t>
        </is>
      </c>
      <c r="N26" s="5" t="inlineStr">
        <is>
          <t>Loosely based on Kramer vs. Kramer (1979)</t>
        </is>
      </c>
      <c r="O26" s="5" t="inlineStr">
        <is>
          <t>Anu Malik</t>
        </is>
      </c>
      <c r="P26" s="5" t="n"/>
      <c r="Q26" s="5" t="inlineStr">
        <is>
          <t>Majrooh Sultanpuri</t>
        </is>
      </c>
      <c r="R26" s="5" t="inlineStr">
        <is>
          <t>Rohit Kumar</t>
        </is>
      </c>
      <c r="S26" s="5" t="n"/>
      <c r="T26" s="5" t="inlineStr">
        <is>
          <t>Lead</t>
        </is>
      </c>
      <c r="U26" s="20" t="n">
        <v>1</v>
      </c>
      <c r="V26" s="5" t="inlineStr">
        <is>
          <t>Aspiring playback singer</t>
        </is>
      </c>
      <c r="W26" s="5" t="n"/>
      <c r="X26" s="19" t="inlineStr">
        <is>
          <t>Rohit, an aspiring playback singer, marries Kiran despite her parents' opposition, and her own ambitions recede into housework while his career stalls. Too proud to accept her support, he reads it as pity; she leaves to build a career while he raises their son Sunil alone. She wins custody in court but chooses not to separate father and son, and the family reconciles.</t>
        </is>
      </c>
      <c r="Y26" s="19" t="inlineStr">
        <is>
          <t>Success as a singer and a stable family</t>
        </is>
      </c>
      <c r="Z26" s="19" t="inlineStr">
        <is>
          <t>Wounded pride as his wife's career overtakes his</t>
        </is>
      </c>
      <c r="AA26" s="19" t="inlineStr">
        <is>
          <t>Proud, struggling artist becomes a devoted single father</t>
        </is>
      </c>
      <c r="AB26" s="19" t="inlineStr">
        <is>
          <t>Flawed, sympathetic</t>
        </is>
      </c>
      <c r="AC26" s="5" t="inlineStr">
        <is>
          <t>Reconciles with Kiran</t>
        </is>
      </c>
      <c r="AD26" s="5" t="inlineStr">
        <is>
          <t>Manisha Koirala</t>
        </is>
      </c>
      <c r="AE26" s="5" t="inlineStr">
        <is>
          <t>Central</t>
        </is>
      </c>
      <c r="AF26" s="20" t="n">
        <v>9</v>
      </c>
      <c r="AG26" s="19" t="inlineStr">
        <is>
          <t>Marriage under strain</t>
        </is>
      </c>
      <c r="AH26" s="21" t="n">
        <v>4.5</v>
      </c>
      <c r="AI26" s="5" t="n"/>
      <c r="AJ26" s="5" t="n"/>
      <c r="AK26" s="5" t="n"/>
      <c r="AL26" s="5" t="n"/>
      <c r="AM26" s="5" t="inlineStr">
        <is>
          <t>INR crore</t>
        </is>
      </c>
      <c r="AN26" s="5" t="inlineStr">
        <is>
          <t>Successful</t>
        </is>
      </c>
      <c r="AO26" s="18" t="n"/>
      <c r="AP26" s="19" t="inlineStr">
        <is>
          <t>Both leads' performances were acclaimed.</t>
        </is>
      </c>
      <c r="AQ26" s="19" t="inlineStr">
        <is>
          <t>Eight Filmfare nominations; soundtrack sold about 2.5 million units, the year's ninth-highest seller.</t>
        </is>
      </c>
      <c r="AR26" s="5" t="inlineStr">
        <is>
          <t>SOURCE-031</t>
        </is>
      </c>
      <c r="AS26" s="5" t="inlineStr">
        <is>
          <t>Medium</t>
        </is>
      </c>
      <c r="AT26" s="5" t="inlineStr">
        <is>
          <t>Wikipedia's ₹12.37 crore box office (Box Office India) has no nett/gross label and is not entered. Release date 1 December 1995 per Wikipedia; Bollywood Hungama lists 30 November.</t>
        </is>
      </c>
    </row>
    <row r="27" ht="94" customHeight="1">
      <c r="A27" s="15" t="inlineStr">
        <is>
          <t>FILM-026</t>
        </is>
      </c>
      <c r="B27" s="5" t="inlineStr">
        <is>
          <t>Raja Hindustani</t>
        </is>
      </c>
      <c r="C27" s="16" t="n">
        <v>35384</v>
      </c>
      <c r="D27" s="17" t="n">
        <v>1996</v>
      </c>
      <c r="E27" s="5" t="inlineStr">
        <is>
          <t>1990s</t>
        </is>
      </c>
      <c r="F27" s="5" t="inlineStr">
        <is>
          <t>Hindi</t>
        </is>
      </c>
      <c r="G27" s="5" t="inlineStr">
        <is>
          <t>Romantic action</t>
        </is>
      </c>
      <c r="H27" s="5" t="n"/>
      <c r="I27" s="17" t="n">
        <v>177</v>
      </c>
      <c r="J27" s="5" t="inlineStr">
        <is>
          <t>Dharmesh Darshan</t>
        </is>
      </c>
      <c r="K27" s="5" t="inlineStr">
        <is>
          <t>Ali Morani; Karim Morani; Bunty Soorma</t>
        </is>
      </c>
      <c r="L27" s="5" t="inlineStr">
        <is>
          <t>Cineyug Films</t>
        </is>
      </c>
      <c r="M27" s="5" t="inlineStr">
        <is>
          <t>Dharmesh Darshan (story); Robin Bhatt (screenplay); Javed Siddiqui (dialogue)</t>
        </is>
      </c>
      <c r="N27" s="5" t="inlineStr">
        <is>
          <t>Inspired by Jab Jab Phool Khile (1965)</t>
        </is>
      </c>
      <c r="O27" s="5" t="inlineStr">
        <is>
          <t>Nadeem–Shravan</t>
        </is>
      </c>
      <c r="P27" s="5" t="inlineStr">
        <is>
          <t>Surinder Sodhi</t>
        </is>
      </c>
      <c r="Q27" s="5" t="inlineStr">
        <is>
          <t>Sameer</t>
        </is>
      </c>
      <c r="R27" s="5" t="inlineStr">
        <is>
          <t>Raja Hindustani</t>
        </is>
      </c>
      <c r="S27" s="5" t="n"/>
      <c r="T27" s="5" t="inlineStr">
        <is>
          <t>Lead</t>
        </is>
      </c>
      <c r="U27" s="20" t="n">
        <v>1</v>
      </c>
      <c r="V27" s="5" t="inlineStr">
        <is>
          <t>Taxi driver</t>
        </is>
      </c>
      <c r="W27" s="5" t="inlineStr">
        <is>
          <t>Working-class driver in the small hill town of Palankhet</t>
        </is>
      </c>
      <c r="X27" s="19" t="inlineStr">
        <is>
          <t>Raja, a proud small-town taxi driver, is hired by the wealthy Aarti, who has come to Palankhet to find traces of her late mother. They fall in love and marry over her father's objections, but her scheming stepmother Shalini convinces each that the other wants out. Separated, Raja takes their infant son, fearing Aarti will keep him away; the deception is exposed and the family reunites.</t>
        </is>
      </c>
      <c r="Y27" s="19" t="inlineStr">
        <is>
          <t>Love for Aarti and his self-respect</t>
        </is>
      </c>
      <c r="Z27" s="19" t="inlineStr">
        <is>
          <t>The class gap and the stepmother's conspiracy</t>
        </is>
      </c>
      <c r="AA27" s="19" t="inlineStr">
        <is>
          <t>Proud working-class lover survives separation and misunderstanding to reunite his family</t>
        </is>
      </c>
      <c r="AB27" s="19" t="inlineStr">
        <is>
          <t>Heroic</t>
        </is>
      </c>
      <c r="AC27" s="5" t="inlineStr">
        <is>
          <t>Reunited with Aarti and their son</t>
        </is>
      </c>
      <c r="AD27" s="5" t="inlineStr">
        <is>
          <t>Karisma Kapoor</t>
        </is>
      </c>
      <c r="AE27" s="5" t="inlineStr">
        <is>
          <t>Central</t>
        </is>
      </c>
      <c r="AF27" s="20" t="n">
        <v>10</v>
      </c>
      <c r="AG27" s="19" t="inlineStr">
        <is>
          <t>Relationship manipulated by outsiders</t>
        </is>
      </c>
      <c r="AH27" s="21" t="n">
        <v>5.75</v>
      </c>
      <c r="AI27" s="21" t="n">
        <v>43.15</v>
      </c>
      <c r="AJ27" s="21" t="n">
        <v>73.84</v>
      </c>
      <c r="AK27" s="5" t="n"/>
      <c r="AL27" s="21" t="n">
        <v>76.34</v>
      </c>
      <c r="AM27" s="5" t="inlineStr">
        <is>
          <t>INR crore</t>
        </is>
      </c>
      <c r="AN27" s="5" t="inlineStr">
        <is>
          <t>All-time blockbuster</t>
        </is>
      </c>
      <c r="AO27" s="20" t="n">
        <v>1</v>
      </c>
      <c r="AP27" s="19" t="inlineStr">
        <is>
          <t>Mixed: Anupama Chopra (India Today) found it dated but called Karisma Kapoor its lifeblood; the lead pair's chemistry was praised.</t>
        </is>
      </c>
      <c r="AQ27" s="19" t="inlineStr">
        <is>
          <t>Five Filmfare Awards including Best Actor for Aamir Khan; seven Screen Awards; soundtrack sold 11 million copies; fourth-highest domestic grosser of the 1990s.</t>
        </is>
      </c>
      <c r="AR27" s="5" t="inlineStr">
        <is>
          <t>SOURCE-032</t>
        </is>
      </c>
      <c r="AS27" s="5" t="inlineStr">
        <is>
          <t>Medium</t>
        </is>
      </c>
      <c r="AT27" s="5" t="inlineStr">
        <is>
          <t>All commercial figures from Box Office India via Wikipedia. Overseas gross is not stated separately and is not derived.</t>
        </is>
      </c>
    </row>
    <row r="28" ht="94" customHeight="1">
      <c r="A28" s="15" t="inlineStr">
        <is>
          <t>FILM-027</t>
        </is>
      </c>
      <c r="B28" s="5" t="inlineStr">
        <is>
          <t>Ishq</t>
        </is>
      </c>
      <c r="C28" s="16" t="n">
        <v>35762</v>
      </c>
      <c r="D28" s="17" t="n">
        <v>1997</v>
      </c>
      <c r="E28" s="5" t="inlineStr">
        <is>
          <t>1990s</t>
        </is>
      </c>
      <c r="F28" s="5" t="inlineStr">
        <is>
          <t>Hindi</t>
        </is>
      </c>
      <c r="G28" s="5" t="inlineStr">
        <is>
          <t>Romantic comedy</t>
        </is>
      </c>
      <c r="H28" s="5" t="inlineStr">
        <is>
          <t>Masala</t>
        </is>
      </c>
      <c r="I28" s="17" t="n">
        <v>168</v>
      </c>
      <c r="J28" s="5" t="inlineStr">
        <is>
          <t>Indra Kumar</t>
        </is>
      </c>
      <c r="K28" s="5" t="inlineStr">
        <is>
          <t>Gordhan Tanwani</t>
        </is>
      </c>
      <c r="L28" s="5" t="inlineStr">
        <is>
          <t>Baba Films</t>
        </is>
      </c>
      <c r="M28" s="5" t="inlineStr">
        <is>
          <t>Praful Parekh, Rajeev Kaul (story, screenplay); Tanveer Khan (dialogue)</t>
        </is>
      </c>
      <c r="N28" s="5" t="n"/>
      <c r="O28" s="5" t="inlineStr">
        <is>
          <t>Anu Malik</t>
        </is>
      </c>
      <c r="P28" s="5" t="inlineStr">
        <is>
          <t>Surinder Sodhi</t>
        </is>
      </c>
      <c r="Q28" s="5" t="inlineStr">
        <is>
          <t>Rahat Indori; Javed Akhtar</t>
        </is>
      </c>
      <c r="R28" s="5" t="inlineStr">
        <is>
          <t>Raja</t>
        </is>
      </c>
      <c r="S28" s="5" t="n"/>
      <c r="T28" s="5" t="inlineStr">
        <is>
          <t>Co-lead</t>
        </is>
      </c>
      <c r="U28" s="20" t="n">
        <v>1</v>
      </c>
      <c r="V28" s="5" t="inlineStr">
        <is>
          <t>Mechanic</t>
        </is>
      </c>
      <c r="W28" s="5" t="inlineStr">
        <is>
          <t>Working-class; best friend of the wealthy Ajay</t>
        </is>
      </c>
      <c r="X28" s="19" t="inlineStr">
        <is>
          <t>Raja, a working-class mechanic, is best friends with the rich Ajay. Raja falls for Madhu, the heiress whom the fathers want Ajay to marry, while Ajay loves the poor Kajal. Both fathers, contemptuous of the poor, use bribes and fake photographs to turn the couples against each other. Raja exposes the scheme, and Ajay and Madhu reach the departing ship just in time to reunite with their true partners.</t>
        </is>
      </c>
      <c r="Y28" s="19" t="inlineStr">
        <is>
          <t>Love for Madhu and loyalty to Ajay</t>
        </is>
      </c>
      <c r="Z28" s="19" t="inlineStr">
        <is>
          <t>Two rich fathers' schemes against cross-class marriages</t>
        </is>
      </c>
      <c r="AA28" s="19" t="inlineStr">
        <is>
          <t>Comic underdog outwits the fathers</t>
        </is>
      </c>
      <c r="AB28" s="19" t="inlineStr">
        <is>
          <t>Heroic</t>
        </is>
      </c>
      <c r="AC28" s="5" t="inlineStr">
        <is>
          <t>United with Madhu</t>
        </is>
      </c>
      <c r="AD28" s="5" t="inlineStr">
        <is>
          <t>Juhi Chawla; Kajol</t>
        </is>
      </c>
      <c r="AE28" s="5" t="inlineStr">
        <is>
          <t>Central</t>
        </is>
      </c>
      <c r="AF28" s="20" t="n">
        <v>8</v>
      </c>
      <c r="AG28" s="19" t="inlineStr">
        <is>
          <t>United couple versus external world</t>
        </is>
      </c>
      <c r="AH28" s="21" t="n">
        <v>11</v>
      </c>
      <c r="AI28" s="21" t="n">
        <v>24.93</v>
      </c>
      <c r="AJ28" s="5" t="n"/>
      <c r="AK28" s="5" t="n"/>
      <c r="AL28" s="21" t="n">
        <v>45.61</v>
      </c>
      <c r="AM28" s="5" t="inlineStr">
        <is>
          <t>INR crore</t>
        </is>
      </c>
      <c r="AN28" s="5" t="inlineStr">
        <is>
          <t>Commercial success</t>
        </is>
      </c>
      <c r="AO28" s="20" t="n">
        <v>3</v>
      </c>
      <c r="AP28" s="19" t="inlineStr">
        <is>
          <t>Mixed to positive; praised for humour, soundtrack and performances, criticised for story and screenplay.</t>
        </is>
      </c>
      <c r="AQ28" s="19" t="inlineStr">
        <is>
          <t>Soundtrack sold about 3 million units; remade in Kannada as Snehana Preethina (2007).</t>
        </is>
      </c>
      <c r="AR28" s="5" t="inlineStr">
        <is>
          <t>SOURCE-033</t>
        </is>
      </c>
      <c r="AS28" s="5" t="inlineStr">
        <is>
          <t>Medium</t>
        </is>
      </c>
      <c r="AT28" s="5" t="inlineStr">
        <is>
          <t>Raja is paired with Madhu (Juhi Chawla) and Ajay (Ajay Devgn) with Kajal (Kajol), per the verbatim plot and cast lines. Commercial figures from Box Office India via Wikipedia.</t>
        </is>
      </c>
    </row>
    <row r="29" ht="94" customHeight="1">
      <c r="A29" s="15" t="inlineStr">
        <is>
          <t>FILM-028</t>
        </is>
      </c>
      <c r="B29" s="5" t="inlineStr">
        <is>
          <t>Ghulam</t>
        </is>
      </c>
      <c r="C29" s="16" t="n">
        <v>35965</v>
      </c>
      <c r="D29" s="17" t="n">
        <v>1998</v>
      </c>
      <c r="E29" s="5" t="inlineStr">
        <is>
          <t>1990s</t>
        </is>
      </c>
      <c r="F29" s="5" t="inlineStr">
        <is>
          <t>Hindi</t>
        </is>
      </c>
      <c r="G29" s="5" t="inlineStr">
        <is>
          <t>Action</t>
        </is>
      </c>
      <c r="H29" s="5" t="inlineStr">
        <is>
          <t>Crime drama</t>
        </is>
      </c>
      <c r="I29" s="17" t="n">
        <v>162</v>
      </c>
      <c r="J29" s="5" t="inlineStr">
        <is>
          <t>Vikram Bhatt</t>
        </is>
      </c>
      <c r="K29" s="5" t="inlineStr">
        <is>
          <t>Mukesh Bhatt</t>
        </is>
      </c>
      <c r="L29" s="5" t="inlineStr">
        <is>
          <t>Vishesh Films</t>
        </is>
      </c>
      <c r="M29" s="5" t="inlineStr">
        <is>
          <t>Anjum Rajabali</t>
        </is>
      </c>
      <c r="N29" s="5" t="inlineStr">
        <is>
          <t>Based on On the Waterfront (1954)</t>
        </is>
      </c>
      <c r="O29" s="5" t="inlineStr">
        <is>
          <t>Jatin–Lalit</t>
        </is>
      </c>
      <c r="P29" s="5" t="inlineStr">
        <is>
          <t>Amar Haldipur</t>
        </is>
      </c>
      <c r="Q29" s="5" t="inlineStr">
        <is>
          <t>Indeevar; Nitin Raikwar; Sameer; Vinod Mahendra</t>
        </is>
      </c>
      <c r="R29" s="5" t="inlineStr">
        <is>
          <t>Siddharth "Siddhu" Marathe</t>
        </is>
      </c>
      <c r="S29" s="5" t="n"/>
      <c r="T29" s="5" t="inlineStr">
        <is>
          <t>Lead</t>
        </is>
      </c>
      <c r="U29" s="20" t="n">
        <v>1</v>
      </c>
      <c r="V29" s="5" t="inlineStr">
        <is>
          <t>Amateur boxer and small-time hustler</t>
        </is>
      </c>
      <c r="W29" s="5" t="inlineStr">
        <is>
          <t>Mumbai neighbourhood youth; younger brother of Jai, right-hand man to the gangster Ronnie</t>
        </is>
      </c>
      <c r="X29" s="19" t="inlineStr">
        <is>
          <t>Siddhu, an aimless amateur boxer, drifts on the edges of the gang run by Ronnie, whom his brother Jai serves. He wins a reckless dare against an oncoming train, falls for Alisha, and unwittingly lures her brother Hari, a social worker, into a fatal ambush. Losing Alisha and then Jai, he confronts his family's history of cowardice, testifies against Ronnie and beats him in a public boxing bout.</t>
        </is>
      </c>
      <c r="Y29" s="19" t="inlineStr">
        <is>
          <t>Redemption and standing up to Ronnie</t>
        </is>
      </c>
      <c r="Z29" s="19" t="inlineStr">
        <is>
          <t>Loyalty to his brother against his conscience</t>
        </is>
      </c>
      <c r="AA29" s="19" t="inlineStr">
        <is>
          <t>Aimless hustler becomes the neighbourhood's champion</t>
        </is>
      </c>
      <c r="AB29" s="19" t="inlineStr">
        <is>
          <t>Flawed, redeemed</t>
        </is>
      </c>
      <c r="AC29" s="5" t="inlineStr">
        <is>
          <t>Defeats Ronnie and rallies the community</t>
        </is>
      </c>
      <c r="AD29" s="5" t="inlineStr">
        <is>
          <t>Rani Mukerji</t>
        </is>
      </c>
      <c r="AE29" s="5" t="inlineStr">
        <is>
          <t>Secondary</t>
        </is>
      </c>
      <c r="AF29" s="20" t="n">
        <v>5</v>
      </c>
      <c r="AG29" s="19" t="inlineStr">
        <is>
          <t>Romance subordinate to another genre</t>
        </is>
      </c>
      <c r="AH29" s="21" t="n">
        <v>7.5</v>
      </c>
      <c r="AI29" s="5" t="n"/>
      <c r="AJ29" s="5" t="n"/>
      <c r="AK29" s="5" t="n"/>
      <c r="AL29" s="5" t="n"/>
      <c r="AM29" s="5" t="inlineStr">
        <is>
          <t>INR crore</t>
        </is>
      </c>
      <c r="AN29" s="5" t="inlineStr">
        <is>
          <t>Hit</t>
        </is>
      </c>
      <c r="AO29" s="18" t="n"/>
      <c r="AP29" s="19" t="inlineStr">
        <is>
          <t>A commercial success; the train-race sequence won Filmfare's Best Scene of the Year.</t>
        </is>
      </c>
      <c r="AQ29" s="19" t="inlineStr">
        <is>
          <t>Aamir Khan's own song 'Aati Kya Khandala' earned him a Filmfare Best Male Playback Singer nomination.</t>
        </is>
      </c>
      <c r="AR29" s="5" t="inlineStr">
        <is>
          <t>SOURCE-034; SOURCE-065</t>
        </is>
      </c>
      <c r="AS29" s="5" t="inlineStr">
        <is>
          <t>Medium</t>
        </is>
      </c>
      <c r="AT29" s="5" t="inlineStr">
        <is>
          <t>Wikipedia's ₹24.2 crore box office (Box Office India) has no nett/gross label and is not entered. The train dare and Alisha's link to a motorcycle gang come from web search summaries; Wikipedia records a breakup but not whether the couple reunite.</t>
        </is>
      </c>
    </row>
    <row r="30" ht="109" customHeight="1">
      <c r="A30" s="15" t="inlineStr">
        <is>
          <t>FILM-029</t>
        </is>
      </c>
      <c r="B30" s="5" t="inlineStr">
        <is>
          <t>Sarfarosh</t>
        </is>
      </c>
      <c r="C30" s="16" t="n">
        <v>36280</v>
      </c>
      <c r="D30" s="17" t="n">
        <v>1999</v>
      </c>
      <c r="E30" s="5" t="inlineStr">
        <is>
          <t>1990s</t>
        </is>
      </c>
      <c r="F30" s="5" t="inlineStr">
        <is>
          <t>Hindi</t>
        </is>
      </c>
      <c r="G30" s="5" t="inlineStr">
        <is>
          <t>Action thriller</t>
        </is>
      </c>
      <c r="H30" s="5" t="inlineStr">
        <is>
          <t>Crime</t>
        </is>
      </c>
      <c r="I30" s="17" t="n">
        <v>163</v>
      </c>
      <c r="J30" s="5" t="inlineStr">
        <is>
          <t>John Matthew Matthan</t>
        </is>
      </c>
      <c r="K30" s="5" t="inlineStr">
        <is>
          <t>John Matthew Matthan</t>
        </is>
      </c>
      <c r="L30" s="5" t="inlineStr">
        <is>
          <t>Cinematt Pictures</t>
        </is>
      </c>
      <c r="M30" s="5" t="inlineStr">
        <is>
          <t>John Matthew Matthan (story, screenplay); Hriday Lani, Pathik Vats (dialogue)</t>
        </is>
      </c>
      <c r="N30" s="5" t="inlineStr">
        <is>
          <t>Original; drew on 1990s state-sponsored terrorism in India</t>
        </is>
      </c>
      <c r="O30" s="5" t="inlineStr">
        <is>
          <t>Jatin–Lalit</t>
        </is>
      </c>
      <c r="P30" s="5" t="inlineStr">
        <is>
          <t>Sanjoy Chowdhury</t>
        </is>
      </c>
      <c r="Q30" s="5" t="inlineStr">
        <is>
          <t>Israr Ansari; Nida Fazli; Sameer; Indeevar</t>
        </is>
      </c>
      <c r="R30" s="5" t="inlineStr">
        <is>
          <t>ACP Ajay Singh Rathod</t>
        </is>
      </c>
      <c r="S30" s="5" t="n"/>
      <c r="T30" s="5" t="inlineStr">
        <is>
          <t>Lead</t>
        </is>
      </c>
      <c r="U30" s="20" t="n">
        <v>1</v>
      </c>
      <c r="V30" s="5" t="inlineStr">
        <is>
          <t>Assistant Commissioner of Police leading a special investigation</t>
        </is>
      </c>
      <c r="W30" s="5" t="inlineStr">
        <is>
          <t>Middle-class family scarred by terrorism: brother killed, father left mute</t>
        </is>
      </c>
      <c r="X30" s="19" t="inlineStr">
        <is>
          <t>Ajay joins the police after terrorists kill his brother and leave his father unable to speak. As an ACP he tracks an arms-smuggling network while resented by the senior Inspector Saleem, and slowly discovers that his admired friend Gulfam Hassan is a Pakistani intelligence agent. Recovering from wounds, he tricks Gulfam into self-incrimination and destroys the network; his reunion with college crush Seema is a warm secondary thread.</t>
        </is>
      </c>
      <c r="Y30" s="19" t="inlineStr">
        <is>
          <t>Fight the terrorism that destroyed his family</t>
        </is>
      </c>
      <c r="Z30" s="19" t="inlineStr">
        <is>
          <t>Exposing a trusted friend as the mastermind of the arms network</t>
        </is>
      </c>
      <c r="AA30" s="19" t="inlineStr">
        <is>
          <t>Idealistic, inexperienced officer learns to pair integrity with cunning</t>
        </is>
      </c>
      <c r="AB30" s="19" t="inlineStr">
        <is>
          <t>Heroic</t>
        </is>
      </c>
      <c r="AC30" s="5" t="inlineStr">
        <is>
          <t>Dismantles the network and is honoured in Mumbai</t>
        </is>
      </c>
      <c r="AD30" s="5" t="inlineStr">
        <is>
          <t>Sonali Bendre</t>
        </is>
      </c>
      <c r="AE30" s="5" t="inlineStr">
        <is>
          <t>Secondary</t>
        </is>
      </c>
      <c r="AF30" s="20" t="n">
        <v>3</v>
      </c>
      <c r="AG30" s="19" t="inlineStr">
        <is>
          <t>Romance subordinate to another genre</t>
        </is>
      </c>
      <c r="AH30" s="21" t="n">
        <v>8</v>
      </c>
      <c r="AI30" s="5" t="n"/>
      <c r="AJ30" s="5" t="n"/>
      <c r="AK30" s="5" t="n"/>
      <c r="AL30" s="5" t="n"/>
      <c r="AM30" s="5" t="inlineStr">
        <is>
          <t>INR crore</t>
        </is>
      </c>
      <c r="AN30" s="5" t="inlineStr">
        <is>
          <t>Commercially successful</t>
        </is>
      </c>
      <c r="AO30" s="18" t="n"/>
      <c r="AP30" s="19" t="inlineStr">
        <is>
          <t>Critical acclaim; Filmfare gave four stars for its characterisation and performances, and Naseeruddin Shah was especially praised.</t>
        </is>
      </c>
      <c r="AQ30" s="19" t="inlineStr">
        <is>
          <t>National Film Award for Best Popular Film Providing Wholesome Entertainment; screened at IFFI; remade in Kannada and Telugu. Zee Cine Best Actor for Aamir Khan.</t>
        </is>
      </c>
      <c r="AR30" s="5" t="inlineStr">
        <is>
          <t>SOURCE-036</t>
        </is>
      </c>
      <c r="AS30" s="5" t="inlineStr">
        <is>
          <t>Medium</t>
        </is>
      </c>
      <c r="AT30" s="5" t="inlineStr">
        <is>
          <t>Wikipedia gives box office of ₹33.46 crore citing Box Office India without a nett/gross label; not entered in a commercial column. Budget ₹8 crore.</t>
        </is>
      </c>
    </row>
    <row r="31" ht="109" customHeight="1">
      <c r="A31" s="15" t="inlineStr">
        <is>
          <t>FILM-030</t>
        </is>
      </c>
      <c r="B31" s="5" t="inlineStr">
        <is>
          <t>Mann</t>
        </is>
      </c>
      <c r="C31" s="16" t="n">
        <v>36350</v>
      </c>
      <c r="D31" s="17" t="n">
        <v>1999</v>
      </c>
      <c r="E31" s="5" t="inlineStr">
        <is>
          <t>1990s</t>
        </is>
      </c>
      <c r="F31" s="5" t="inlineStr">
        <is>
          <t>Hindi</t>
        </is>
      </c>
      <c r="G31" s="5" t="inlineStr">
        <is>
          <t>Romantic drama</t>
        </is>
      </c>
      <c r="H31" s="5" t="n"/>
      <c r="I31" s="17" t="n">
        <v>140</v>
      </c>
      <c r="J31" s="5" t="inlineStr">
        <is>
          <t>Indra Kumar</t>
        </is>
      </c>
      <c r="K31" s="5" t="inlineStr">
        <is>
          <t>Indra Kumar; Ashok Thakeria</t>
        </is>
      </c>
      <c r="L31" s="5" t="inlineStr">
        <is>
          <t>Maruti International</t>
        </is>
      </c>
      <c r="M31" s="5" t="inlineStr">
        <is>
          <t>Aatish Kapadia</t>
        </is>
      </c>
      <c r="N31" s="5" t="inlineStr">
        <is>
          <t>Inspired by An Affair to Remember (1957)</t>
        </is>
      </c>
      <c r="O31" s="5" t="inlineStr">
        <is>
          <t>Sanjeev–Darshan</t>
        </is>
      </c>
      <c r="P31" s="5" t="n"/>
      <c r="Q31" s="5" t="inlineStr">
        <is>
          <t>Sameer</t>
        </is>
      </c>
      <c r="R31" s="5" t="inlineStr">
        <is>
          <t>Dev Karan Singh</t>
        </is>
      </c>
      <c r="S31" s="5" t="n"/>
      <c r="T31" s="5" t="inlineStr">
        <is>
          <t>Lead</t>
        </is>
      </c>
      <c r="U31" s="20" t="n">
        <v>1</v>
      </c>
      <c r="V31" s="5" t="inlineStr">
        <is>
          <t>Painter</t>
        </is>
      </c>
      <c r="W31" s="5" t="inlineStr">
        <is>
          <t>Flamboyant, debt-ridden playboy engaged to a tycoon's daughter for money</t>
        </is>
      </c>
      <c r="X31" s="19" t="inlineStr">
        <is>
          <t>Dev, a debt-ridden playboy painter engaged to a tycoon's daughter for money, meets Priya on a cruise; she is engaged too. They fall in love and agree to settle their affairs and meet on Valentine's Day in six months. Dev breaks his engagement and works to succeed, but Priya loses her legs in an accident on the way to meet him and hides it; he discovers the truth and marries her.</t>
        </is>
      </c>
      <c r="Y31" s="19" t="inlineStr">
        <is>
          <t>Win Priya and become worthy of her</t>
        </is>
      </c>
      <c r="Z31" s="19" t="inlineStr">
        <is>
          <t>Believes Priya rejected him, unaware of her accident</t>
        </is>
      </c>
      <c r="AA31" s="19" t="inlineStr">
        <is>
          <t>Mercenary casanova becomes a faithful, self-made artist</t>
        </is>
      </c>
      <c r="AB31" s="19" t="inlineStr">
        <is>
          <t>Redeemed</t>
        </is>
      </c>
      <c r="AC31" s="5" t="inlineStr">
        <is>
          <t>Marries Priya</t>
        </is>
      </c>
      <c r="AD31" s="5" t="inlineStr">
        <is>
          <t>Manisha Koirala</t>
        </is>
      </c>
      <c r="AE31" s="5" t="inlineStr">
        <is>
          <t>Central</t>
        </is>
      </c>
      <c r="AF31" s="20" t="n">
        <v>10</v>
      </c>
      <c r="AG31" s="19" t="inlineStr">
        <is>
          <t>Frictionless idealized romance</t>
        </is>
      </c>
      <c r="AH31" s="21" t="n">
        <v>14</v>
      </c>
      <c r="AI31" s="5" t="n"/>
      <c r="AJ31" s="5" t="n"/>
      <c r="AK31" s="5" t="n"/>
      <c r="AL31" s="5" t="n"/>
      <c r="AM31" s="5" t="inlineStr">
        <is>
          <t>INR crore</t>
        </is>
      </c>
      <c r="AN31" s="5" t="inlineStr">
        <is>
          <t>Profitable</t>
        </is>
      </c>
      <c r="AO31" s="18" t="n"/>
      <c r="AP31" s="19" t="inlineStr">
        <is>
          <t>Positive reviews; the soundtrack was well received but accused of plagiarising international songs.</t>
        </is>
      </c>
      <c r="AQ31" s="19" t="inlineStr">
        <is>
          <t>Soundtrack sold about 2.8 million units, the year's sixth-highest seller.</t>
        </is>
      </c>
      <c r="AR31" s="5" t="inlineStr">
        <is>
          <t>SOURCE-037; SOURCE-083</t>
        </is>
      </c>
      <c r="AS31" s="5" t="inlineStr">
        <is>
          <t>Medium</t>
        </is>
      </c>
      <c r="AT31" s="5" t="inlineStr">
        <is>
          <t>Wikipedia's ₹35.45 crore box office (Box Office India) has no nett/gross label and is not entered. Dev's broken engagement to Anita Singhania (Deepti Bhatnagar) is recorded here rather than as a Romances row. Indra Kumar's Wikipedia article calls Mann a commercial failure, contradicting the film article's 'profitable'; no verdict entered.</t>
        </is>
      </c>
    </row>
    <row r="32" ht="79" customHeight="1">
      <c r="A32" s="15" t="inlineStr">
        <is>
          <t>FILM-031</t>
        </is>
      </c>
      <c r="B32" s="5" t="inlineStr">
        <is>
          <t>Earth</t>
        </is>
      </c>
      <c r="C32" s="16" t="n">
        <v>36413</v>
      </c>
      <c r="D32" s="17" t="n">
        <v>1999</v>
      </c>
      <c r="E32" s="5" t="inlineStr">
        <is>
          <t>1990s</t>
        </is>
      </c>
      <c r="F32" s="5" t="inlineStr">
        <is>
          <t>Hindi</t>
        </is>
      </c>
      <c r="G32" s="5" t="inlineStr">
        <is>
          <t>Period drama</t>
        </is>
      </c>
      <c r="H32" s="5" t="inlineStr">
        <is>
          <t>Romance</t>
        </is>
      </c>
      <c r="I32" s="17" t="n">
        <v>101</v>
      </c>
      <c r="J32" s="5" t="inlineStr">
        <is>
          <t>Deepa Mehta</t>
        </is>
      </c>
      <c r="K32" s="5" t="inlineStr">
        <is>
          <t>Anne Masson; Deepa Mehta</t>
        </is>
      </c>
      <c r="L32" s="5" t="n"/>
      <c r="M32" s="5" t="inlineStr">
        <is>
          <t>Deepa Mehta</t>
        </is>
      </c>
      <c r="N32" s="5" t="inlineStr">
        <is>
          <t>Based on Bapsi Sidhwa's novel Cracking India (first published as Ice Candy Man)</t>
        </is>
      </c>
      <c r="O32" s="5" t="inlineStr">
        <is>
          <t>A. R. Rahman</t>
        </is>
      </c>
      <c r="P32" s="5" t="n"/>
      <c r="Q32" s="5" t="inlineStr">
        <is>
          <t>Javed Akhtar</t>
        </is>
      </c>
      <c r="R32" s="5" t="inlineStr">
        <is>
          <t>Dil Navaz, the Ice Candy Man</t>
        </is>
      </c>
      <c r="S32" s="5" t="n"/>
      <c r="T32" s="5" t="inlineStr">
        <is>
          <t>Co-lead</t>
        </is>
      </c>
      <c r="U32" s="20" t="n">
        <v>1</v>
      </c>
      <c r="V32" s="5" t="inlineStr">
        <is>
          <t>Ice-candy seller</t>
        </is>
      </c>
      <c r="W32" s="5" t="inlineStr">
        <is>
          <t>Muslim man in 1947 Lahore, part of a mixed-faith circle of friends</t>
        </is>
      </c>
      <c r="X32" s="19" t="inlineStr">
        <is>
          <t>Dil Navaz, the Ice Candy Man, belongs to a mixed-faith circle gathered around Shanta, a nanny in Lahore, and competes for her with Hassan, the masseur she plans to marry. The sight of a train of massacred refugees during Partition turns his hurt into communal hatred. He tricks the child Lenny into revealing where Shanta is hiding, delivering her to a mob.</t>
        </is>
      </c>
      <c r="Y32" s="19" t="inlineStr">
        <is>
          <t>Win Shanta</t>
        </is>
      </c>
      <c r="Z32" s="19" t="inlineStr">
        <is>
          <t>Rejected love and grief poisoned by Partition violence</t>
        </is>
      </c>
      <c r="AA32" s="19" t="inlineStr">
        <is>
          <t>Charming suitor becomes a vengeful betrayer</t>
        </is>
      </c>
      <c r="AB32" s="19" t="inlineStr">
        <is>
          <t>Becomes antagonist</t>
        </is>
      </c>
      <c r="AC32" s="5" t="inlineStr">
        <is>
          <t>Betrays Shanta to a mob</t>
        </is>
      </c>
      <c r="AD32" s="5" t="inlineStr">
        <is>
          <t>Nandita Das</t>
        </is>
      </c>
      <c r="AE32" s="5" t="inlineStr">
        <is>
          <t>Major</t>
        </is>
      </c>
      <c r="AF32" s="20" t="n">
        <v>7</v>
      </c>
      <c r="AG32" s="19" t="inlineStr">
        <is>
          <t>Love triangle</t>
        </is>
      </c>
      <c r="AH32" s="5" t="n"/>
      <c r="AI32" s="5" t="n"/>
      <c r="AJ32" s="5" t="n"/>
      <c r="AK32" s="5" t="n"/>
      <c r="AL32" s="5" t="n"/>
      <c r="AM32" s="5" t="n"/>
      <c r="AN32" s="5" t="n"/>
      <c r="AO32" s="18" t="n"/>
      <c r="AP32" s="19" t="inlineStr">
        <is>
          <t>Strong international reviews (86% on Rotten Tomatoes); Roger Ebert gave three of four stars, and Rediff called it probably the best performance of Aamir Khan's life.</t>
        </is>
      </c>
      <c r="AQ32" s="19" t="inlineStr">
        <is>
          <t>India's submission for the Academy Award for Best Foreign Language Film; Filmfare debut awards for Rahul Khanna and Nandita Das.</t>
        </is>
      </c>
      <c r="AR32" s="5" t="inlineStr">
        <is>
          <t>SOURCE-035; SOURCE-002</t>
        </is>
      </c>
      <c r="AS32" s="5" t="inlineStr">
        <is>
          <t>Medium</t>
        </is>
      </c>
      <c r="AT32" s="5" t="inlineStr">
        <is>
          <t>Indo-Canadian production. Premiered at the Toronto festival on 11 September 1998 (Wikipedia lists it as a 1998 film); released in India as 1947: Earth on 10 September 1999 (Bollywood Hungama), used as the primary release date. Box-office figures not found.</t>
        </is>
      </c>
    </row>
    <row r="33" ht="124" customHeight="1">
      <c r="A33" s="15" t="inlineStr">
        <is>
          <t>FILM-032</t>
        </is>
      </c>
      <c r="B33" s="5" t="inlineStr">
        <is>
          <t>Mela</t>
        </is>
      </c>
      <c r="C33" s="16" t="n">
        <v>36532</v>
      </c>
      <c r="D33" s="17" t="n">
        <v>2000</v>
      </c>
      <c r="E33" s="5" t="inlineStr">
        <is>
          <t>2000s</t>
        </is>
      </c>
      <c r="F33" s="5" t="inlineStr">
        <is>
          <t>Hindi</t>
        </is>
      </c>
      <c r="G33" s="5" t="inlineStr">
        <is>
          <t>Masala</t>
        </is>
      </c>
      <c r="H33" s="5" t="inlineStr">
        <is>
          <t>Action</t>
        </is>
      </c>
      <c r="I33" s="17" t="n">
        <v>172</v>
      </c>
      <c r="J33" s="5" t="inlineStr">
        <is>
          <t>Dharmesh Darshan</t>
        </is>
      </c>
      <c r="K33" s="5" t="inlineStr">
        <is>
          <t>Ganesh Jain</t>
        </is>
      </c>
      <c r="L33" s="5" t="inlineStr">
        <is>
          <t>Venus Movies</t>
        </is>
      </c>
      <c r="M33" s="5" t="inlineStr">
        <is>
          <t>Suneel Darshan (story); Neeraj Vora, Sanjeev Duggal, Robin Bhatt (screenplay); Neeraj Vora, Dharmesh Darshan (dialogue)</t>
        </is>
      </c>
      <c r="N33" s="5" t="inlineStr">
        <is>
          <t>Original; the director cited Caravan (1971) as an inspiration</t>
        </is>
      </c>
      <c r="O33" s="5" t="inlineStr">
        <is>
          <t>Anu Malik; Rajesh Roshan; Lesle Lewis</t>
        </is>
      </c>
      <c r="P33" s="5" t="inlineStr">
        <is>
          <t>Surinder Sodhi</t>
        </is>
      </c>
      <c r="Q33" s="5" t="inlineStr">
        <is>
          <t>Dev Kohli; Dharmesh Darshan; Sameer</t>
        </is>
      </c>
      <c r="R33" s="5" t="inlineStr">
        <is>
          <t>Kishan Pyare</t>
        </is>
      </c>
      <c r="S33" s="5" t="n"/>
      <c r="T33" s="5" t="inlineStr">
        <is>
          <t>Lead</t>
        </is>
      </c>
      <c r="U33" s="20" t="n">
        <v>1</v>
      </c>
      <c r="V33" s="5" t="inlineStr">
        <is>
          <t>Touring theatre and dance-show performer</t>
        </is>
      </c>
      <c r="W33" s="5" t="inlineStr">
        <is>
          <t>Performer in a travelling troupe with his partner Shankar</t>
        </is>
      </c>
      <c r="X33" s="19" t="inlineStr">
        <is>
          <t>Kishan, a touring performer, first meets Roopa when she steals his clothes, then fights off goons harassing her and makes her the heroine of his dance show. Roopa feigns love to win his help against the bandit Gujjar Singh, who killed her brother and wants her as his mistress. Heartbroken when she confesses, Kishan leaves, then returns with a police ally to trap and defeat Gujjar.</t>
        </is>
      </c>
      <c r="Y33" s="19" t="inlineStr">
        <is>
          <t>Love for Roopa</t>
        </is>
      </c>
      <c r="Z33" s="19" t="inlineStr">
        <is>
          <t>The bandit Gujjar Singh and Roopa's strategic deception</t>
        </is>
      </c>
      <c r="AA33" s="19" t="inlineStr">
        <is>
          <t>Carefree entertainer becomes a protector</t>
        </is>
      </c>
      <c r="AB33" s="19" t="inlineStr">
        <is>
          <t>Heroic</t>
        </is>
      </c>
      <c r="AC33" s="5" t="inlineStr">
        <is>
          <t>Defeats Gujjar and ends with Roopa</t>
        </is>
      </c>
      <c r="AD33" s="5" t="inlineStr">
        <is>
          <t>Twinkle Khanna</t>
        </is>
      </c>
      <c r="AE33" s="5" t="inlineStr">
        <is>
          <t>Major</t>
        </is>
      </c>
      <c r="AF33" s="20" t="n">
        <v>7</v>
      </c>
      <c r="AG33" s="19" t="inlineStr">
        <is>
          <t>Relationship damaged by mistrust</t>
        </is>
      </c>
      <c r="AH33" s="5" t="n"/>
      <c r="AI33" s="5" t="n"/>
      <c r="AJ33" s="5" t="n"/>
      <c r="AK33" s="5" t="n"/>
      <c r="AL33" s="5" t="n"/>
      <c r="AM33" s="5" t="inlineStr">
        <is>
          <t>INR crore</t>
        </is>
      </c>
      <c r="AN33" s="5" t="n"/>
      <c r="AO33" s="18" t="n"/>
      <c r="AP33" s="19" t="inlineStr">
        <is>
          <t>Mixed reviews; Rediff called Aamir Khan the film's saving grace, while song placement and Twinkle Khanna's dubbed voice were criticised.</t>
        </is>
      </c>
      <c r="AQ33" s="19" t="n"/>
      <c r="AR33" s="5" t="inlineStr">
        <is>
          <t>SOURCE-038; SOURCE-095</t>
        </is>
      </c>
      <c r="AS33" s="5" t="inlineStr">
        <is>
          <t>Medium</t>
        </is>
      </c>
      <c r="AT33" s="5" t="inlineStr">
        <is>
          <t>Wikipedia gives 'est. ₹18 crore' budget and 'est. ₹25 crore' box office (Box Office India) without a nett/gross label; neither is entered because both are estimates and the box-office measure is unlabeled. Aishwarya Rai appears specially as Champakali, paired with Shankar (Faisal Khan). Dharmesh Darshan's Wikipedia article calls Mela a major commercial disaster with highly negative reviews; no verdict entered.</t>
        </is>
      </c>
    </row>
    <row r="34" ht="94" customHeight="1">
      <c r="A34" s="15" t="inlineStr">
        <is>
          <t>FILM-033</t>
        </is>
      </c>
      <c r="B34" s="5" t="inlineStr">
        <is>
          <t>Lagaan</t>
        </is>
      </c>
      <c r="C34" s="16" t="n">
        <v>37057</v>
      </c>
      <c r="D34" s="17" t="n">
        <v>2001</v>
      </c>
      <c r="E34" s="5" t="inlineStr">
        <is>
          <t>2000s</t>
        </is>
      </c>
      <c r="F34" s="5" t="inlineStr">
        <is>
          <t>Hindi</t>
        </is>
      </c>
      <c r="G34" s="5" t="inlineStr">
        <is>
          <t>Sports drama</t>
        </is>
      </c>
      <c r="H34" s="5" t="inlineStr">
        <is>
          <t>Period epic</t>
        </is>
      </c>
      <c r="I34" s="17" t="n">
        <v>233</v>
      </c>
      <c r="J34" s="5" t="inlineStr">
        <is>
          <t>Ashutosh Gowariker</t>
        </is>
      </c>
      <c r="K34" s="5" t="inlineStr">
        <is>
          <t>Aamir Khan; Jhamu Sughand (co-producer)</t>
        </is>
      </c>
      <c r="L34" s="5" t="inlineStr">
        <is>
          <t>Aamir Khan Productions</t>
        </is>
      </c>
      <c r="M34" s="5" t="inlineStr">
        <is>
          <t>Ashutosh Gowariker (story, screenplay); Kumar Dave, Sanjay Dayma (screenplay); K. P. Saxena (Hindi dialogue)</t>
        </is>
      </c>
      <c r="N34" s="5" t="inlineStr">
        <is>
          <t>Original</t>
        </is>
      </c>
      <c r="O34" s="5" t="inlineStr">
        <is>
          <t>A. R. Rahman</t>
        </is>
      </c>
      <c r="P34" s="5" t="inlineStr">
        <is>
          <t>A. R. Rahman</t>
        </is>
      </c>
      <c r="Q34" s="5" t="inlineStr">
        <is>
          <t>Javed Akhtar</t>
        </is>
      </c>
      <c r="R34" s="5" t="inlineStr">
        <is>
          <t>Bhuvan</t>
        </is>
      </c>
      <c r="S34" s="5" t="n"/>
      <c r="T34" s="5" t="inlineStr">
        <is>
          <t>Lead</t>
        </is>
      </c>
      <c r="U34" s="20" t="n">
        <v>1</v>
      </c>
      <c r="V34" s="5" t="inlineStr">
        <is>
          <t>Farmer</t>
        </is>
      </c>
      <c r="W34" s="5" t="inlineStr">
        <is>
          <t>Villager of drought-stricken Champaner in British India, 1893</t>
        </is>
      </c>
      <c r="X34" s="19" t="inlineStr">
        <is>
          <t>Bhuvan, a young farmer in drought-stricken Champaner in 1893, accepts Captain Russell's wager: beat the British at cricket and the tax is lifted, or pay triple. He builds a team across caste and faith, including the untouchable Kachra, is secretly coached by Russell's sister Elizabeth, survives Lakha's betrayal, and hits the winning six on the final ball before marrying Gauri.</t>
        </is>
      </c>
      <c r="Y34" s="19" t="inlineStr">
        <is>
          <t>Free his village from crushing taxation</t>
        </is>
      </c>
      <c r="Z34" s="19" t="inlineStr">
        <is>
          <t>The cricket wager against Captain Russell</t>
        </is>
      </c>
      <c r="AA34" s="19" t="inlineStr">
        <is>
          <t>Defiant farmer becomes a unifying leader</t>
        </is>
      </c>
      <c r="AB34" s="19" t="inlineStr">
        <is>
          <t>Heroic</t>
        </is>
      </c>
      <c r="AC34" s="5" t="inlineStr">
        <is>
          <t>Wins the match and marries Gauri</t>
        </is>
      </c>
      <c r="AD34" s="5" t="inlineStr">
        <is>
          <t>Gracy Singh; Rachel Shelley</t>
        </is>
      </c>
      <c r="AE34" s="5" t="inlineStr">
        <is>
          <t>Secondary</t>
        </is>
      </c>
      <c r="AF34" s="20" t="n">
        <v>4</v>
      </c>
      <c r="AG34" s="19" t="inlineStr">
        <is>
          <t>Romance subordinate to another genre</t>
        </is>
      </c>
      <c r="AH34" s="21" t="n">
        <v>25</v>
      </c>
      <c r="AI34" s="21" t="n">
        <v>34.31</v>
      </c>
      <c r="AJ34" s="21" t="n">
        <v>55.13</v>
      </c>
      <c r="AK34" s="21" t="n">
        <v>10.84</v>
      </c>
      <c r="AL34" s="21" t="n">
        <v>67.68000000000001</v>
      </c>
      <c r="AM34" s="5" t="inlineStr">
        <is>
          <t>INR crore</t>
        </is>
      </c>
      <c r="AN34" s="5" t="inlineStr">
        <is>
          <t>Hit</t>
        </is>
      </c>
      <c r="AO34" s="20" t="n">
        <v>3</v>
      </c>
      <c r="AP34" s="19" t="inlineStr">
        <is>
          <t>Near-universal acclaim: 95% on Rotten Tomatoes and 84 on Metacritic; Roger Ebert gave 3.5 of 4 stars.</t>
        </is>
      </c>
      <c r="AQ34" s="19" t="inlineStr">
        <is>
          <t>Nominated for the Academy Award for Best Foreign Language Film; eight Filmfare Awards (including Best Film, Director and Actor) and eight National Film Awards; Locarno audience prize; listed in Channel 4's 50 Films to See Before You Die and Empire's 100 Best Films of World Cinema.</t>
        </is>
      </c>
      <c r="AR34" s="5" t="inlineStr">
        <is>
          <t>SOURCE-039; SOURCE-003</t>
        </is>
      </c>
      <c r="AS34" s="5" t="inlineStr">
        <is>
          <t>Medium</t>
        </is>
      </c>
      <c r="AT34" s="5" t="inlineStr">
        <is>
          <t>Box Office India via Wikipedia. Worldwide gross ₹65.97 crore for the 2001 release; ₹67.68 crore including the 2003 China release (₹1.71 crore), which is the figure entered. Budget ₹250 million, then the highest for an Indian film.</t>
        </is>
      </c>
    </row>
    <row r="35" ht="94" customHeight="1">
      <c r="A35" s="15" t="inlineStr">
        <is>
          <t>FILM-034</t>
        </is>
      </c>
      <c r="B35" s="5" t="inlineStr">
        <is>
          <t>Dil Chahta Hai</t>
        </is>
      </c>
      <c r="C35" s="16" t="n">
        <v>37113</v>
      </c>
      <c r="D35" s="17" t="n">
        <v>2001</v>
      </c>
      <c r="E35" s="5" t="inlineStr">
        <is>
          <t>2000s</t>
        </is>
      </c>
      <c r="F35" s="5" t="inlineStr">
        <is>
          <t>Hindi</t>
        </is>
      </c>
      <c r="G35" s="5" t="inlineStr">
        <is>
          <t>Comedy-drama</t>
        </is>
      </c>
      <c r="H35" s="5" t="inlineStr">
        <is>
          <t>Coming-of-age</t>
        </is>
      </c>
      <c r="I35" s="17" t="n">
        <v>185</v>
      </c>
      <c r="J35" s="5" t="inlineStr">
        <is>
          <t>Farhan Akhtar</t>
        </is>
      </c>
      <c r="K35" s="5" t="inlineStr">
        <is>
          <t>Ritesh Sidhwani</t>
        </is>
      </c>
      <c r="L35" s="5" t="inlineStr">
        <is>
          <t>Excel Entertainment</t>
        </is>
      </c>
      <c r="M35" s="5" t="inlineStr">
        <is>
          <t>Farhan Akhtar</t>
        </is>
      </c>
      <c r="N35" s="5" t="inlineStr">
        <is>
          <t>Original; drawn from Farhan Akhtar's travel diaries with inputs from Kassim Jagmagia</t>
        </is>
      </c>
      <c r="O35" s="5" t="inlineStr">
        <is>
          <t>Shankar–Ehsaan–Loy</t>
        </is>
      </c>
      <c r="P35" s="5" t="inlineStr">
        <is>
          <t>Shankar–Ehsaan–Loy</t>
        </is>
      </c>
      <c r="Q35" s="5" t="inlineStr">
        <is>
          <t>Javed Akhtar</t>
        </is>
      </c>
      <c r="R35" s="5" t="inlineStr">
        <is>
          <t>Akash Malhotra</t>
        </is>
      </c>
      <c r="S35" s="5" t="n"/>
      <c r="T35" s="5" t="inlineStr">
        <is>
          <t>Ensemble lead</t>
        </is>
      </c>
      <c r="U35" s="20" t="n">
        <v>1</v>
      </c>
      <c r="V35" s="5" t="inlineStr">
        <is>
          <t>Heir working in his family's Sydney-based business</t>
        </is>
      </c>
      <c r="W35" s="5" t="inlineStr">
        <is>
          <t>Wealthy upper-class Mumbai family</t>
        </is>
      </c>
      <c r="X35" s="19" t="inlineStr">
        <is>
          <t>Akash is the flippant, wisecracking member of a trio of affluent Mumbai friends who treats love as a joke. Posted to his family's business in Sydney, he spends time with Shalini, who is engaged to his college batchmate Rohit, and realises he loves her only after she returns to India for her wedding. He comes home to declare himself, and she leaves the wedding to be with him.</t>
        </is>
      </c>
      <c r="Y35" s="19" t="inlineStr">
        <is>
          <t>A carefree life with his friends, then winning Shalini</t>
        </is>
      </c>
      <c r="Z35" s="19" t="inlineStr">
        <is>
          <t>Falls for a woman committed to marry someone else</t>
        </is>
      </c>
      <c r="AA35" s="19" t="inlineStr">
        <is>
          <t>Detached cynic who mocks romance becomes emotionally open and vulnerable</t>
        </is>
      </c>
      <c r="AB35" s="19" t="inlineStr">
        <is>
          <t>Sympathetic</t>
        </is>
      </c>
      <c r="AC35" s="5" t="inlineStr">
        <is>
          <t>United with Shalini and reconciled with his friends</t>
        </is>
      </c>
      <c r="AD35" s="5" t="inlineStr">
        <is>
          <t>Preity Zinta</t>
        </is>
      </c>
      <c r="AE35" s="5" t="inlineStr">
        <is>
          <t>Major</t>
        </is>
      </c>
      <c r="AF35" s="20" t="n">
        <v>7</v>
      </c>
      <c r="AG35" s="19" t="inlineStr">
        <is>
          <t>Friendship to love</t>
        </is>
      </c>
      <c r="AH35" s="21" t="n">
        <v>8</v>
      </c>
      <c r="AI35" s="5" t="n"/>
      <c r="AJ35" s="21" t="n">
        <v>33.28</v>
      </c>
      <c r="AK35" s="21" t="n">
        <v>6.44</v>
      </c>
      <c r="AL35" s="21" t="n">
        <v>39.72</v>
      </c>
      <c r="AM35" s="5" t="inlineStr">
        <is>
          <t>INR crore</t>
        </is>
      </c>
      <c r="AN35" s="5" t="n"/>
      <c r="AO35" s="20" t="n">
        <v>5</v>
      </c>
      <c r="AP35" s="19" t="inlineStr">
        <is>
          <t>Widespread critical acclaim for its fresh narrative, direction, performances and realistic portrayal of urban youth; Saif Ali Khan and Akshaye Khanna particularly praised.</t>
        </is>
      </c>
      <c r="AQ35" s="19" t="inlineStr">
        <is>
          <t>Cult status; credited with launching a new wave of urban Hindi cinema. National Film Award for Best Feature Film in Hindi; seven Filmfare Awards including Best Film (Critics).</t>
        </is>
      </c>
      <c r="AR35" s="5" t="inlineStr">
        <is>
          <t>SOURCE-040</t>
        </is>
      </c>
      <c r="AS35" s="5" t="inlineStr">
        <is>
          <t>Medium</t>
        </is>
      </c>
      <c r="AT35" s="5" t="inlineStr">
        <is>
          <t>Box Office India via Wikipedia: domestic ₹332.8 million, overseas ₹64.4 million, worldwide gross ₹397.2 million. The domestic figure is recorded as gross because domestic plus overseas equals the stated worldwide gross. Annual rank refers to domestic earnings.</t>
        </is>
      </c>
    </row>
    <row r="36" ht="94" customHeight="1">
      <c r="A36" s="15" t="inlineStr">
        <is>
          <t>FILM-035</t>
        </is>
      </c>
      <c r="B36" s="5" t="inlineStr">
        <is>
          <t>Mangal Pandey: The Rising</t>
        </is>
      </c>
      <c r="C36" s="16" t="n">
        <v>38576</v>
      </c>
      <c r="D36" s="17" t="n">
        <v>2005</v>
      </c>
      <c r="E36" s="5" t="inlineStr">
        <is>
          <t>2000s</t>
        </is>
      </c>
      <c r="F36" s="5" t="inlineStr">
        <is>
          <t>Hindi</t>
        </is>
      </c>
      <c r="G36" s="5" t="inlineStr">
        <is>
          <t>Historical drama</t>
        </is>
      </c>
      <c r="H36" s="5" t="inlineStr">
        <is>
          <t>Biographical</t>
        </is>
      </c>
      <c r="I36" s="17" t="n">
        <v>151</v>
      </c>
      <c r="J36" s="5" t="inlineStr">
        <is>
          <t>Ketan Mehta</t>
        </is>
      </c>
      <c r="K36" s="5" t="inlineStr">
        <is>
          <t>Aamir Khan; Bobby Bedi; Deepa Sahi</t>
        </is>
      </c>
      <c r="L36" s="5" t="inlineStr">
        <is>
          <t>Kaleidoscope Entertainment; TKF Films</t>
        </is>
      </c>
      <c r="M36" s="5" t="inlineStr">
        <is>
          <t>Farrukh Dhondy (story, screenplay); Ranjit Kapoor (dialogue)</t>
        </is>
      </c>
      <c r="N36" s="5" t="inlineStr">
        <is>
          <t>Life of Mangal Pandey and the start of the 1857 Indian Rebellion</t>
        </is>
      </c>
      <c r="O36" s="5" t="inlineStr">
        <is>
          <t>A. R. Rahman</t>
        </is>
      </c>
      <c r="P36" s="5" t="inlineStr">
        <is>
          <t>A. R. Rahman</t>
        </is>
      </c>
      <c r="Q36" s="5" t="inlineStr">
        <is>
          <t>Javed Akhtar</t>
        </is>
      </c>
      <c r="R36" s="5" t="inlineStr">
        <is>
          <t>Mangal Pandey</t>
        </is>
      </c>
      <c r="S36" s="5" t="n"/>
      <c r="T36" s="5" t="inlineStr">
        <is>
          <t>Lead</t>
        </is>
      </c>
      <c r="U36" s="20" t="n">
        <v>1</v>
      </c>
      <c r="V36" s="5" t="inlineStr">
        <is>
          <t>Sepoy in the 34th Bengal Native Infantry</t>
        </is>
      </c>
      <c r="W36" s="5" t="inlineStr">
        <is>
          <t>Brahmin soldier in the East India Company army</t>
        </is>
      </c>
      <c r="X36" s="19" t="inlineStr">
        <is>
          <t>Mangal Pandey, a loyal Brahmin sepoy who once saved Captain William Gordon's life, befriends the officer across the colonial divide. Rumours that new rifle cartridges are greased with pig and cow fat, together with the Company's wider abuses, turn him against his masters; he ends the friendship and opens fire in mutiny. Court-martialled despite Gordon's defence, he marries Heera in his cell and is hanged, inspiring revolt.</t>
        </is>
      </c>
      <c r="Y36" s="19" t="inlineStr">
        <is>
          <t>Religious dignity and resistance to Company rule</t>
        </is>
      </c>
      <c r="Z36" s="19" t="inlineStr">
        <is>
          <t>The greased-cartridge crisis and his friendship with Gordon</t>
        </is>
      </c>
      <c r="AA36" s="19" t="inlineStr">
        <is>
          <t>Trusting soldier becomes a rebel martyr</t>
        </is>
      </c>
      <c r="AB36" s="19" t="inlineStr">
        <is>
          <t>Heroic</t>
        </is>
      </c>
      <c r="AC36" s="5" t="inlineStr">
        <is>
          <t>Hanged; his execution sparks wider rebellion</t>
        </is>
      </c>
      <c r="AD36" s="5" t="inlineStr">
        <is>
          <t>Rani Mukerji; Ameesha Patel</t>
        </is>
      </c>
      <c r="AE36" s="5" t="inlineStr">
        <is>
          <t>Secondary</t>
        </is>
      </c>
      <c r="AF36" s="20" t="n">
        <v>3</v>
      </c>
      <c r="AG36" s="19" t="inlineStr">
        <is>
          <t>Romance subordinate to another genre</t>
        </is>
      </c>
      <c r="AH36" s="21" t="n">
        <v>37</v>
      </c>
      <c r="AI36" s="5" t="n"/>
      <c r="AJ36" s="5" t="n"/>
      <c r="AK36" s="5" t="n"/>
      <c r="AL36" s="21" t="n">
        <v>52.57</v>
      </c>
      <c r="AM36" s="5" t="inlineStr">
        <is>
          <t>INR crore</t>
        </is>
      </c>
      <c r="AN36" s="5" t="inlineStr">
        <is>
          <t>Average</t>
        </is>
      </c>
      <c r="AO36" s="20" t="n">
        <v>4</v>
      </c>
      <c r="AP36" s="19" t="inlineStr">
        <is>
          <t>Mostly positive (85% of 13 critics on Rotten Tomatoes); Taran Adarsh praised it, while Raja Sen dismissed it as 'cleavage and cliche'. Political parties objected to its depiction of Pandey visiting a brothel.</t>
        </is>
      </c>
      <c r="AQ36" s="19" t="inlineStr">
        <is>
          <t>Screened at the Marché du Film, Cannes 2005; marked Aamir Khan's return after four years; Filmfare Best Actor nomination.</t>
        </is>
      </c>
      <c r="AR36" s="5" t="inlineStr">
        <is>
          <t>SOURCE-041</t>
        </is>
      </c>
      <c r="AS36" s="5" t="inlineStr">
        <is>
          <t>Medium</t>
        </is>
      </c>
      <c r="AT36" s="5" t="inlineStr">
        <is>
          <t>Box Office India via Wikipedia: India ₹39.92 crore (label not stated, not entered) and worldwide ₹52.57 crore. Historian Kim A. Wagner criticised the film's lack of historical evidence. Ameesha Patel's Jwala is paired with Gordon, not Pandey.</t>
        </is>
      </c>
    </row>
    <row r="37" ht="94" customHeight="1">
      <c r="A37" s="15" t="inlineStr">
        <is>
          <t>FILM-036</t>
        </is>
      </c>
      <c r="B37" s="5" t="inlineStr">
        <is>
          <t>Rang De Basanti</t>
        </is>
      </c>
      <c r="C37" s="16" t="n">
        <v>38743</v>
      </c>
      <c r="D37" s="17" t="n">
        <v>2006</v>
      </c>
      <c r="E37" s="5" t="inlineStr">
        <is>
          <t>2000s</t>
        </is>
      </c>
      <c r="F37" s="5" t="inlineStr">
        <is>
          <t>Hindi</t>
        </is>
      </c>
      <c r="G37" s="5" t="inlineStr">
        <is>
          <t>Political drama</t>
        </is>
      </c>
      <c r="H37" s="5" t="inlineStr">
        <is>
          <t>Coming-of-age</t>
        </is>
      </c>
      <c r="I37" s="17" t="n">
        <v>167</v>
      </c>
      <c r="J37" s="5" t="inlineStr">
        <is>
          <t>Rakeysh Omprakash Mehra</t>
        </is>
      </c>
      <c r="K37" s="5" t="inlineStr">
        <is>
          <t>Rakeysh Omprakash Mehra; Ronnie Screwvala</t>
        </is>
      </c>
      <c r="L37" s="5" t="inlineStr">
        <is>
          <t>Rakeysh Omprakash Mehra Pictures; UTV Motion Pictures</t>
        </is>
      </c>
      <c r="M37" s="5" t="inlineStr">
        <is>
          <t>Kamlesh Pandey (story); Rensil D'Silva, Rakeysh Omprakash Mehra (screenplay); Prasoon Joshi (dialogue)</t>
        </is>
      </c>
      <c r="N37" s="5" t="n"/>
      <c r="O37" s="5" t="inlineStr">
        <is>
          <t>A. R. Rahman</t>
        </is>
      </c>
      <c r="P37" s="5" t="inlineStr">
        <is>
          <t>A. R. Rahman</t>
        </is>
      </c>
      <c r="Q37" s="5" t="inlineStr">
        <is>
          <t>Prasoon Joshi; Blaaze</t>
        </is>
      </c>
      <c r="R37" s="5" t="inlineStr">
        <is>
          <t>Daljit "DJ" Singh</t>
        </is>
      </c>
      <c r="S37" s="5" t="inlineStr">
        <is>
          <t>Plays Chandrashekhar Azad in the film-within-the-film</t>
        </is>
      </c>
      <c r="T37" s="5" t="inlineStr">
        <is>
          <t>Ensemble lead</t>
        </is>
      </c>
      <c r="U37" s="20" t="n">
        <v>1</v>
      </c>
      <c r="V37" s="5" t="inlineStr">
        <is>
          <t>University student</t>
        </is>
      </c>
      <c r="W37" s="5" t="inlineStr">
        <is>
          <t>Punjabi family in Delhi; son of Mitro Kaur</t>
        </is>
      </c>
      <c r="X37" s="19" t="inlineStr">
        <is>
          <t>DJ is the cynical, fun-loving leader of a group of Delhi students cast by British filmmaker Sue McKinley as revolutionaries, himself playing Chandrashekhar Azad. As rehearsals draw them toward the freedom fighters' ideals, their friend Flight Lieutenant Ajay dies in a MiG-21 crash tied to corruption. The friends turn to violence against those responsible and seize All India Radio to explain themselves; DJ is shot dead.</t>
        </is>
      </c>
      <c r="Y37" s="19" t="inlineStr">
        <is>
          <t>Justice for Ajay's death</t>
        </is>
      </c>
      <c r="Z37" s="19" t="inlineStr">
        <is>
          <t>Official corruption behind the crash</t>
        </is>
      </c>
      <c r="AA37" s="19" t="inlineStr">
        <is>
          <t>Apathetic youth becomes a committed, doomed rebel</t>
        </is>
      </c>
      <c r="AB37" s="19" t="inlineStr">
        <is>
          <t>Heroic vigilante</t>
        </is>
      </c>
      <c r="AC37" s="5" t="inlineStr">
        <is>
          <t>Shot dead during the radio-station occupation</t>
        </is>
      </c>
      <c r="AD37" s="5" t="inlineStr">
        <is>
          <t>Alice Patten; Soha Ali Khan</t>
        </is>
      </c>
      <c r="AE37" s="5" t="inlineStr">
        <is>
          <t>Minor</t>
        </is>
      </c>
      <c r="AF37" s="20" t="n">
        <v>3</v>
      </c>
      <c r="AG37" s="19" t="inlineStr">
        <is>
          <t>Romance subordinate to another genre</t>
        </is>
      </c>
      <c r="AH37" s="21" t="n">
        <v>25</v>
      </c>
      <c r="AI37" s="5" t="n"/>
      <c r="AJ37" s="5" t="n"/>
      <c r="AK37" s="5" t="n"/>
      <c r="AL37" s="5" t="n"/>
      <c r="AM37" s="5" t="inlineStr">
        <is>
          <t>INR crore</t>
        </is>
      </c>
      <c r="AN37" s="5" t="inlineStr">
        <is>
          <t>Record opening; major success</t>
        </is>
      </c>
      <c r="AO37" s="20" t="n">
        <v>7</v>
      </c>
      <c r="AP37" s="19" t="inlineStr">
        <is>
          <t>Overwhelmingly positive, particularly for the ensemble; the BBC gave five stars.</t>
        </is>
      </c>
      <c r="AQ37" s="19" t="inlineStr">
        <is>
          <t>National Film Award for Best Popular Film; BAFTA nomination; India's Academy Award submission; Filmfare Best Film and Best Actor (Critics) for Aamir Khan; credited with inspiring youth activism, the so-called 'RDB effect'.</t>
        </is>
      </c>
      <c r="AR37" s="5" t="inlineStr">
        <is>
          <t>SOURCE-042</t>
        </is>
      </c>
      <c r="AS37" s="5" t="inlineStr">
        <is>
          <t>Medium</t>
        </is>
      </c>
      <c r="AT37" s="5" t="inlineStr">
        <is>
          <t>Commercial figures conflict within Wikipedia: domestic ₹1.23 billion, worldwide 'more than ₹1.36 billion', and an infobox total of ₹97.90 crore; none is entered. Budget ₹250 million plus ₹100 million marketing. DJ's relationship with Sue rests on one plot sentence.</t>
        </is>
      </c>
    </row>
    <row r="38" ht="109" customHeight="1">
      <c r="A38" s="15" t="inlineStr">
        <is>
          <t>FILM-037</t>
        </is>
      </c>
      <c r="B38" s="5" t="inlineStr">
        <is>
          <t>Fanaa</t>
        </is>
      </c>
      <c r="C38" s="16" t="n">
        <v>38863</v>
      </c>
      <c r="D38" s="17" t="n">
        <v>2006</v>
      </c>
      <c r="E38" s="5" t="inlineStr">
        <is>
          <t>2000s</t>
        </is>
      </c>
      <c r="F38" s="5" t="inlineStr">
        <is>
          <t>Hindi</t>
        </is>
      </c>
      <c r="G38" s="5" t="inlineStr">
        <is>
          <t>Romantic thriller</t>
        </is>
      </c>
      <c r="H38" s="5" t="inlineStr">
        <is>
          <t>Action</t>
        </is>
      </c>
      <c r="I38" s="17" t="n">
        <v>169</v>
      </c>
      <c r="J38" s="5" t="inlineStr">
        <is>
          <t>Kunal Kohli</t>
        </is>
      </c>
      <c r="K38" s="5" t="inlineStr">
        <is>
          <t>Aditya Chopra; Yash Chopra</t>
        </is>
      </c>
      <c r="L38" s="5" t="inlineStr">
        <is>
          <t>Yash Raj Films</t>
        </is>
      </c>
      <c r="M38" s="5" t="inlineStr">
        <is>
          <t>Shibani Bathija (story, screenplay); Kunal Kohli (dialogue)</t>
        </is>
      </c>
      <c r="N38" s="5" t="n"/>
      <c r="O38" s="5" t="inlineStr">
        <is>
          <t>Jatin–Lalit</t>
        </is>
      </c>
      <c r="P38" s="5" t="inlineStr">
        <is>
          <t>Salim–Sulaiman</t>
        </is>
      </c>
      <c r="Q38" s="5" t="inlineStr">
        <is>
          <t>Prasoon Joshi</t>
        </is>
      </c>
      <c r="R38" s="5" t="inlineStr">
        <is>
          <t>Rehan Qadri</t>
        </is>
      </c>
      <c r="S38" s="5" t="inlineStr">
        <is>
          <t>Delhi tour guide by cover; secretly a commander of the militant IKF</t>
        </is>
      </c>
      <c r="T38" s="5" t="inlineStr">
        <is>
          <t>Lead</t>
        </is>
      </c>
      <c r="U38" s="20" t="n">
        <v>1</v>
      </c>
      <c r="V38" s="5" t="inlineStr">
        <is>
          <t>Tour guide (cover); separatist militant</t>
        </is>
      </c>
      <c r="W38" s="5" t="inlineStr">
        <is>
          <t>Grandson of the IKF's leader</t>
        </is>
      </c>
      <c r="X38" s="19" t="inlineStr">
        <is>
          <t>Rehan, a charming Delhi tour guide, woos Zooni, a blind Kashmiri woman visiting with friends, and spends her last night in the city with her. He is secretly a separatist militant and fakes his death after a bombing. Seven years later he arrives wounded at the remote home where Zooni, now sighted, is raising their son. Torn between family and cause, he kills her father and is shot by Zooni as he tries to deliver a nuclear trigger.</t>
        </is>
      </c>
      <c r="Y38" s="19" t="inlineStr">
        <is>
          <t>The separatist cause; later love for Zooni and their son</t>
        </is>
      </c>
      <c r="Z38" s="19" t="inlineStr">
        <is>
          <t>Love for Zooni against loyalty to the militant cause</t>
        </is>
      </c>
      <c r="AA38" s="19" t="inlineStr">
        <is>
          <t>Seductive deceiver is torn between family and terror and cannot abandon the cause</t>
        </is>
      </c>
      <c r="AB38" s="19" t="inlineStr">
        <is>
          <t>Antagonist</t>
        </is>
      </c>
      <c r="AC38" s="5" t="inlineStr">
        <is>
          <t>Shot dead by Zooni</t>
        </is>
      </c>
      <c r="AD38" s="5" t="inlineStr">
        <is>
          <t>Kajol; Tabu</t>
        </is>
      </c>
      <c r="AE38" s="5" t="inlineStr">
        <is>
          <t>Central</t>
        </is>
      </c>
      <c r="AF38" s="20" t="n">
        <v>9</v>
      </c>
      <c r="AG38" s="19" t="inlineStr">
        <is>
          <t>Tragic lovers</t>
        </is>
      </c>
      <c r="AH38" s="5" t="inlineStr">
        <is>
          <t>₹30 crore including marketing</t>
        </is>
      </c>
      <c r="AI38" s="5" t="n"/>
      <c r="AJ38" s="5" t="n"/>
      <c r="AK38" s="5" t="n"/>
      <c r="AL38" s="21" t="n">
        <v>105.48</v>
      </c>
      <c r="AM38" s="5" t="inlineStr">
        <is>
          <t>INR crore</t>
        </is>
      </c>
      <c r="AN38" s="5" t="inlineStr">
        <is>
          <t>Major commercial success</t>
        </is>
      </c>
      <c r="AO38" s="20" t="n">
        <v>6</v>
      </c>
      <c r="AP38" s="19" t="inlineStr">
        <is>
          <t>Mixed to positive: praised for the lead performances and visuals, criticised as melodramatic and implausible.</t>
        </is>
      </c>
      <c r="AQ38" s="19" t="inlineStr">
        <is>
          <t>Filmfare Best Actress (Kajol), Best Lyricist and Best Male Playback for 'Chand Sifarish'; Kajol's return after five years; banned in Gujarat after Aamir Khan's remarks on the Narmada dam.</t>
        </is>
      </c>
      <c r="AR38" s="5" t="inlineStr">
        <is>
          <t>SOURCE-043</t>
        </is>
      </c>
      <c r="AS38" s="5" t="inlineStr">
        <is>
          <t>Medium</t>
        </is>
      </c>
      <c r="AT38" s="5" t="inlineStr">
        <is>
          <t>Worldwide gross ₹105.48 crore (Box Office India via Wikipedia). Wikipedia's domestic figures ('₹72.04 million gross, ₹51.87 million nett') appear to use the wrong unit and are not entered. Screen Awards nominated Aamir Khan for Best Villain.</t>
        </is>
      </c>
    </row>
    <row r="39" ht="109" customHeight="1">
      <c r="A39" s="15" t="inlineStr">
        <is>
          <t>FILM-038</t>
        </is>
      </c>
      <c r="B39" s="5" t="inlineStr">
        <is>
          <t>Taare Zameen Par</t>
        </is>
      </c>
      <c r="C39" s="16" t="n">
        <v>39437</v>
      </c>
      <c r="D39" s="17" t="n">
        <v>2007</v>
      </c>
      <c r="E39" s="5" t="inlineStr">
        <is>
          <t>2000s</t>
        </is>
      </c>
      <c r="F39" s="5" t="inlineStr">
        <is>
          <t>Hindi</t>
        </is>
      </c>
      <c r="G39" s="5" t="inlineStr">
        <is>
          <t>Drama</t>
        </is>
      </c>
      <c r="H39" s="5" t="inlineStr">
        <is>
          <t>Family</t>
        </is>
      </c>
      <c r="I39" s="17" t="n">
        <v>164</v>
      </c>
      <c r="J39" s="5" t="inlineStr">
        <is>
          <t>Aamir Khan</t>
        </is>
      </c>
      <c r="K39" s="5" t="inlineStr">
        <is>
          <t>Aamir Khan</t>
        </is>
      </c>
      <c r="L39" s="5" t="inlineStr">
        <is>
          <t>Aamir Khan Productions; PVR Pictures</t>
        </is>
      </c>
      <c r="M39" s="5" t="inlineStr">
        <is>
          <t>Amole Gupte</t>
        </is>
      </c>
      <c r="N39" s="5" t="n"/>
      <c r="O39" s="5" t="inlineStr">
        <is>
          <t>Shankar–Ehsaan–Loy; Shailendra Barve</t>
        </is>
      </c>
      <c r="P39" s="5" t="inlineStr">
        <is>
          <t>Shankar–Ehsaan–Loy</t>
        </is>
      </c>
      <c r="Q39" s="5" t="inlineStr">
        <is>
          <t>Prasoon Joshi; Amole Gupte; Shailendra Barve</t>
        </is>
      </c>
      <c r="R39" s="5" t="inlineStr">
        <is>
          <t>Ram Shankar Nikumbh</t>
        </is>
      </c>
      <c r="S39" s="5" t="n"/>
      <c r="T39" s="5" t="inlineStr">
        <is>
          <t>Supporting</t>
        </is>
      </c>
      <c r="U39" s="18" t="n"/>
      <c r="V39" s="5" t="inlineStr">
        <is>
          <t>Substitute art teacher at a boarding school; formerly taught children with developmental disabilities</t>
        </is>
      </c>
      <c r="W39" s="5" t="n"/>
      <c r="X39" s="19" t="inlineStr">
        <is>
          <t>Nikumbh, a cheerful substitute art teacher, joins the boarding school where eight-year-old Ishaan is failing and withdrawing. Recognising dyslexia in the boy's artwork and schoolwork, he challenges the father's denial, works patiently with Ishaan on reading and helps him regain his confidence. Having struggled as a child himself, he stays on as a permanent teacher.</t>
        </is>
      </c>
      <c r="Y39" s="19" t="inlineStr">
        <is>
          <t>Help Ishaan overcome dyslexia</t>
        </is>
      </c>
      <c r="Z39" s="19" t="inlineStr">
        <is>
          <t>The father's and school's dismissal of the diagnosis</t>
        </is>
      </c>
      <c r="AA39" s="19" t="inlineStr">
        <is>
          <t>Temporary substitute becomes a transformative mentor</t>
        </is>
      </c>
      <c r="AB39" s="19" t="inlineStr">
        <is>
          <t>Heroic</t>
        </is>
      </c>
      <c r="AC39" s="5" t="inlineStr">
        <is>
          <t>Ishaan flourishes; Nikumbh joins the permanent staff</t>
        </is>
      </c>
      <c r="AD39" s="5" t="n"/>
      <c r="AE39" s="5" t="inlineStr">
        <is>
          <t>None</t>
        </is>
      </c>
      <c r="AF39" s="20" t="n">
        <v>0</v>
      </c>
      <c r="AG39" s="19" t="inlineStr">
        <is>
          <t>No meaningful romance</t>
        </is>
      </c>
      <c r="AH39" s="21" t="n">
        <v>12</v>
      </c>
      <c r="AI39" s="5" t="n"/>
      <c r="AJ39" s="5" t="n"/>
      <c r="AK39" s="5" t="n"/>
      <c r="AL39" s="5" t="n"/>
      <c r="AM39" s="5" t="inlineStr">
        <is>
          <t>INR crore</t>
        </is>
      </c>
      <c r="AN39" s="5" t="inlineStr">
        <is>
          <t>Commercially successful</t>
        </is>
      </c>
      <c r="AO39" s="18" t="n"/>
      <c r="AP39" s="19" t="inlineStr">
        <is>
          <t>Widespread critical acclaim (93% on Rotten Tomatoes).</t>
        </is>
      </c>
      <c r="AQ39" s="19" t="inlineStr">
        <is>
          <t>Aamir Khan's directorial debut; Filmfare Best Film and Best Director; National Film Award for Best Film on Family Welfare; India's Academy Award submission; credited with raising dyslexia awareness and prompting extra exam time for disabled students.</t>
        </is>
      </c>
      <c r="AR39" s="5" t="inlineStr">
        <is>
          <t>SOURCE-044; SOURCE-003</t>
        </is>
      </c>
      <c r="AS39" s="5" t="inlineStr">
        <is>
          <t>Medium</t>
        </is>
      </c>
      <c r="AT39" s="5" t="inlineStr">
        <is>
          <t>Wikipedia treats Darsheel Safary's Ishaan as the protagonist; Aamir Khan was nominated for Filmfare Best Supporting Actor. Worldwide grosses conflict: ₹88.97 crore (Box Office India), ₹98.48 crore (Bollywood Hungama), ₹107 crore (Box Office Mojo), ₹131 crore (Telegraph) and ₹135 crore (Indian Express); none entered. Amole Gupte was originally to direct.</t>
        </is>
      </c>
    </row>
    <row r="40" ht="94" customHeight="1">
      <c r="A40" s="15" t="inlineStr">
        <is>
          <t>FILM-039</t>
        </is>
      </c>
      <c r="B40" s="5" t="inlineStr">
        <is>
          <t>Ghajini</t>
        </is>
      </c>
      <c r="C40" s="16" t="n">
        <v>39807</v>
      </c>
      <c r="D40" s="17" t="n">
        <v>2008</v>
      </c>
      <c r="E40" s="5" t="inlineStr">
        <is>
          <t>2000s</t>
        </is>
      </c>
      <c r="F40" s="5" t="inlineStr">
        <is>
          <t>Hindi</t>
        </is>
      </c>
      <c r="G40" s="5" t="inlineStr">
        <is>
          <t>Action thriller</t>
        </is>
      </c>
      <c r="H40" s="5" t="inlineStr">
        <is>
          <t>Romance</t>
        </is>
      </c>
      <c r="I40" s="17" t="n">
        <v>185</v>
      </c>
      <c r="J40" s="5" t="inlineStr">
        <is>
          <t>A. R. Murugadoss</t>
        </is>
      </c>
      <c r="K40" s="5" t="inlineStr">
        <is>
          <t>Allu Aravind; Tagore B. Madhu; Madhu Mantena</t>
        </is>
      </c>
      <c r="L40" s="5" t="inlineStr">
        <is>
          <t>Geetha Arts</t>
        </is>
      </c>
      <c r="M40" s="5" t="inlineStr">
        <is>
          <t>A. R. Murugadoss (story, screenplay); Aamir Khan (screenplay); Piyush Mishra (dialogue)</t>
        </is>
      </c>
      <c r="N40" s="5" t="inlineStr">
        <is>
          <t>Remake of the Tamil film Ghajini (2005); memory device inspired by Memento (2000)</t>
        </is>
      </c>
      <c r="O40" s="5" t="inlineStr">
        <is>
          <t>A. R. Rahman</t>
        </is>
      </c>
      <c r="P40" s="5" t="inlineStr">
        <is>
          <t>A. R. Rahman</t>
        </is>
      </c>
      <c r="Q40" s="5" t="inlineStr">
        <is>
          <t>Prasoon Joshi</t>
        </is>
      </c>
      <c r="R40" s="5" t="inlineStr">
        <is>
          <t>Sanjay Singhania</t>
        </is>
      </c>
      <c r="S40" s="5" t="inlineStr">
        <is>
          <t>Poses as a struggling model called Sachin Chauhan</t>
        </is>
      </c>
      <c r="T40" s="5" t="inlineStr">
        <is>
          <t>Lead</t>
        </is>
      </c>
      <c r="U40" s="20" t="n">
        <v>1</v>
      </c>
      <c r="V40" s="5" t="inlineStr">
        <is>
          <t>Chairman of the telecom company Air Voice</t>
        </is>
      </c>
      <c r="W40" s="5" t="inlineStr">
        <is>
          <t>Wealthy second-generation businessman</t>
        </is>
      </c>
      <c r="X40" s="19" t="inlineStr">
        <is>
          <t>Sanjay, a telecom tycoon, courts the generous Kalpana while posing as a struggling model called Sachin, and proposes to her. When she rescues girls from a trafficking ring, its boss Ghajini ambushes her and kills her in front of Sanjay, leaving him with anterograde amnesia. Using photographs, notes and tattoos, Sanjay hunts Ghajini down and kills him with the same iron rod.</t>
        </is>
      </c>
      <c r="Y40" s="19" t="inlineStr">
        <is>
          <t>Avenge Kalpana's murder</t>
        </is>
      </c>
      <c r="Z40" s="19" t="inlineStr">
        <is>
          <t>Hunting her killer while losing his memory every fifteen minutes</t>
        </is>
      </c>
      <c r="AA40" s="19" t="inlineStr">
        <is>
          <t>Romantic tycoon becomes a vengeful amnesiac, then finds peace</t>
        </is>
      </c>
      <c r="AB40" s="19" t="inlineStr">
        <is>
          <t>Vigilante</t>
        </is>
      </c>
      <c r="AC40" s="5" t="inlineStr">
        <is>
          <t>Kills Ghajini; later volunteers at an orphanage named after Kalpana</t>
        </is>
      </c>
      <c r="AD40" s="5" t="inlineStr">
        <is>
          <t>Asin; Jiah Khan</t>
        </is>
      </c>
      <c r="AE40" s="5" t="inlineStr">
        <is>
          <t>Central</t>
        </is>
      </c>
      <c r="AF40" s="20" t="n">
        <v>8</v>
      </c>
      <c r="AG40" s="19" t="inlineStr">
        <is>
          <t>Tragic lovers</t>
        </is>
      </c>
      <c r="AH40" s="5" t="inlineStr">
        <is>
          <t>₹52–65 crore</t>
        </is>
      </c>
      <c r="AI40" s="21" t="n">
        <v>194.58</v>
      </c>
      <c r="AJ40" s="5" t="n"/>
      <c r="AK40" s="5" t="n"/>
      <c r="AL40" s="5" t="n"/>
      <c r="AM40" s="5" t="inlineStr">
        <is>
          <t>INR crore</t>
        </is>
      </c>
      <c r="AN40" s="5" t="inlineStr">
        <is>
          <t>All-time blockbuster</t>
        </is>
      </c>
      <c r="AO40" s="20" t="n">
        <v>1</v>
      </c>
      <c r="AP40" s="19" t="inlineStr">
        <is>
          <t>Mixed to positive (54% on Rotten Tomatoes): praised as entertaining and for Aamir Khan's performance, criticised for its length and violence.</t>
        </is>
      </c>
      <c r="AQ40" s="19" t="inlineStr">
        <is>
          <t>First Hindi film to cross ₹100 crore nett in India, creating the '100 crore club'; year's best-selling soundtrack; Filmfare Best Female Debut for Asin.</t>
        </is>
      </c>
      <c r="AR40" s="5" t="inlineStr">
        <is>
          <t>SOURCE-045</t>
        </is>
      </c>
      <c r="AS40" s="5" t="inlineStr">
        <is>
          <t>Medium</t>
        </is>
      </c>
      <c r="AT40" s="5" t="inlineStr">
        <is>
          <t>Wikipedia gives a ₹52 crore budget in the infobox and ₹65 crore in the text; entered as a range. Domestic nett is an estimate from Box Office India. Overseas and worldwide grosses not stated. Sunita (Jiah Khan) is a confidante, not a romantic interest.</t>
        </is>
      </c>
    </row>
    <row r="41" ht="64" customHeight="1">
      <c r="A41" s="15" t="inlineStr">
        <is>
          <t>FILM-040</t>
        </is>
      </c>
      <c r="B41" s="5" t="inlineStr">
        <is>
          <t>Luck by Chance</t>
        </is>
      </c>
      <c r="C41" s="16" t="n">
        <v>39843</v>
      </c>
      <c r="D41" s="17" t="n">
        <v>2009</v>
      </c>
      <c r="E41" s="5" t="inlineStr">
        <is>
          <t>2000s</t>
        </is>
      </c>
      <c r="F41" s="5" t="inlineStr">
        <is>
          <t>Hindi</t>
        </is>
      </c>
      <c r="G41" s="5" t="inlineStr">
        <is>
          <t>Drama</t>
        </is>
      </c>
      <c r="H41" s="5" t="n"/>
      <c r="I41" s="17" t="n">
        <v>156</v>
      </c>
      <c r="J41" s="5" t="inlineStr">
        <is>
          <t>Zoya Akhtar</t>
        </is>
      </c>
      <c r="K41" s="5" t="inlineStr">
        <is>
          <t>Farhan Akhtar; Ritesh Sidhwani</t>
        </is>
      </c>
      <c r="L41" s="5" t="inlineStr">
        <is>
          <t>Excel Entertainment</t>
        </is>
      </c>
      <c r="M41" s="5" t="inlineStr">
        <is>
          <t>Zoya Akhtar; Javed Akhtar</t>
        </is>
      </c>
      <c r="N41" s="5" t="n"/>
      <c r="O41" s="5" t="inlineStr">
        <is>
          <t>Shankar–Ehsaan–Loy</t>
        </is>
      </c>
      <c r="P41" s="5" t="n"/>
      <c r="Q41" s="5" t="n"/>
      <c r="R41" s="5" t="inlineStr">
        <is>
          <t>Himself</t>
        </is>
      </c>
      <c r="S41" s="5" t="n"/>
      <c r="T41" s="5" t="inlineStr">
        <is>
          <t>Self appearance</t>
        </is>
      </c>
      <c r="U41" s="18" t="n"/>
      <c r="V41" s="5" t="n"/>
      <c r="W41" s="5" t="n"/>
      <c r="X41" s="19" t="inlineStr">
        <is>
          <t>Aamir Khan is one of the film-industry figures who appear as themselves in Zoya Akhtar's debut, a drama about newcomers trying to break into Bollywood that shows the industry's lesser-seen side. The sources consulted list him among the guest appearances but do not describe his scene.</t>
        </is>
      </c>
      <c r="Y41" s="19" t="n"/>
      <c r="Z41" s="19" t="n"/>
      <c r="AA41" s="19" t="n"/>
      <c r="AB41" s="19" t="n"/>
      <c r="AC41" s="5" t="n"/>
      <c r="AD41" s="5" t="n"/>
      <c r="AE41" s="5" t="inlineStr">
        <is>
          <t>None</t>
        </is>
      </c>
      <c r="AF41" s="20" t="n">
        <v>0</v>
      </c>
      <c r="AG41" s="19" t="inlineStr">
        <is>
          <t>No meaningful romance</t>
        </is>
      </c>
      <c r="AH41" s="21" t="n">
        <v>15</v>
      </c>
      <c r="AI41" s="5" t="n"/>
      <c r="AJ41" s="5" t="n"/>
      <c r="AK41" s="5" t="n"/>
      <c r="AL41" s="5" t="n"/>
      <c r="AM41" s="5" t="inlineStr">
        <is>
          <t>INR crore</t>
        </is>
      </c>
      <c r="AN41" s="5" t="inlineStr">
        <is>
          <t>Moderate commercial success</t>
        </is>
      </c>
      <c r="AO41" s="18" t="n"/>
      <c r="AP41" s="19" t="inlineStr">
        <is>
          <t>Widespread critical acclaim (83% on Rotten Tomatoes).</t>
        </is>
      </c>
      <c r="AQ41" s="19" t="inlineStr">
        <is>
          <t>Filmfare Best Debut Director for Zoya Akhtar (tied).</t>
        </is>
      </c>
      <c r="AR41" s="5" t="inlineStr">
        <is>
          <t>SOURCE-046</t>
        </is>
      </c>
      <c r="AS41" s="5" t="inlineStr">
        <is>
          <t>Medium</t>
        </is>
      </c>
      <c r="AT41" s="5" t="inlineStr">
        <is>
          <t>Budget ₹150 million; box office 'est. ₹290 million' has no nett/gross label and is not entered.</t>
        </is>
      </c>
    </row>
    <row r="42" ht="94" customHeight="1">
      <c r="A42" s="15" t="inlineStr">
        <is>
          <t>FILM-041</t>
        </is>
      </c>
      <c r="B42" s="5" t="inlineStr">
        <is>
          <t>3 Idiots</t>
        </is>
      </c>
      <c r="C42" s="16" t="n">
        <v>40172</v>
      </c>
      <c r="D42" s="17" t="n">
        <v>2009</v>
      </c>
      <c r="E42" s="5" t="inlineStr">
        <is>
          <t>2000s</t>
        </is>
      </c>
      <c r="F42" s="5" t="inlineStr">
        <is>
          <t>Hindi</t>
        </is>
      </c>
      <c r="G42" s="5" t="inlineStr">
        <is>
          <t>Comedy-drama</t>
        </is>
      </c>
      <c r="H42" s="5" t="inlineStr">
        <is>
          <t>Coming-of-age</t>
        </is>
      </c>
      <c r="I42" s="17" t="n">
        <v>171</v>
      </c>
      <c r="J42" s="5" t="inlineStr">
        <is>
          <t>Rajkumar Hirani</t>
        </is>
      </c>
      <c r="K42" s="5" t="inlineStr">
        <is>
          <t>Vidhu Vinod Chopra</t>
        </is>
      </c>
      <c r="L42" s="5" t="inlineStr">
        <is>
          <t>Vinod Chopra Films</t>
        </is>
      </c>
      <c r="M42" s="5" t="inlineStr">
        <is>
          <t>Rajkumar Hirani; Abhijat Joshi</t>
        </is>
      </c>
      <c r="N42" s="5" t="inlineStr">
        <is>
          <t>Adapted from Chetan Bhagat's novel Five Point Someone (story credit disputed)</t>
        </is>
      </c>
      <c r="O42" s="5" t="inlineStr">
        <is>
          <t>Shantanu Moitra</t>
        </is>
      </c>
      <c r="P42" s="5" t="inlineStr">
        <is>
          <t>Shantanu Moitra; Atul Raninga; Sanjay Wandrekar</t>
        </is>
      </c>
      <c r="Q42" s="5" t="inlineStr">
        <is>
          <t>Swanand Kirkire</t>
        </is>
      </c>
      <c r="R42" s="5" t="inlineStr">
        <is>
          <t>Ranchhoddas "Rancho" Shamaldas Chanchad</t>
        </is>
      </c>
      <c r="S42" s="5" t="inlineStr">
        <is>
          <t>Real identity Phunsukh Wangdu; studied under his employer's son's name</t>
        </is>
      </c>
      <c r="T42" s="5" t="inlineStr">
        <is>
          <t>Lead</t>
        </is>
      </c>
      <c r="U42" s="20" t="n">
        <v>1</v>
      </c>
      <c r="V42" s="5" t="inlineStr">
        <is>
          <t>Engineering student; later inventor and educator in Ladakh</t>
        </is>
      </c>
      <c r="W42" s="5" t="inlineStr">
        <is>
          <t>Gardener's son educated in place of a wealthy family's son</t>
        </is>
      </c>
      <c r="X42" s="19" t="inlineStr">
        <is>
          <t>Rancho, a brilliant engineering student who scorns rote learning, befriends Farhan and Raju and clashes with the director Viru 'Virus' Sahastrabuddhe, whose daughter Pia he loves. After a classmate's suicide and a baby delivery Rancho improvises during a blackout, he graduates and vanishes. Years later his friends find him in Ladakh as the celebrated inventor Phunsukh Wangdu, and Pia reunites with him.</t>
        </is>
      </c>
      <c r="Y42" s="19" t="inlineStr">
        <is>
          <t>Learning for passion rather than marks</t>
        </is>
      </c>
      <c r="Z42" s="19" t="inlineStr">
        <is>
          <t>The rote-learning system embodied by Virus</t>
        </is>
      </c>
      <c r="AA42" s="19" t="inlineStr">
        <is>
          <t>Idealistic student becomes an inventor-educator who proves his philosophy</t>
        </is>
      </c>
      <c r="AB42" s="19" t="inlineStr">
        <is>
          <t>Heroic</t>
        </is>
      </c>
      <c r="AC42" s="5" t="inlineStr">
        <is>
          <t>Revealed as Phunsukh Wangdu and reunited with Pia</t>
        </is>
      </c>
      <c r="AD42" s="5" t="inlineStr">
        <is>
          <t>Kareena Kapoor</t>
        </is>
      </c>
      <c r="AE42" s="5" t="inlineStr">
        <is>
          <t>Secondary</t>
        </is>
      </c>
      <c r="AF42" s="20" t="n">
        <v>4</v>
      </c>
      <c r="AG42" s="19" t="inlineStr">
        <is>
          <t>Romance subordinate to another genre</t>
        </is>
      </c>
      <c r="AH42" s="21" t="n">
        <v>55</v>
      </c>
      <c r="AI42" s="5" t="n"/>
      <c r="AJ42" s="21" t="n">
        <v>273</v>
      </c>
      <c r="AK42" s="21" t="n">
        <v>186</v>
      </c>
      <c r="AL42" s="21" t="n">
        <v>460</v>
      </c>
      <c r="AM42" s="5" t="inlineStr">
        <is>
          <t>INR crore</t>
        </is>
      </c>
      <c r="AN42" s="5" t="inlineStr">
        <is>
          <t>All-time blockbuster</t>
        </is>
      </c>
      <c r="AO42" s="18" t="n"/>
      <c r="AP42" s="19" t="inlineStr">
        <is>
          <t>Widespread acclaim in India and abroad (100% of 15 critics on Rotten Tomatoes).</t>
        </is>
      </c>
      <c r="AQ42" s="19" t="inlineStr">
        <is>
          <t>Six Filmfare Awards including Best Film and Director; National Film Award for Best Popular Film; highest-grossing Indian film until 2013; Guinness World Records listing; remade in Tamil (Nanban) and Mexico (3 Idiotas); influential on education debates in India, China and South Korea.</t>
        </is>
      </c>
      <c r="AR42" s="5" t="inlineStr">
        <is>
          <t>SOURCE-047</t>
        </is>
      </c>
      <c r="AS42" s="5" t="inlineStr">
        <is>
          <t>Medium</t>
        </is>
      </c>
      <c r="AT42" s="5" t="inlineStr">
        <is>
          <t>Budget ₹55 crore per Wikipedia; IANS estimated ₹35–45 crore. Overseas gross given as US$30.5 million (₹186 crore).</t>
        </is>
      </c>
    </row>
    <row r="43" ht="94" customHeight="1">
      <c r="A43" s="15" t="inlineStr">
        <is>
          <t>FILM-042</t>
        </is>
      </c>
      <c r="B43" s="5" t="inlineStr">
        <is>
          <t>Dhobi Ghat</t>
        </is>
      </c>
      <c r="C43" s="16" t="n">
        <v>40564</v>
      </c>
      <c r="D43" s="17" t="n">
        <v>2011</v>
      </c>
      <c r="E43" s="5" t="inlineStr">
        <is>
          <t>2010s</t>
        </is>
      </c>
      <c r="F43" s="5" t="inlineStr">
        <is>
          <t>Hindi; English</t>
        </is>
      </c>
      <c r="G43" s="5" t="inlineStr">
        <is>
          <t>Drama</t>
        </is>
      </c>
      <c r="H43" s="5" t="inlineStr">
        <is>
          <t>Art-house</t>
        </is>
      </c>
      <c r="I43" s="17" t="n">
        <v>102</v>
      </c>
      <c r="J43" s="5" t="inlineStr">
        <is>
          <t>Kiran Rao</t>
        </is>
      </c>
      <c r="K43" s="5" t="inlineStr">
        <is>
          <t>Kiran Rao; Aamir Khan</t>
        </is>
      </c>
      <c r="L43" s="5" t="inlineStr">
        <is>
          <t>Aamir Khan Productions</t>
        </is>
      </c>
      <c r="M43" s="5" t="inlineStr">
        <is>
          <t>Kiran Rao</t>
        </is>
      </c>
      <c r="N43" s="5" t="n"/>
      <c r="O43" s="5" t="inlineStr">
        <is>
          <t>Gustavo Santaolalla</t>
        </is>
      </c>
      <c r="P43" s="5" t="inlineStr">
        <is>
          <t>Gustavo Santaolalla</t>
        </is>
      </c>
      <c r="Q43" s="5" t="n"/>
      <c r="R43" s="5" t="inlineStr">
        <is>
          <t>Arun</t>
        </is>
      </c>
      <c r="S43" s="5" t="n"/>
      <c r="T43" s="5" t="inlineStr">
        <is>
          <t>Ensemble lead</t>
        </is>
      </c>
      <c r="U43" s="18" t="n"/>
      <c r="V43" s="5" t="inlineStr">
        <is>
          <t>Reclusive painter</t>
        </is>
      </c>
      <c r="W43" s="5" t="inlineStr">
        <is>
          <t>Divorced artist whose ex-wife and child live in Australia</t>
        </is>
      </c>
      <c r="X43" s="19" t="inlineStr">
        <is>
          <t>Arun, a reclusive divorced painter, has a one-night stand with the banker and photographer Shai and coldly ends it the next morning. In his new flat he finds three video diaries left by the previous tenant, Yasmin, and becomes absorbed in her loneliness and her husband's infidelity. When the last tape suggests she meant to take her own life, he flees the flat and turns her story into a painting.</t>
        </is>
      </c>
      <c r="Y43" s="19" t="inlineStr">
        <is>
          <t>Solitude and his art; later understanding Yasmin</t>
        </is>
      </c>
      <c r="Z43" s="19" t="inlineStr">
        <is>
          <t>Emotional detachment and fixation on a dead stranger's diaries</t>
        </is>
      </c>
      <c r="AA43" s="19" t="inlineStr">
        <is>
          <t>Detached artist is shaken into grief and creation</t>
        </is>
      </c>
      <c r="AB43" s="19" t="inlineStr">
        <is>
          <t>Morally ambiguous</t>
        </is>
      </c>
      <c r="AC43" s="5" t="inlineStr">
        <is>
          <t>Moves out and completes a painting of Yasmin</t>
        </is>
      </c>
      <c r="AD43" s="5" t="inlineStr">
        <is>
          <t>Monica Dogra; Kriti Malhotra</t>
        </is>
      </c>
      <c r="AE43" s="5" t="inlineStr">
        <is>
          <t>Minor</t>
        </is>
      </c>
      <c r="AF43" s="20" t="n">
        <v>3</v>
      </c>
      <c r="AG43" s="19" t="inlineStr">
        <is>
          <t>Romance subordinate to another genre</t>
        </is>
      </c>
      <c r="AH43" s="5" t="n"/>
      <c r="AI43" s="5" t="n"/>
      <c r="AJ43" s="5" t="n"/>
      <c r="AK43" s="5" t="n"/>
      <c r="AL43" s="21" t="n">
        <v>25.6</v>
      </c>
      <c r="AM43" s="5" t="inlineStr">
        <is>
          <t>INR crore</t>
        </is>
      </c>
      <c r="AN43" s="5" t="inlineStr">
        <is>
          <t>Average</t>
        </is>
      </c>
      <c r="AO43" s="18" t="n"/>
      <c r="AP43" s="19" t="inlineStr">
        <is>
          <t>Critically well received (70% on Rotten Tomatoes), though some reviewers called it pretentious.</t>
        </is>
      </c>
      <c r="AQ43" s="19" t="inlineStr">
        <is>
          <t>Kiran Rao's directorial debut; premiered at the Toronto International Film Festival (September 2010); longlisted for the BAFTA for Best Film Not in the English Language.</t>
        </is>
      </c>
      <c r="AR43" s="5" t="inlineStr">
        <is>
          <t>SOURCE-048</t>
        </is>
      </c>
      <c r="AS43" s="5" t="inlineStr">
        <is>
          <t>Medium</t>
        </is>
      </c>
      <c r="AT43" s="5" t="inlineStr">
        <is>
          <t>Theatrical release 21 January 2011 after the 2010 Toronto premiere. Wikipedia's ₹40 crore budget conflicts with Aamir Khan's statement that the film made double its cost on a ₹25.6 crore global gross; budget not entered.</t>
        </is>
      </c>
    </row>
    <row r="44" ht="64" customHeight="1">
      <c r="A44" s="15" t="inlineStr">
        <is>
          <t>FILM-043</t>
        </is>
      </c>
      <c r="B44" s="5" t="inlineStr">
        <is>
          <t>Delhi Belly</t>
        </is>
      </c>
      <c r="C44" s="16" t="n">
        <v>40725</v>
      </c>
      <c r="D44" s="17" t="n">
        <v>2011</v>
      </c>
      <c r="E44" s="5" t="inlineStr">
        <is>
          <t>2010s</t>
        </is>
      </c>
      <c r="F44" s="5" t="inlineStr">
        <is>
          <t>English; Hindi</t>
        </is>
      </c>
      <c r="G44" s="5" t="inlineStr">
        <is>
          <t>Dark comedy</t>
        </is>
      </c>
      <c r="H44" s="5" t="n"/>
      <c r="I44" s="17" t="n">
        <v>100</v>
      </c>
      <c r="J44" s="5" t="inlineStr">
        <is>
          <t>Abhinay Deo</t>
        </is>
      </c>
      <c r="K44" s="5" t="inlineStr">
        <is>
          <t>Aamir Khan; Kiran Rao; Ronnie Screwvala; Jim Furgele</t>
        </is>
      </c>
      <c r="L44" s="5" t="inlineStr">
        <is>
          <t>Aamir Khan Productions; UTV Motion Pictures</t>
        </is>
      </c>
      <c r="M44" s="5" t="inlineStr">
        <is>
          <t>Akshat Verma</t>
        </is>
      </c>
      <c r="N44" s="5" t="n"/>
      <c r="O44" s="5" t="inlineStr">
        <is>
          <t>Ram Sampath</t>
        </is>
      </c>
      <c r="P44" s="5" t="n"/>
      <c r="Q44" s="5" t="inlineStr">
        <is>
          <t>Amitabh Bhattacharya; Munna Dhiman; Ram Sampath; Akshat Verma; Chetan Shashital</t>
        </is>
      </c>
      <c r="R44" s="5" t="inlineStr">
        <is>
          <t>Disco Fighter</t>
        </is>
      </c>
      <c r="S44" s="5" t="n"/>
      <c r="T44" s="5" t="inlineStr">
        <is>
          <t>Cameo</t>
        </is>
      </c>
      <c r="U44" s="18" t="n"/>
      <c r="V44" s="5" t="n"/>
      <c r="W44" s="5" t="n"/>
      <c r="X44" s="19" t="inlineStr">
        <is>
          <t>Aamir Khan appears as 'Disco Fighter' in the song 'I Hate You (Like I Love You)', which plays over the closing credits of this black comedy starring Imran Khan, Vir Das and Kunaal Roy Kapur, which he co-produced. The cameo is outside the story.</t>
        </is>
      </c>
      <c r="Y44" s="19" t="n"/>
      <c r="Z44" s="19" t="n"/>
      <c r="AA44" s="19" t="n"/>
      <c r="AB44" s="19" t="n"/>
      <c r="AC44" s="5" t="n"/>
      <c r="AD44" s="5" t="n"/>
      <c r="AE44" s="5" t="inlineStr">
        <is>
          <t>None</t>
        </is>
      </c>
      <c r="AF44" s="20" t="n">
        <v>0</v>
      </c>
      <c r="AG44" s="19" t="inlineStr">
        <is>
          <t>No meaningful romance</t>
        </is>
      </c>
      <c r="AH44" s="21" t="n">
        <v>23</v>
      </c>
      <c r="AI44" s="5" t="n"/>
      <c r="AJ44" s="5" t="n"/>
      <c r="AK44" s="5" t="n"/>
      <c r="AL44" s="5" t="n"/>
      <c r="AM44" s="5" t="inlineStr">
        <is>
          <t>INR crore</t>
        </is>
      </c>
      <c r="AN44" s="5" t="inlineStr">
        <is>
          <t>Super hit</t>
        </is>
      </c>
      <c r="AO44" s="18" t="n"/>
      <c r="AP44" s="19" t="inlineStr">
        <is>
          <t>Widespread acclaim as an original ensemble comedy; the song 'Bhaag D.K. Bose' drew controversy.</t>
        </is>
      </c>
      <c r="AQ44" s="19" t="inlineStr">
        <is>
          <t>Filmfare Best Screenplay (Akshat Verma).</t>
        </is>
      </c>
      <c r="AR44" s="5" t="inlineStr">
        <is>
          <t>SOURCE-049</t>
        </is>
      </c>
      <c r="AS44" s="5" t="inlineStr">
        <is>
          <t>Medium</t>
        </is>
      </c>
      <c r="AT44" s="5" t="inlineStr">
        <is>
          <t>Wikipedia's ₹87.60 crore box office has no nett/gross label and is not entered.</t>
        </is>
      </c>
    </row>
    <row r="45" ht="94" customHeight="1">
      <c r="A45" s="15" t="inlineStr">
        <is>
          <t>FILM-044</t>
        </is>
      </c>
      <c r="B45" s="5" t="inlineStr">
        <is>
          <t>Talaash: The Answer Lies Within</t>
        </is>
      </c>
      <c r="C45" s="16" t="n">
        <v>41243</v>
      </c>
      <c r="D45" s="17" t="n">
        <v>2012</v>
      </c>
      <c r="E45" s="5" t="inlineStr">
        <is>
          <t>2010s</t>
        </is>
      </c>
      <c r="F45" s="5" t="inlineStr">
        <is>
          <t>Hindi</t>
        </is>
      </c>
      <c r="G45" s="5" t="inlineStr">
        <is>
          <t>Psychological thriller</t>
        </is>
      </c>
      <c r="H45" s="5" t="inlineStr">
        <is>
          <t>Neo-noir</t>
        </is>
      </c>
      <c r="I45" s="17" t="n">
        <v>139</v>
      </c>
      <c r="J45" s="5" t="inlineStr">
        <is>
          <t>Reema Kagti</t>
        </is>
      </c>
      <c r="K45" s="5" t="inlineStr">
        <is>
          <t>Ritesh Sidhwani; Aamir Khan; Farhan Akhtar</t>
        </is>
      </c>
      <c r="L45" s="5" t="inlineStr">
        <is>
          <t>Aamir Khan Productions; Excel Entertainment</t>
        </is>
      </c>
      <c r="M45" s="5" t="inlineStr">
        <is>
          <t>Reema Kagti, Zoya Akhtar (story, screenplay); Farhan Akhtar, Anurag Kashyap (dialogue)</t>
        </is>
      </c>
      <c r="N45" s="5" t="n"/>
      <c r="O45" s="5" t="inlineStr">
        <is>
          <t>Ram Sampath</t>
        </is>
      </c>
      <c r="P45" s="5" t="n"/>
      <c r="Q45" s="5" t="inlineStr">
        <is>
          <t>Javed Akhtar</t>
        </is>
      </c>
      <c r="R45" s="5" t="inlineStr">
        <is>
          <t>Inspector Surjan Singh Shekhawat</t>
        </is>
      </c>
      <c r="S45" s="5" t="n"/>
      <c r="T45" s="5" t="inlineStr">
        <is>
          <t>Lead</t>
        </is>
      </c>
      <c r="U45" s="20" t="n">
        <v>1</v>
      </c>
      <c r="V45" s="5" t="inlineStr">
        <is>
          <t>Senior police inspector in Mumbai</t>
        </is>
      </c>
      <c r="W45" s="5" t="inlineStr">
        <is>
          <t>Grieving father whose eight-year-old son Karan drowned</t>
        </is>
      </c>
      <c r="X45" s="19" t="inlineStr">
        <is>
          <t>Surjan, a Mumbai inspector sleepless with guilt over his young son's drowning, investigates the death of a film star whose car plunged into the sea. His marriage to Roshni is frozen by grief, and he scorns her visits to a psychic. Helped by the escort Rosie, he uncovers a buried hit-and-run and realises Rosie is the victim's ghost; after cremating her remains, he accepts his son's forgiveness and reconciles with Roshni.</t>
        </is>
      </c>
      <c r="Y45" s="19" t="inlineStr">
        <is>
          <t>Solve the case and escape his grief</t>
        </is>
      </c>
      <c r="Z45" s="19" t="inlineStr">
        <is>
          <t>Guilt over his son's death against a case that leads into the supernatural</t>
        </is>
      </c>
      <c r="AA45" s="19" t="inlineStr">
        <is>
          <t>Rational, grief-frozen detective accepts loss and the inexplicable</t>
        </is>
      </c>
      <c r="AB45" s="19" t="inlineStr">
        <is>
          <t>Heroic</t>
        </is>
      </c>
      <c r="AC45" s="5" t="inlineStr">
        <is>
          <t>Solves the case and reconciles with Roshni</t>
        </is>
      </c>
      <c r="AD45" s="5" t="inlineStr">
        <is>
          <t>Rani Mukerji; Kareena Kapoor</t>
        </is>
      </c>
      <c r="AE45" s="5" t="inlineStr">
        <is>
          <t>Secondary</t>
        </is>
      </c>
      <c r="AF45" s="20" t="n">
        <v>4</v>
      </c>
      <c r="AG45" s="19" t="inlineStr">
        <is>
          <t>Marriage under strain</t>
        </is>
      </c>
      <c r="AH45" s="21" t="n">
        <v>71</v>
      </c>
      <c r="AI45" s="21" t="n">
        <v>93</v>
      </c>
      <c r="AJ45" s="5" t="n"/>
      <c r="AK45" s="5" t="n"/>
      <c r="AL45" s="5" t="inlineStr">
        <is>
          <t>₹174–181 crore (estimate)</t>
        </is>
      </c>
      <c r="AM45" s="5" t="inlineStr">
        <is>
          <t>INR crore</t>
        </is>
      </c>
      <c r="AN45" s="5" t="inlineStr">
        <is>
          <t>Hit</t>
        </is>
      </c>
      <c r="AO45" s="18" t="n"/>
      <c r="AP45" s="19" t="inlineStr">
        <is>
          <t>Positive (81% on Rotten Tomatoes); some critics found the twist derivative of The Sixth Sense.</t>
        </is>
      </c>
      <c r="AQ45" s="19" t="inlineStr">
        <is>
          <t>Filmfare nominations for Rani Mukerji and Nawazuddin Siddiqui.</t>
        </is>
      </c>
      <c r="AR45" s="5" t="inlineStr">
        <is>
          <t>SOURCE-050</t>
        </is>
      </c>
      <c r="AS45" s="5" t="inlineStr">
        <is>
          <t>Medium</t>
        </is>
      </c>
      <c r="AT45" s="5" t="inlineStr">
        <is>
          <t>Box Office India via Wikipedia: domestic nett about ₹93 crore; overseas gross US$8.5 million; worldwide estimated at ₹174.21–180.83 crore, combining domestic nett with overseas gross, so the worldwide figure mixes measures and is entered as text.</t>
        </is>
      </c>
    </row>
    <row r="46" ht="94" customHeight="1">
      <c r="A46" s="15" t="inlineStr">
        <is>
          <t>FILM-045</t>
        </is>
      </c>
      <c r="B46" s="5" t="inlineStr">
        <is>
          <t>Bombay Talkies</t>
        </is>
      </c>
      <c r="C46" s="16" t="n">
        <v>41397</v>
      </c>
      <c r="D46" s="17" t="n">
        <v>2013</v>
      </c>
      <c r="E46" s="5" t="inlineStr">
        <is>
          <t>2010s</t>
        </is>
      </c>
      <c r="F46" s="5" t="inlineStr">
        <is>
          <t>Hindi</t>
        </is>
      </c>
      <c r="G46" s="5" t="inlineStr">
        <is>
          <t>Anthology</t>
        </is>
      </c>
      <c r="H46" s="5" t="n"/>
      <c r="I46" s="17" t="n">
        <v>128</v>
      </c>
      <c r="J46" s="5" t="inlineStr">
        <is>
          <t>Karan Johar; Dibakar Banerjee; Zoya Akhtar; Anurag Kashyap</t>
        </is>
      </c>
      <c r="K46" s="5" t="inlineStr">
        <is>
          <t>Ashi Dua</t>
        </is>
      </c>
      <c r="L46" s="5" t="inlineStr">
        <is>
          <t>Flying Unicorn Entertainment; Dharma Productions; Dibakar Banerjee Productions; Excel Entertainment; Aamir Khan Productions; Sikhya Entertainment</t>
        </is>
      </c>
      <c r="M46" s="5" t="n"/>
      <c r="N46" s="5" t="n"/>
      <c r="O46" s="5" t="inlineStr">
        <is>
          <t>Amit Trivedi</t>
        </is>
      </c>
      <c r="P46" s="5" t="n"/>
      <c r="Q46" s="5" t="inlineStr">
        <is>
          <t>Amitabh Bhattacharya; Swanand Kirkire</t>
        </is>
      </c>
      <c r="R46" s="5" t="inlineStr">
        <is>
          <t>Himself</t>
        </is>
      </c>
      <c r="S46" s="5" t="n"/>
      <c r="T46" s="5" t="inlineStr">
        <is>
          <t>Self appearance</t>
        </is>
      </c>
      <c r="U46" s="18" t="n"/>
      <c r="V46" s="5" t="n"/>
      <c r="W46" s="5" t="n"/>
      <c r="X46" s="19" t="inlineStr">
        <is>
          <t>Aamir Khan appears as himself among many stars in the song 'Apna Bombay Talkies', which celebrates the centenary of Indian cinema in this four-part anthology by Karan Johar, Dibakar Banerjee, Zoya Akhtar and Anurag Kashyap. The appearance sits outside the anthology's stories.</t>
        </is>
      </c>
      <c r="Y46" s="19" t="n"/>
      <c r="Z46" s="19" t="n"/>
      <c r="AA46" s="19" t="n"/>
      <c r="AB46" s="19" t="n"/>
      <c r="AC46" s="5" t="n"/>
      <c r="AD46" s="5" t="n"/>
      <c r="AE46" s="5" t="inlineStr">
        <is>
          <t>None</t>
        </is>
      </c>
      <c r="AF46" s="20" t="n">
        <v>0</v>
      </c>
      <c r="AG46" s="19" t="inlineStr">
        <is>
          <t>No meaningful romance</t>
        </is>
      </c>
      <c r="AH46" s="21" t="n">
        <v>30</v>
      </c>
      <c r="AI46" s="5" t="n"/>
      <c r="AJ46" s="5" t="n"/>
      <c r="AK46" s="5" t="n"/>
      <c r="AL46" s="5" t="n"/>
      <c r="AM46" s="5" t="inlineStr">
        <is>
          <t>INR crore</t>
        </is>
      </c>
      <c r="AN46" s="5" t="n"/>
      <c r="AO46" s="18" t="n"/>
      <c r="AP46" s="19" t="inlineStr">
        <is>
          <t>Positive reviews; screened at the 2013 Cannes Film Festival.</t>
        </is>
      </c>
      <c r="AQ46" s="19" t="inlineStr">
        <is>
          <t>Made for the 100th year of Indian cinema; Karan Johar's segment received a Queer Palm nomination.</t>
        </is>
      </c>
      <c r="AR46" s="5" t="inlineStr">
        <is>
          <t>SOURCE-051</t>
        </is>
      </c>
      <c r="AS46" s="5" t="inlineStr">
        <is>
          <t>Medium</t>
        </is>
      </c>
      <c r="AT46" s="5" t="inlineStr">
        <is>
          <t>Wikipedia's estimated earnings of ₹10 crore have no nett/gross label and are not entered.</t>
        </is>
      </c>
    </row>
    <row r="47" ht="94" customHeight="1">
      <c r="A47" s="15" t="inlineStr">
        <is>
          <t>FILM-046</t>
        </is>
      </c>
      <c r="B47" s="5" t="inlineStr">
        <is>
          <t>Dhoom 3</t>
        </is>
      </c>
      <c r="C47" s="16" t="n">
        <v>41628</v>
      </c>
      <c r="D47" s="17" t="n">
        <v>2013</v>
      </c>
      <c r="E47" s="5" t="inlineStr">
        <is>
          <t>2010s</t>
        </is>
      </c>
      <c r="F47" s="5" t="inlineStr">
        <is>
          <t>Hindi</t>
        </is>
      </c>
      <c r="G47" s="5" t="inlineStr">
        <is>
          <t>Action thriller</t>
        </is>
      </c>
      <c r="H47" s="5" t="inlineStr">
        <is>
          <t>Heist</t>
        </is>
      </c>
      <c r="I47" s="17" t="n">
        <v>172</v>
      </c>
      <c r="J47" s="5" t="inlineStr">
        <is>
          <t>Vijay Krishna Acharya</t>
        </is>
      </c>
      <c r="K47" s="5" t="inlineStr">
        <is>
          <t>Aditya Chopra</t>
        </is>
      </c>
      <c r="L47" s="5" t="inlineStr">
        <is>
          <t>Yash Raj Films</t>
        </is>
      </c>
      <c r="M47" s="5" t="inlineStr">
        <is>
          <t>Vijay Krishna Acharya (screenplay); Aditya Chopra, Vijay Krishna Acharya (story)</t>
        </is>
      </c>
      <c r="N47" s="5" t="n"/>
      <c r="O47" s="5" t="inlineStr">
        <is>
          <t>Pritam</t>
        </is>
      </c>
      <c r="P47" s="5" t="inlineStr">
        <is>
          <t>Julius Packiam</t>
        </is>
      </c>
      <c r="Q47" s="5" t="n"/>
      <c r="R47" s="5" t="inlineStr">
        <is>
          <t>Sahir Khan; Samar Khan</t>
        </is>
      </c>
      <c r="S47" s="5" t="inlineStr">
        <is>
          <t>Double role as twin brothers</t>
        </is>
      </c>
      <c r="T47" s="5" t="inlineStr">
        <is>
          <t>Lead</t>
        </is>
      </c>
      <c r="U47" s="20" t="n">
        <v>1</v>
      </c>
      <c r="V47" s="5" t="inlineStr">
        <is>
          <t>Circus performers and bank robbers</t>
        </is>
      </c>
      <c r="W47" s="5" t="inlineStr">
        <is>
          <t>Sons of Iqbal Khan, whose Chicago circus was foreclosed by a bank</t>
        </is>
      </c>
      <c r="X47" s="19" t="inlineStr">
        <is>
          <t>As a boy, Sahir watches his father kill himself when the Western Bank of Chicago forecloses on their circus. Grown up, he robs the bank in daring heists with his secret twin Samar, whose existence is hidden. Indian detectives Jai and Ali close in by exploiting Samar's romance with the acrobat Aaliya. Cornered on a dam, Samar will not let go of Sahir's hand, and the brothers fall to their deaths together.</t>
        </is>
      </c>
      <c r="Y47" s="19" t="inlineStr">
        <is>
          <t>Revenge on the bank that ruined their father</t>
        </is>
      </c>
      <c r="Z47" s="19" t="inlineStr">
        <is>
          <t>Exposure of the twin secret</t>
        </is>
      </c>
      <c r="AA47" s="19" t="inlineStr">
        <is>
          <t>Revenge-driven showmen are undone by love and loyalty</t>
        </is>
      </c>
      <c r="AB47" s="19" t="inlineStr">
        <is>
          <t>Antagonist-protagonists</t>
        </is>
      </c>
      <c r="AC47" s="5" t="inlineStr">
        <is>
          <t>Both die falling from the dam</t>
        </is>
      </c>
      <c r="AD47" s="5" t="inlineStr">
        <is>
          <t>Katrina Kaif</t>
        </is>
      </c>
      <c r="AE47" s="5" t="inlineStr">
        <is>
          <t>Secondary</t>
        </is>
      </c>
      <c r="AF47" s="20" t="n">
        <v>4</v>
      </c>
      <c r="AG47" s="19" t="inlineStr">
        <is>
          <t>Romance subordinate to another genre</t>
        </is>
      </c>
      <c r="AH47" s="21" t="n">
        <v>100</v>
      </c>
      <c r="AI47" s="21" t="n">
        <v>272.5</v>
      </c>
      <c r="AJ47" s="21" t="n">
        <v>372</v>
      </c>
      <c r="AK47" s="21" t="n">
        <v>217.2</v>
      </c>
      <c r="AL47" s="21" t="n">
        <v>556.74</v>
      </c>
      <c r="AM47" s="5" t="inlineStr">
        <is>
          <t>INR crore</t>
        </is>
      </c>
      <c r="AN47" s="5" t="inlineStr">
        <is>
          <t>All-time blockbuster</t>
        </is>
      </c>
      <c r="AO47" s="18" t="n"/>
      <c r="AP47" s="19" t="inlineStr">
        <is>
          <t>Mixed reviews in India, more favourable abroad (67% on Rotten Tomatoes); critics compared it with The Prestige.</t>
        </is>
      </c>
      <c r="AQ47" s="19" t="inlineStr">
        <is>
          <t>First Indian film to gross ₹500 crore worldwide; highest-grossing Indian film on release; Filmfare Best Visual Effects.</t>
        </is>
      </c>
      <c r="AR47" s="5" t="inlineStr">
        <is>
          <t>SOURCE-052</t>
        </is>
      </c>
      <c r="AS47" s="5" t="inlineStr">
        <is>
          <t>Medium</t>
        </is>
      </c>
      <c r="AT47" s="5" t="inlineStr">
        <is>
          <t>Worldwide gross reported as ₹556.74–558.42 crore; the lower figure is entered. Domestic nett combines ₹261 crore (Hindi) and ₹11.5 crore (Tamil and Telugu). Domestic and overseas grosses (₹372 crore + ₹217.2 crore) do not sum to the worldwide total; figures come from different sources. Samar is Aaliya's partner.</t>
        </is>
      </c>
    </row>
    <row r="48" ht="94" customHeight="1">
      <c r="A48" s="15" t="inlineStr">
        <is>
          <t>FILM-047</t>
        </is>
      </c>
      <c r="B48" s="5" t="inlineStr">
        <is>
          <t>PK</t>
        </is>
      </c>
      <c r="C48" s="16" t="n">
        <v>41992</v>
      </c>
      <c r="D48" s="17" t="n">
        <v>2014</v>
      </c>
      <c r="E48" s="5" t="inlineStr">
        <is>
          <t>2010s</t>
        </is>
      </c>
      <c r="F48" s="5" t="inlineStr">
        <is>
          <t>Hindi</t>
        </is>
      </c>
      <c r="G48" s="5" t="inlineStr">
        <is>
          <t>Science-fiction comedy-drama</t>
        </is>
      </c>
      <c r="H48" s="5" t="inlineStr">
        <is>
          <t>Religious satire</t>
        </is>
      </c>
      <c r="I48" s="17" t="n">
        <v>152</v>
      </c>
      <c r="J48" s="5" t="inlineStr">
        <is>
          <t>Rajkumar Hirani</t>
        </is>
      </c>
      <c r="K48" s="5" t="inlineStr">
        <is>
          <t>Vidhu Vinod Chopra; Rajkumar Hirani</t>
        </is>
      </c>
      <c r="L48" s="5" t="inlineStr">
        <is>
          <t>Vinod Chopra Films; Rajkumar Hirani Films</t>
        </is>
      </c>
      <c r="M48" s="5" t="inlineStr">
        <is>
          <t>Rajkumar Hirani; Abhijat Joshi</t>
        </is>
      </c>
      <c r="N48" s="5" t="n"/>
      <c r="O48" s="5" t="inlineStr">
        <is>
          <t>Shantanu Moitra; Ajay–Atul; Ankit Tiwari</t>
        </is>
      </c>
      <c r="P48" s="5" t="inlineStr">
        <is>
          <t>Sanjay Wandrekar; Atul Raninga</t>
        </is>
      </c>
      <c r="Q48" s="5" t="inlineStr">
        <is>
          <t>Swanand Kirkire; Amitabh Varma; Manoj Muntashir</t>
        </is>
      </c>
      <c r="R48" s="5" t="inlineStr">
        <is>
          <t>PK</t>
        </is>
      </c>
      <c r="S48" s="5" t="n"/>
      <c r="T48" s="5" t="inlineStr">
        <is>
          <t>Lead</t>
        </is>
      </c>
      <c r="U48" s="20" t="n">
        <v>1</v>
      </c>
      <c r="V48" s="5" t="inlineStr">
        <is>
          <t>Alien researcher stranded on Earth</t>
        </is>
      </c>
      <c r="W48" s="5" t="inlineStr">
        <is>
          <t>Humanoid alien with no knowledge of human customs</t>
        </is>
      </c>
      <c r="X48" s="19" t="inlineStr">
        <is>
          <t>PK, a humanoid alien on a research mission, is stranded in Rajasthan when a thief steals the remote that summons his spaceship. Told that only God can help, he tries the rituals of every religion and concludes that godmen are dialling a 'wrong number'. With the journalist Jaggu he exposes the godman Tapasvi, who holds his remote, reunites her with her lost love Sarfaraz, suppresses his own love for her and leaves Earth.</t>
        </is>
      </c>
      <c r="Y48" s="19" t="inlineStr">
        <is>
          <t>Recover his remote and return home</t>
        </is>
      </c>
      <c r="Z48" s="19" t="inlineStr">
        <is>
          <t>Religious exploitation, embodied by the godman Tapasvi</t>
        </is>
      </c>
      <c r="AA48" s="19" t="inlineStr">
        <is>
          <t>Naive outsider becomes a social critic who gives up his own love</t>
        </is>
      </c>
      <c r="AB48" s="19" t="inlineStr">
        <is>
          <t>Heroic</t>
        </is>
      </c>
      <c r="AC48" s="5" t="inlineStr">
        <is>
          <t>Returns home; later leads a new expedition to Earth</t>
        </is>
      </c>
      <c r="AD48" s="5" t="inlineStr">
        <is>
          <t>Anushka Sharma</t>
        </is>
      </c>
      <c r="AE48" s="5" t="inlineStr">
        <is>
          <t>Secondary</t>
        </is>
      </c>
      <c r="AF48" s="20" t="n">
        <v>4</v>
      </c>
      <c r="AG48" s="19" t="inlineStr">
        <is>
          <t>Unrequited love</t>
        </is>
      </c>
      <c r="AH48" s="21" t="n">
        <v>122</v>
      </c>
      <c r="AI48" s="21" t="n">
        <v>340.8</v>
      </c>
      <c r="AJ48" s="21" t="n">
        <v>448.74</v>
      </c>
      <c r="AK48" s="21" t="n">
        <v>304.52</v>
      </c>
      <c r="AL48" s="21" t="n">
        <v>769.89</v>
      </c>
      <c r="AM48" s="5" t="inlineStr">
        <is>
          <t>INR crore</t>
        </is>
      </c>
      <c r="AN48" s="5" t="inlineStr">
        <is>
          <t>All-time blockbuster</t>
        </is>
      </c>
      <c r="AO48" s="18" t="n"/>
      <c r="AP48" s="19" t="inlineStr">
        <is>
          <t>Widely praised (NDTV five stars; Bollywood Hungama 4.5/5); Hindu nationalist groups protested, and complaints were filed over religious sentiment.</t>
        </is>
      </c>
      <c r="AQ48" s="19" t="inlineStr">
        <is>
          <t>Highest-grossing Indian film on release and the first to gross over ₹700 crore and US$100 million worldwide; Filmfare Best Screenplay and Dialogue.</t>
        </is>
      </c>
      <c r="AR48" s="5" t="inlineStr">
        <is>
          <t>SOURCE-053</t>
        </is>
      </c>
      <c r="AS48" s="5" t="inlineStr">
        <is>
          <t>Medium</t>
        </is>
      </c>
      <c r="AT48" s="5" t="inlineStr">
        <is>
          <t>Box Office India via Wikipedia. Distributor share ₹165 crore and entertainment tax ₹107.94 crore reported separately. Domestic plus overseas gross (₹753.26 crore) does not equal the stated worldwide figure; sources differ.</t>
        </is>
      </c>
    </row>
    <row r="49" ht="79" customHeight="1">
      <c r="A49" s="15" t="inlineStr">
        <is>
          <t>FILM-048</t>
        </is>
      </c>
      <c r="B49" s="5" t="inlineStr">
        <is>
          <t>Dil Dhadakne Do</t>
        </is>
      </c>
      <c r="C49" s="16" t="n">
        <v>42160</v>
      </c>
      <c r="D49" s="17" t="n">
        <v>2015</v>
      </c>
      <c r="E49" s="5" t="inlineStr">
        <is>
          <t>2010s</t>
        </is>
      </c>
      <c r="F49" s="5" t="inlineStr">
        <is>
          <t>Hindi</t>
        </is>
      </c>
      <c r="G49" s="5" t="inlineStr">
        <is>
          <t>Family comedy-drama</t>
        </is>
      </c>
      <c r="H49" s="5" t="n"/>
      <c r="I49" s="17" t="n">
        <v>173</v>
      </c>
      <c r="J49" s="5" t="inlineStr">
        <is>
          <t>Zoya Akhtar</t>
        </is>
      </c>
      <c r="K49" s="5" t="inlineStr">
        <is>
          <t>Ritesh Sidhwani; Farhan Akhtar</t>
        </is>
      </c>
      <c r="L49" s="5" t="inlineStr">
        <is>
          <t>Excel Entertainment; Junglee Pictures</t>
        </is>
      </c>
      <c r="M49" s="5" t="inlineStr">
        <is>
          <t>Reema Kagti, Zoya Akhtar (screenplay); Farhan Akhtar (dialogue)</t>
        </is>
      </c>
      <c r="N49" s="5" t="n"/>
      <c r="O49" s="5" t="inlineStr">
        <is>
          <t>Shankar–Ehsaan–Loy</t>
        </is>
      </c>
      <c r="P49" s="5" t="n"/>
      <c r="Q49" s="5" t="inlineStr">
        <is>
          <t>Javed Akhtar</t>
        </is>
      </c>
      <c r="R49" s="5" t="inlineStr">
        <is>
          <t>Pluto Mehra</t>
        </is>
      </c>
      <c r="S49" s="5" t="inlineStr">
        <is>
          <t>Voices the family dog, who narrates the film</t>
        </is>
      </c>
      <c r="T49" s="5" t="inlineStr">
        <is>
          <t>Voice role</t>
        </is>
      </c>
      <c r="U49" s="18" t="n"/>
      <c r="V49" s="5" t="n"/>
      <c r="W49" s="5" t="n"/>
      <c r="X49" s="19" t="inlineStr">
        <is>
          <t>Aamir Khan voices Pluto, the Mehra family's dog, who narrates this ensemble comedy-drama about a dysfunctional family and offers wry commentary on human behaviour. He does not appear on screen. Reviewers found that the narration added philosophical depth to Zoya Akhtar's film, whose cast includes Anil Kapoor, Shefali Shah, Priyanka Chopra and Ranveer Singh.</t>
        </is>
      </c>
      <c r="Y49" s="19" t="n"/>
      <c r="Z49" s="19" t="n"/>
      <c r="AA49" s="19" t="n"/>
      <c r="AB49" s="19" t="n"/>
      <c r="AC49" s="5" t="n"/>
      <c r="AD49" s="5" t="n"/>
      <c r="AE49" s="5" t="inlineStr">
        <is>
          <t>None</t>
        </is>
      </c>
      <c r="AF49" s="20" t="n">
        <v>0</v>
      </c>
      <c r="AG49" s="19" t="inlineStr">
        <is>
          <t>No meaningful romance</t>
        </is>
      </c>
      <c r="AH49" s="21" t="n">
        <v>55</v>
      </c>
      <c r="AI49" s="5" t="n"/>
      <c r="AJ49" s="5" t="n"/>
      <c r="AK49" s="5" t="n"/>
      <c r="AL49" s="5" t="n"/>
      <c r="AM49" s="5" t="inlineStr">
        <is>
          <t>INR crore</t>
        </is>
      </c>
      <c r="AN49" s="5" t="inlineStr">
        <is>
          <t>Commercial success</t>
        </is>
      </c>
      <c r="AO49" s="18" t="n"/>
      <c r="AP49" s="19" t="inlineStr">
        <is>
          <t>Positive reviews for the cast and direction, with criticism of the length and climax.</t>
        </is>
      </c>
      <c r="AQ49" s="19" t="inlineStr">
        <is>
          <t>Filmfare Best Supporting Actor (Anil Kapoor).</t>
        </is>
      </c>
      <c r="AR49" s="5" t="inlineStr">
        <is>
          <t>SOURCE-054</t>
        </is>
      </c>
      <c r="AS49" s="5" t="inlineStr">
        <is>
          <t>Medium</t>
        </is>
      </c>
      <c r="AT49" s="5" t="inlineStr">
        <is>
          <t>Budget ₹550 million; box office ₹1.44 billion has no nett/gross label and is not entered. Pluto is both a character and the film's narrator.</t>
        </is>
      </c>
    </row>
    <row r="50" ht="139" customHeight="1">
      <c r="A50" s="15" t="inlineStr">
        <is>
          <t>FILM-049</t>
        </is>
      </c>
      <c r="B50" s="5" t="inlineStr">
        <is>
          <t>Dangal</t>
        </is>
      </c>
      <c r="C50" s="16" t="n">
        <v>42727</v>
      </c>
      <c r="D50" s="17" t="n">
        <v>2016</v>
      </c>
      <c r="E50" s="5" t="inlineStr">
        <is>
          <t>2010s</t>
        </is>
      </c>
      <c r="F50" s="5" t="inlineStr">
        <is>
          <t>Hindi</t>
        </is>
      </c>
      <c r="G50" s="5" t="inlineStr">
        <is>
          <t>Biographical drama</t>
        </is>
      </c>
      <c r="H50" s="5" t="inlineStr">
        <is>
          <t>Sports</t>
        </is>
      </c>
      <c r="I50" s="17" t="n">
        <v>161</v>
      </c>
      <c r="J50" s="5" t="inlineStr">
        <is>
          <t>Nitesh Tiwari</t>
        </is>
      </c>
      <c r="K50" s="5" t="inlineStr">
        <is>
          <t>Aamir Khan; Kiran Rao; Siddharth Roy Kapur</t>
        </is>
      </c>
      <c r="L50" s="5" t="inlineStr">
        <is>
          <t>Aamir Khan Productions; The Walt Disney Company India</t>
        </is>
      </c>
      <c r="M50" s="5" t="inlineStr">
        <is>
          <t>Nitesh Tiwari; Piyush Gupta; Shreyas Jain; Nikhil Mehrotra</t>
        </is>
      </c>
      <c r="N50" s="5" t="inlineStr">
        <is>
          <t>True story of Mahavir Singh Phogat and his daughters Geeta and Babita</t>
        </is>
      </c>
      <c r="O50" s="5" t="inlineStr">
        <is>
          <t>Pritam</t>
        </is>
      </c>
      <c r="P50" s="5" t="inlineStr">
        <is>
          <t>Pritam</t>
        </is>
      </c>
      <c r="Q50" s="5" t="inlineStr">
        <is>
          <t>Amitabh Bhattacharya</t>
        </is>
      </c>
      <c r="R50" s="5" t="inlineStr">
        <is>
          <t>Mahavir Singh Phogat</t>
        </is>
      </c>
      <c r="S50" s="5" t="n"/>
      <c r="T50" s="5" t="inlineStr">
        <is>
          <t>Lead</t>
        </is>
      </c>
      <c r="U50" s="20" t="n">
        <v>1</v>
      </c>
      <c r="V50" s="5" t="inlineStr">
        <is>
          <t>Former national wrestling champion turned coach of his daughters</t>
        </is>
      </c>
      <c r="W50" s="5" t="inlineStr">
        <is>
          <t>Rural Haryana (Balali); gave up wrestling for a steady job under family pressure</t>
        </is>
      </c>
      <c r="X50" s="19" t="inlineStr">
        <is>
          <t>Mahavir, a former national wrestling champion pushed by his father to take a steady job, wants a son to win the international gold he never could. After four daughters, he recognises Geeta and Babita's strength and trains them with harsh discipline despite village ridicule. When Geeta falters under the national coach's methods, he secretly guides her again and she wins Commonwealth Games gold.</t>
        </is>
      </c>
      <c r="Y50" s="19" t="inlineStr">
        <is>
          <t>Win a gold medal for India through his children</t>
        </is>
      </c>
      <c r="Z50" s="19" t="inlineStr">
        <is>
          <t>Community ridicule, then a clash with the national academy coach over Geeta's training</t>
        </is>
      </c>
      <c r="AA50" s="19" t="inlineStr">
        <is>
          <t>Resigned, disappointed father becomes an obsessive and ultimately vindicated coach</t>
        </is>
      </c>
      <c r="AB50" s="19" t="inlineStr">
        <is>
          <t>Heroic; authoritarian</t>
        </is>
      </c>
      <c r="AC50" s="5" t="inlineStr">
        <is>
          <t>Geeta wins gold at the 2010 Commonwealth Games</t>
        </is>
      </c>
      <c r="AD50" s="5" t="inlineStr">
        <is>
          <t>Sakshi Tanwar; Fatima Sana Shaikh; Sanya Malhotra</t>
        </is>
      </c>
      <c r="AE50" s="5" t="inlineStr">
        <is>
          <t>Minor</t>
        </is>
      </c>
      <c r="AF50" s="20" t="n">
        <v>1</v>
      </c>
      <c r="AG50" s="19" t="inlineStr">
        <is>
          <t>Established relationship</t>
        </is>
      </c>
      <c r="AH50" s="21" t="n">
        <v>70</v>
      </c>
      <c r="AI50" s="5" t="n"/>
      <c r="AJ50" s="21" t="n">
        <v>538.03</v>
      </c>
      <c r="AK50" s="21" t="n">
        <v>1512</v>
      </c>
      <c r="AL50" s="21" t="n">
        <v>2024</v>
      </c>
      <c r="AM50" s="5" t="inlineStr">
        <is>
          <t>INR crore</t>
        </is>
      </c>
      <c r="AN50" s="5" t="inlineStr">
        <is>
          <t>All-time blockbuster; highest-grossing Indian film</t>
        </is>
      </c>
      <c r="AO50" s="18" t="n"/>
      <c r="AP50" s="19" t="inlineStr">
        <is>
          <t>Universal acclaim for its honesty and Aamir Khan's performance; critics debated whether its feminism is undercut by centring the father as the true hero.</t>
        </is>
      </c>
      <c r="AQ50" s="19" t="inlineStr">
        <is>
          <t>Filmfare Best Film, Director and Actor; AACTA Best Asian Film; major success in China, where it influenced audience taste and India–China cultural relations; screened in the Indian Parliament.</t>
        </is>
      </c>
      <c r="AR50" s="5" t="inlineStr">
        <is>
          <t>SOURCE-055</t>
        </is>
      </c>
      <c r="AS50" s="5" t="inlineStr">
        <is>
          <t>Medium</t>
        </is>
      </c>
      <c r="AT50" s="5" t="inlineStr">
        <is>
          <t>The marriage to Daya (Sakshi Tanwar) has minimal narrative weight, so no Romances row. Worldwide totals disagree: Bollywood Hungama ₹1,968 crore; Box Office India ₹2,024 crore (used); Box Office Mojo ₹2,050 crore; Hindustan Times over ₹2,200 crore. Domestic ₹538.03 crore is the final all-language gross; China alone about ₹1,231 crore. The component figures come from different sources and do not sum exactly to the Box Office India total.</t>
        </is>
      </c>
    </row>
    <row r="51" ht="79" customHeight="1">
      <c r="A51" s="15" t="inlineStr">
        <is>
          <t>FILM-050</t>
        </is>
      </c>
      <c r="B51" s="5" t="inlineStr">
        <is>
          <t>Secret Superstar</t>
        </is>
      </c>
      <c r="C51" s="16" t="n">
        <v>43027</v>
      </c>
      <c r="D51" s="17" t="n">
        <v>2017</v>
      </c>
      <c r="E51" s="5" t="inlineStr">
        <is>
          <t>2010s</t>
        </is>
      </c>
      <c r="F51" s="5" t="inlineStr">
        <is>
          <t>Hindi</t>
        </is>
      </c>
      <c r="G51" s="5" t="inlineStr">
        <is>
          <t>Musical drama</t>
        </is>
      </c>
      <c r="H51" s="5" t="n"/>
      <c r="I51" s="17" t="n">
        <v>150</v>
      </c>
      <c r="J51" s="5" t="inlineStr">
        <is>
          <t>Advait Chandan</t>
        </is>
      </c>
      <c r="K51" s="5" t="inlineStr">
        <is>
          <t>Aamir Khan; Kiran Rao; Nitin Keni; Akash Chawla</t>
        </is>
      </c>
      <c r="L51" s="5" t="inlineStr">
        <is>
          <t>Aamir Khan Productions; Zee Studios</t>
        </is>
      </c>
      <c r="M51" s="5" t="inlineStr">
        <is>
          <t>Advait Chandan</t>
        </is>
      </c>
      <c r="N51" s="5" t="n"/>
      <c r="O51" s="5" t="inlineStr">
        <is>
          <t>Amit Trivedi</t>
        </is>
      </c>
      <c r="P51" s="5" t="n"/>
      <c r="Q51" s="5" t="inlineStr">
        <is>
          <t>Kausar Munir</t>
        </is>
      </c>
      <c r="R51" s="5" t="inlineStr">
        <is>
          <t>Shakti Kumar</t>
        </is>
      </c>
      <c r="S51" s="5" t="n"/>
      <c r="T51" s="5" t="inlineStr">
        <is>
          <t>Supporting</t>
        </is>
      </c>
      <c r="U51" s="18" t="n"/>
      <c r="V51" s="5" t="inlineStr">
        <is>
          <t>Flamboyant Mumbai music director</t>
        </is>
      </c>
      <c r="W51" s="5" t="inlineStr">
        <is>
          <t>Talented but pretentious industry figure going through a divorce</t>
        </is>
      </c>
      <c r="X51" s="19" t="inlineStr">
        <is>
          <t>Shakti Kumar, a talented but pretentious music director in the middle of a divorce, discovers the teenage singer Insia through her YouTube channel and brings her to Mumbai to record. His slapstick vanity gradually gives way to genuine mentorship, and he publicly acknowledges her achievement at an awards ceremony.</t>
        </is>
      </c>
      <c r="Y51" s="19" t="inlineStr">
        <is>
          <t>Revive his flagging career</t>
        </is>
      </c>
      <c r="Z51" s="19" t="inlineStr">
        <is>
          <t>His ego and scandal-prone reputation</t>
        </is>
      </c>
      <c r="AA51" s="19" t="inlineStr">
        <is>
          <t>Self-absorbed has-been becomes a supportive mentor</t>
        </is>
      </c>
      <c r="AB51" s="19" t="inlineStr">
        <is>
          <t>Comic, redeemed</t>
        </is>
      </c>
      <c r="AC51" s="5" t="inlineStr">
        <is>
          <t>Champions Insia's success</t>
        </is>
      </c>
      <c r="AD51" s="5" t="inlineStr">
        <is>
          <t>Zaira Wasim</t>
        </is>
      </c>
      <c r="AE51" s="5" t="inlineStr">
        <is>
          <t>None</t>
        </is>
      </c>
      <c r="AF51" s="20" t="n">
        <v>0</v>
      </c>
      <c r="AG51" s="19" t="inlineStr">
        <is>
          <t>No meaningful romance</t>
        </is>
      </c>
      <c r="AH51" s="21" t="n">
        <v>15</v>
      </c>
      <c r="AI51" s="21" t="n">
        <v>64</v>
      </c>
      <c r="AJ51" s="21" t="n">
        <v>90</v>
      </c>
      <c r="AK51" s="5" t="n"/>
      <c r="AL51" s="21" t="n">
        <v>905.7</v>
      </c>
      <c r="AM51" s="5" t="inlineStr">
        <is>
          <t>INR crore</t>
        </is>
      </c>
      <c r="AN51" s="5" t="inlineStr">
        <is>
          <t>Blockbuster</t>
        </is>
      </c>
      <c r="AO51" s="18" t="n"/>
      <c r="AP51" s="19" t="inlineStr">
        <is>
          <t>Strongly positive (92% on Rotten Tomatoes); Aamir Khan's comic performance was singled out.</t>
        </is>
      </c>
      <c r="AQ51" s="19" t="inlineStr">
        <is>
          <t>Filmfare Best Actress (Critics) for Zaira Wasim and Best Supporting Actress for Meher Vij; one of the most profitable Indian films; the second-highest-grossing non-English foreign film in China at the time.</t>
        </is>
      </c>
      <c r="AR51" s="5" t="inlineStr">
        <is>
          <t>SOURCE-056</t>
        </is>
      </c>
      <c r="AS51" s="5" t="inlineStr">
        <is>
          <t>Medium</t>
        </is>
      </c>
      <c r="AT51" s="5" t="inlineStr">
        <is>
          <t>Worldwide estimates range from ₹858.43 crore to ₹966 crore; ₹905.7 crore (US$154 million) is entered as the most specific figure. China gross about ₹751 crore; other overseas ₹65 crore. Aamir Khan received a Filmfare Best Supporting Actor nomination.</t>
        </is>
      </c>
    </row>
    <row r="52" ht="109" customHeight="1">
      <c r="A52" s="15" t="inlineStr">
        <is>
          <t>FILM-051</t>
        </is>
      </c>
      <c r="B52" s="5" t="inlineStr">
        <is>
          <t>Thugs of Hindostan</t>
        </is>
      </c>
      <c r="C52" s="16" t="n">
        <v>43412</v>
      </c>
      <c r="D52" s="17" t="n">
        <v>2018</v>
      </c>
      <c r="E52" s="5" t="inlineStr">
        <is>
          <t>2010s</t>
        </is>
      </c>
      <c r="F52" s="5" t="inlineStr">
        <is>
          <t>Hindi</t>
        </is>
      </c>
      <c r="G52" s="5" t="inlineStr">
        <is>
          <t>Period action adventure</t>
        </is>
      </c>
      <c r="H52" s="5" t="n"/>
      <c r="I52" s="17" t="n">
        <v>166</v>
      </c>
      <c r="J52" s="5" t="inlineStr">
        <is>
          <t>Vijay Krishna Acharya</t>
        </is>
      </c>
      <c r="K52" s="5" t="inlineStr">
        <is>
          <t>Aditya Chopra</t>
        </is>
      </c>
      <c r="L52" s="5" t="inlineStr">
        <is>
          <t>Yash Raj Films</t>
        </is>
      </c>
      <c r="M52" s="5" t="inlineStr">
        <is>
          <t>Vijay Krishna Acharya</t>
        </is>
      </c>
      <c r="N52" s="5" t="inlineStr">
        <is>
          <t>Original story set against historical events; not based on Confessions of a Thug</t>
        </is>
      </c>
      <c r="O52" s="5" t="inlineStr">
        <is>
          <t>Ajay–Atul</t>
        </is>
      </c>
      <c r="P52" s="5" t="inlineStr">
        <is>
          <t>John Stewart Eduri</t>
        </is>
      </c>
      <c r="Q52" s="5" t="inlineStr">
        <is>
          <t>Amitabh Bhattacharya</t>
        </is>
      </c>
      <c r="R52" s="5" t="inlineStr">
        <is>
          <t>Firangi Mallah</t>
        </is>
      </c>
      <c r="S52" s="5" t="n"/>
      <c r="T52" s="5" t="inlineStr">
        <is>
          <t>Co-lead</t>
        </is>
      </c>
      <c r="U52" s="20" t="n">
        <v>2</v>
      </c>
      <c r="V52" s="5" t="inlineStr">
        <is>
          <t>Con man and East India Company informer</t>
        </is>
      </c>
      <c r="W52" s="5" t="inlineStr">
        <is>
          <t>Small-time thug from Awadh</t>
        </is>
      </c>
      <c r="X52" s="19" t="inlineStr">
        <is>
          <t>Firangi, a slippery con man from Awadh, infiltrates Khudabaksh's rebel thugs as an informer for the East India Company's John Clive. He double-crosses both sides for money, but loyalty to the rebels grows on him: he saves Khudabaksh from a fall and takes a bullet for the warrior Zafira. After helping defeat Clive, he steals a ship and sails off with the dancer Suraiyya and his friend Shanichar.</t>
        </is>
      </c>
      <c r="Y52" s="19" t="inlineStr">
        <is>
          <t>Money</t>
        </is>
      </c>
      <c r="Z52" s="19" t="inlineStr">
        <is>
          <t>Divided loyalty between the Company and the rebels</t>
        </is>
      </c>
      <c r="AA52" s="19" t="inlineStr">
        <is>
          <t>Mercenary trickster becomes a reluctant ally of the rebellion</t>
        </is>
      </c>
      <c r="AB52" s="19" t="inlineStr">
        <is>
          <t>Rogue</t>
        </is>
      </c>
      <c r="AC52" s="5" t="inlineStr">
        <is>
          <t>Escapes by ship with Suraiyya and Shanichar</t>
        </is>
      </c>
      <c r="AD52" s="5" t="inlineStr">
        <is>
          <t>Katrina Kaif; Fatima Sana Shaikh</t>
        </is>
      </c>
      <c r="AE52" s="5" t="inlineStr">
        <is>
          <t>Minor</t>
        </is>
      </c>
      <c r="AF52" s="20" t="n">
        <v>2</v>
      </c>
      <c r="AG52" s="19" t="inlineStr">
        <is>
          <t>Romance subordinate to another genre</t>
        </is>
      </c>
      <c r="AH52" s="5" t="inlineStr">
        <is>
          <t>₹200–300 crore</t>
        </is>
      </c>
      <c r="AI52" s="21" t="n">
        <v>151.19</v>
      </c>
      <c r="AJ52" s="21" t="n">
        <v>193.83</v>
      </c>
      <c r="AK52" s="21" t="n">
        <v>134.21</v>
      </c>
      <c r="AL52" s="5" t="inlineStr">
        <is>
          <t>₹322–335 crore</t>
        </is>
      </c>
      <c r="AM52" s="5" t="inlineStr">
        <is>
          <t>INR crore</t>
        </is>
      </c>
      <c r="AN52" s="5" t="inlineStr">
        <is>
          <t>Commercial failure after a record opening</t>
        </is>
      </c>
      <c r="AO52" s="18" t="n"/>
      <c r="AP52" s="19" t="inlineStr">
        <is>
          <t>Generally negative in India, faulting direction, screenplay and length; more favourable overseas.</t>
        </is>
      </c>
      <c r="AQ52" s="19" t="inlineStr">
        <is>
          <t>Record opening day for a Hindi film (₹52.25 crore nett).</t>
        </is>
      </c>
      <c r="AR52" s="5" t="inlineStr">
        <is>
          <t>SOURCE-057</t>
        </is>
      </c>
      <c r="AS52" s="5" t="inlineStr">
        <is>
          <t>Medium</t>
        </is>
      </c>
      <c r="AT52" s="5" t="inlineStr">
        <is>
          <t>Budget estimates: ₹200 crore (NDTV, Zee Business), ₹220 crore (Bollywood Hungama), ₹300 crore (Hindustan Times, News18). Worldwide estimates ₹322.07 crore and ₹335 crore. Second-billed after Amitabh Bachchan. Firangi's flirtation with Suraiyya (Katrina Kaif) and his bond with Zafira (Fatima Sana Shaikh) are too thinly documented for Romances rows.</t>
        </is>
      </c>
    </row>
    <row r="53" ht="64" customHeight="1">
      <c r="A53" s="15" t="inlineStr">
        <is>
          <t>FILM-052</t>
        </is>
      </c>
      <c r="B53" s="5" t="inlineStr">
        <is>
          <t>Koi Jaane Na</t>
        </is>
      </c>
      <c r="C53" s="16" t="n">
        <v>44288</v>
      </c>
      <c r="D53" s="17" t="n">
        <v>2021</v>
      </c>
      <c r="E53" s="5" t="inlineStr">
        <is>
          <t>2020s</t>
        </is>
      </c>
      <c r="F53" s="5" t="inlineStr">
        <is>
          <t>Hindi</t>
        </is>
      </c>
      <c r="G53" s="5" t="inlineStr">
        <is>
          <t>Psychological thriller</t>
        </is>
      </c>
      <c r="H53" s="5" t="n"/>
      <c r="I53" s="17" t="n">
        <v>139</v>
      </c>
      <c r="J53" s="5" t="inlineStr">
        <is>
          <t>Amin Hajee</t>
        </is>
      </c>
      <c r="K53" s="5" t="inlineStr">
        <is>
          <t>Bhushan Kumar; Krishan Kumar; Amin Hajee</t>
        </is>
      </c>
      <c r="L53" s="5" t="inlineStr">
        <is>
          <t>T-Series; Amin Hajee Film Company</t>
        </is>
      </c>
      <c r="M53" s="5" t="inlineStr">
        <is>
          <t>Amin Hajee</t>
        </is>
      </c>
      <c r="N53" s="5" t="n"/>
      <c r="O53" s="5" t="inlineStr">
        <is>
          <t>Tanishk Bagchi; Amaal Mallik; Rochak Kohli; Vikram Negi</t>
        </is>
      </c>
      <c r="P53" s="5" t="n"/>
      <c r="Q53" s="5" t="inlineStr">
        <is>
          <t>Amitabh Bhattacharya; Kumaar; Manoj Muntashir</t>
        </is>
      </c>
      <c r="R53" s="5" t="inlineStr">
        <is>
          <t>Himself</t>
        </is>
      </c>
      <c r="S53" s="5" t="n"/>
      <c r="T53" s="5" t="inlineStr">
        <is>
          <t>Self appearance</t>
        </is>
      </c>
      <c r="U53" s="18" t="n"/>
      <c r="V53" s="5" t="n"/>
      <c r="W53" s="5" t="n"/>
      <c r="X53" s="19" t="inlineStr">
        <is>
          <t>Aamir Khan makes a special appearance in the song 'Har Funn Maula' with Elli AvrRam in this psychological thriller starring Kunal Kapoor and Amyra Dastur. Wikipedia's filmography credits him as himself; the song has no bearing on the plot, which stars Kunal Kapoor and Amyra Dastur.</t>
        </is>
      </c>
      <c r="Y53" s="19" t="n"/>
      <c r="Z53" s="19" t="n"/>
      <c r="AA53" s="19" t="n"/>
      <c r="AB53" s="19" t="n"/>
      <c r="AC53" s="5" t="n"/>
      <c r="AD53" s="5" t="n"/>
      <c r="AE53" s="5" t="inlineStr">
        <is>
          <t>None</t>
        </is>
      </c>
      <c r="AF53" s="20" t="n">
        <v>0</v>
      </c>
      <c r="AG53" s="19" t="inlineStr">
        <is>
          <t>No meaningful romance</t>
        </is>
      </c>
      <c r="AH53" s="5" t="n"/>
      <c r="AI53" s="5" t="n"/>
      <c r="AJ53" s="5" t="n"/>
      <c r="AK53" s="5" t="n"/>
      <c r="AL53" s="5" t="n"/>
      <c r="AM53" s="5" t="n"/>
      <c r="AN53" s="5" t="n"/>
      <c r="AO53" s="18" t="n"/>
      <c r="AP53" s="19" t="n"/>
      <c r="AQ53" s="19" t="n"/>
      <c r="AR53" s="5" t="inlineStr">
        <is>
          <t>SOURCE-058; SOURCE-001</t>
        </is>
      </c>
      <c r="AS53" s="5" t="inlineStr">
        <is>
          <t>Medium</t>
        </is>
      </c>
      <c r="AT53" s="5" t="inlineStr">
        <is>
          <t>No box-office, reception or award data found.</t>
        </is>
      </c>
    </row>
    <row r="54" ht="109" customHeight="1">
      <c r="A54" s="15" t="inlineStr">
        <is>
          <t>FILM-053</t>
        </is>
      </c>
      <c r="B54" s="5" t="inlineStr">
        <is>
          <t>Laal Singh Chaddha</t>
        </is>
      </c>
      <c r="C54" s="16" t="n">
        <v>44784</v>
      </c>
      <c r="D54" s="17" t="n">
        <v>2022</v>
      </c>
      <c r="E54" s="5" t="inlineStr">
        <is>
          <t>2020s</t>
        </is>
      </c>
      <c r="F54" s="5" t="inlineStr">
        <is>
          <t>Hindi</t>
        </is>
      </c>
      <c r="G54" s="5" t="inlineStr">
        <is>
          <t>Comedy-drama</t>
        </is>
      </c>
      <c r="H54" s="5" t="n"/>
      <c r="I54" s="17" t="n">
        <v>159</v>
      </c>
      <c r="J54" s="5" t="inlineStr">
        <is>
          <t>Advait Chandan</t>
        </is>
      </c>
      <c r="K54" s="5" t="inlineStr">
        <is>
          <t>Aamir Khan; Kiran Rao; Jyoti Deshpande; Ajit Andhare</t>
        </is>
      </c>
      <c r="L54" s="5" t="inlineStr">
        <is>
          <t>Aamir Khan Productions; Viacom18 Studios; Paramount Pictures</t>
        </is>
      </c>
      <c r="M54" s="5" t="inlineStr">
        <is>
          <t>Atul Kulkarni</t>
        </is>
      </c>
      <c r="N54" s="5" t="inlineStr">
        <is>
          <t>Adaptation of Forrest Gump (1994), based on Winston Groom's novel</t>
        </is>
      </c>
      <c r="O54" s="5" t="inlineStr">
        <is>
          <t>Pritam</t>
        </is>
      </c>
      <c r="P54" s="5" t="inlineStr">
        <is>
          <t>Tanuj Tiku</t>
        </is>
      </c>
      <c r="Q54" s="5" t="inlineStr">
        <is>
          <t>Amitabh Bhattacharya</t>
        </is>
      </c>
      <c r="R54" s="5" t="inlineStr">
        <is>
          <t>Laal Singh Chaddha</t>
        </is>
      </c>
      <c r="S54" s="5" t="inlineStr">
        <is>
          <t>Also plays his ancestors Veer, Jagan and Manav Singh Chaddha</t>
        </is>
      </c>
      <c r="T54" s="5" t="inlineStr">
        <is>
          <t>Lead</t>
        </is>
      </c>
      <c r="U54" s="20" t="n">
        <v>1</v>
      </c>
      <c r="V54" s="5" t="inlineStr">
        <is>
          <t>Soldier, later undergarment entrepreneur</t>
        </is>
      </c>
      <c r="W54" s="5" t="inlineStr">
        <is>
          <t>Sikh family from a village near Pathankot; raised by a devoted mother</t>
        </is>
      </c>
      <c r="X54" s="19" t="inlineStr">
        <is>
          <t>Laal, a kind-hearted Sikh boy with a low IQ and leg braces, discovers he can run and believes, as his mother taught him, that he can achieve anything. His life crosses decades of Indian history: army service in the Kargil War, a Vir Chakra, friendship with Bala and a successful business. Throughout, he loves his childhood friend Rupa, who chases fame through troubled relationships, until she returns ill and they marry before her death.</t>
        </is>
      </c>
      <c r="Y54" s="19" t="inlineStr">
        <is>
          <t>Love for Rupa and his mother's faith in him</t>
        </is>
      </c>
      <c r="Z54" s="19" t="inlineStr">
        <is>
          <t>Rupa repeatedly leaves him for a different life</t>
        </is>
      </c>
      <c r="AA54" s="19" t="inlineStr">
        <is>
          <t>Bullied child becomes soldier, entrepreneur, husband and father</t>
        </is>
      </c>
      <c r="AB54" s="19" t="inlineStr">
        <is>
          <t>Heroic</t>
        </is>
      </c>
      <c r="AC54" s="5" t="inlineStr">
        <is>
          <t>Marries Rupa and raises their son Aman</t>
        </is>
      </c>
      <c r="AD54" s="5" t="inlineStr">
        <is>
          <t>Kareena Kapoor; Mona Singh</t>
        </is>
      </c>
      <c r="AE54" s="5" t="inlineStr">
        <is>
          <t>Central</t>
        </is>
      </c>
      <c r="AF54" s="20" t="n">
        <v>8</v>
      </c>
      <c r="AG54" s="19" t="inlineStr">
        <is>
          <t>Unrequited love</t>
        </is>
      </c>
      <c r="AH54" s="21" t="n">
        <v>275</v>
      </c>
      <c r="AI54" s="5" t="n"/>
      <c r="AJ54" s="21" t="n">
        <v>71.09999999999999</v>
      </c>
      <c r="AK54" s="21" t="n">
        <v>60.93</v>
      </c>
      <c r="AL54" s="21" t="n">
        <v>132.03</v>
      </c>
      <c r="AM54" s="5" t="inlineStr">
        <is>
          <t>INR crore</t>
        </is>
      </c>
      <c r="AN54" s="5" t="inlineStr">
        <is>
          <t>Disaster</t>
        </is>
      </c>
      <c r="AO54" s="18" t="n"/>
      <c r="AP54" s="19" t="inlineStr">
        <is>
          <t>Mixed (69% on Rotten Tomatoes, 46 on Metacritic): praised for its adaptation and music, criticised for pacing, length and Aamir Khan's performance.</t>
        </is>
      </c>
      <c r="AQ54" s="19" t="inlineStr">
        <is>
          <t>Ten Filmfare nominations including Best Actress for Kareena Kapoor; strong global Netflix viewing; the target of a boycott campaign before release.</t>
        </is>
      </c>
      <c r="AR54" s="5" t="inlineStr">
        <is>
          <t>SOURCE-059</t>
        </is>
      </c>
      <c r="AS54" s="5" t="inlineStr">
        <is>
          <t>Medium</t>
        </is>
      </c>
      <c r="AT54" s="5" t="inlineStr">
        <is>
          <t>Box Office India via Wikipedia; the domestic figure is recorded as gross because domestic plus overseas equals the stated worldwide gross. The Indian Express estimated losses of ₹100 crore.</t>
        </is>
      </c>
    </row>
    <row r="55" ht="64" customHeight="1">
      <c r="A55" s="15" t="inlineStr">
        <is>
          <t>FILM-054</t>
        </is>
      </c>
      <c r="B55" s="5" t="inlineStr">
        <is>
          <t>Salaam Venky</t>
        </is>
      </c>
      <c r="C55" s="16" t="n">
        <v>44904</v>
      </c>
      <c r="D55" s="17" t="n">
        <v>2022</v>
      </c>
      <c r="E55" s="5" t="inlineStr">
        <is>
          <t>2020s</t>
        </is>
      </c>
      <c r="F55" s="5" t="inlineStr">
        <is>
          <t>Hindi</t>
        </is>
      </c>
      <c r="G55" s="5" t="inlineStr">
        <is>
          <t>Drama</t>
        </is>
      </c>
      <c r="H55" s="5" t="n"/>
      <c r="I55" s="17" t="n">
        <v>136</v>
      </c>
      <c r="J55" s="5" t="inlineStr">
        <is>
          <t>Revathi</t>
        </is>
      </c>
      <c r="K55" s="5" t="inlineStr">
        <is>
          <t>Suraj Singh; Shraddha Agrawal</t>
        </is>
      </c>
      <c r="L55" s="5" t="inlineStr">
        <is>
          <t>Connekkt Media; Blive Productions; RTake Studios</t>
        </is>
      </c>
      <c r="M55" s="5" t="inlineStr">
        <is>
          <t>Shrikant Murthy (story); Sammeer Arora (screenplay); Kausar Munir (dialogue)</t>
        </is>
      </c>
      <c r="N55" s="5" t="inlineStr">
        <is>
          <t>Based on the true story of Kolavennu Venkatesh and Shrikant Murthy's novel The Last Hurrah</t>
        </is>
      </c>
      <c r="O55" s="5" t="inlineStr">
        <is>
          <t>Mithoon</t>
        </is>
      </c>
      <c r="P55" s="5" t="n"/>
      <c r="Q55" s="5" t="inlineStr">
        <is>
          <t>Mithoon; Sandeep Shrivastava; Kausar Munir</t>
        </is>
      </c>
      <c r="R55" s="5" t="inlineStr">
        <is>
          <t>Sujata's illusion</t>
        </is>
      </c>
      <c r="S55" s="5" t="n"/>
      <c r="T55" s="5" t="inlineStr">
        <is>
          <t>Cameo</t>
        </is>
      </c>
      <c r="U55" s="18" t="n"/>
      <c r="V55" s="5" t="n"/>
      <c r="W55" s="5" t="n"/>
      <c r="X55" s="19" t="inlineStr">
        <is>
          <t>Aamir Khan makes a cameo as an illusion seen by Sujata, the mother played by Kajol, in this drama based on the true story of Kolavennu Venkatesh and his mother. The sources consulted do not describe the length or content of the scene.</t>
        </is>
      </c>
      <c r="Y55" s="19" t="n"/>
      <c r="Z55" s="19" t="n"/>
      <c r="AA55" s="19" t="n"/>
      <c r="AB55" s="19" t="n"/>
      <c r="AC55" s="5" t="n"/>
      <c r="AD55" s="5" t="n"/>
      <c r="AE55" s="5" t="inlineStr">
        <is>
          <t>None</t>
        </is>
      </c>
      <c r="AF55" s="20" t="n">
        <v>0</v>
      </c>
      <c r="AG55" s="19" t="inlineStr">
        <is>
          <t>No meaningful romance</t>
        </is>
      </c>
      <c r="AH55" s="5" t="n"/>
      <c r="AI55" s="5" t="n"/>
      <c r="AJ55" s="5" t="n"/>
      <c r="AK55" s="5" t="n"/>
      <c r="AL55" s="5" t="n"/>
      <c r="AM55" s="5" t="inlineStr">
        <is>
          <t>INR crore</t>
        </is>
      </c>
      <c r="AN55" s="5" t="n"/>
      <c r="AO55" s="18" t="n"/>
      <c r="AP55" s="19" t="inlineStr">
        <is>
          <t>Mixed: 25% of eight critics on Rotten Tomatoes, though The Times of India gave four stars.</t>
        </is>
      </c>
      <c r="AQ55" s="19" t="n"/>
      <c r="AR55" s="5" t="inlineStr">
        <is>
          <t>SOURCE-060</t>
        </is>
      </c>
      <c r="AS55" s="5" t="inlineStr">
        <is>
          <t>Medium</t>
        </is>
      </c>
      <c r="AT55" s="5" t="inlineStr">
        <is>
          <t>Bollywood Hungama's ₹1.99 crore box office has no nett/gross label and is not entered.</t>
        </is>
      </c>
    </row>
    <row r="56" ht="94" customHeight="1">
      <c r="A56" s="15" t="inlineStr">
        <is>
          <t>FILM-055</t>
        </is>
      </c>
      <c r="B56" s="5" t="inlineStr">
        <is>
          <t>Sitaare Zameen Par</t>
        </is>
      </c>
      <c r="C56" s="16" t="n">
        <v>45828</v>
      </c>
      <c r="D56" s="17" t="n">
        <v>2025</v>
      </c>
      <c r="E56" s="5" t="inlineStr">
        <is>
          <t>2020s</t>
        </is>
      </c>
      <c r="F56" s="5" t="inlineStr">
        <is>
          <t>Hindi</t>
        </is>
      </c>
      <c r="G56" s="5" t="inlineStr">
        <is>
          <t>Sports comedy-drama</t>
        </is>
      </c>
      <c r="H56" s="5" t="n"/>
      <c r="I56" s="17" t="n">
        <v>158</v>
      </c>
      <c r="J56" s="5" t="inlineStr">
        <is>
          <t>R. S. Prasanna</t>
        </is>
      </c>
      <c r="K56" s="5" t="inlineStr">
        <is>
          <t>Aamir Khan; Aparna Purohit</t>
        </is>
      </c>
      <c r="L56" s="5" t="inlineStr">
        <is>
          <t>Aamir Khan Productions</t>
        </is>
      </c>
      <c r="M56" s="5" t="inlineStr">
        <is>
          <t>Divy Nidhi Sharma</t>
        </is>
      </c>
      <c r="N56" s="5" t="inlineStr">
        <is>
          <t>Official remake of the Spanish film Campeones (Champions, 2018)</t>
        </is>
      </c>
      <c r="O56" s="5" t="inlineStr">
        <is>
          <t>Shankar–Ehsaan–Loy</t>
        </is>
      </c>
      <c r="P56" s="5" t="inlineStr">
        <is>
          <t>Ram Sampath</t>
        </is>
      </c>
      <c r="Q56" s="5" t="inlineStr">
        <is>
          <t>Amitabh Bhattacharya</t>
        </is>
      </c>
      <c r="R56" s="5" t="inlineStr">
        <is>
          <t>Gulshan Arora</t>
        </is>
      </c>
      <c r="S56" s="5" t="n"/>
      <c r="T56" s="5" t="inlineStr">
        <is>
          <t>Lead</t>
        </is>
      </c>
      <c r="U56" s="20" t="n">
        <v>1</v>
      </c>
      <c r="V56" s="5" t="inlineStr">
        <is>
          <t>Assistant basketball coach</t>
        </is>
      </c>
      <c r="W56" s="5" t="inlineStr">
        <is>
          <t>Lives with his mother Preeto; married to Sunita</t>
        </is>
      </c>
      <c r="X56" s="19" t="inlineStr">
        <is>
          <t>Gulshan, an arrogant, disillusioned assistant basketball coach, is sentenced to community service for drunk driving: he must train a team of intellectually disabled players. Impatient and condescending at first, he slowly learns each player's struggles and strengths, helps Guddu overcome his fear of bathing, confronts his own phobia and comes to see the team as his teachers, while accepting the fatherhood he had resisted.</t>
        </is>
      </c>
      <c r="Y56" s="19" t="inlineStr">
        <is>
          <t>Complete a court-ordered sentence; later his team's success</t>
        </is>
      </c>
      <c r="Z56" s="19" t="inlineStr">
        <is>
          <t>His own prejudice and impatience toward his players</t>
        </is>
      </c>
      <c r="AA56" s="19" t="inlineStr">
        <is>
          <t>Arrogant, self-centred coach becomes humble and emotionally open</t>
        </is>
      </c>
      <c r="AB56" s="19" t="inlineStr">
        <is>
          <t>Flawed, redeemed</t>
        </is>
      </c>
      <c r="AC56" s="5" t="inlineStr">
        <is>
          <t>Transformed by the team and ready to become a father</t>
        </is>
      </c>
      <c r="AD56" s="5" t="inlineStr">
        <is>
          <t>Genelia Deshmukh</t>
        </is>
      </c>
      <c r="AE56" s="5" t="inlineStr">
        <is>
          <t>Secondary</t>
        </is>
      </c>
      <c r="AF56" s="20" t="n">
        <v>3</v>
      </c>
      <c r="AG56" s="19" t="inlineStr">
        <is>
          <t>Marriage under strain</t>
        </is>
      </c>
      <c r="AH56" s="21" t="n">
        <v>122</v>
      </c>
      <c r="AI56" s="5" t="n"/>
      <c r="AJ56" s="5" t="n"/>
      <c r="AK56" s="5" t="n"/>
      <c r="AL56" s="5" t="n"/>
      <c r="AM56" s="5" t="inlineStr">
        <is>
          <t>INR crore</t>
        </is>
      </c>
      <c r="AN56" s="5" t="inlineStr">
        <is>
          <t>Hit</t>
        </is>
      </c>
      <c r="AO56" s="18" t="n"/>
      <c r="AP56" s="19" t="inlineStr">
        <is>
          <t>Positive reviews (63% on Rotten Tomatoes) for Aamir Khan's committed performance and its warmth, with criticism that it is preachy and less affecting than Taare Zameen Par.</t>
        </is>
      </c>
      <c r="AQ56" s="19" t="inlineStr">
        <is>
          <t>Released with closed captions, audio description and Indian Sign Language together; after its theatrical run it was released on YouTube for ₹100 in India instead of going straight to a streaming service.</t>
        </is>
      </c>
      <c r="AR56" s="5" t="inlineStr">
        <is>
          <t>SOURCE-061</t>
        </is>
      </c>
      <c r="AS56" s="5" t="inlineStr">
        <is>
          <t>Medium</t>
        </is>
      </c>
      <c r="AT56" s="5" t="inlineStr">
        <is>
          <t>Wikipedia's 'est. ₹266.49 crore' box office is not labelled worldwide, gross or nett in the source summary and is not entered. Reported as the seventh-highest-grossing Hindi film of 2025. Awards not listed on the page as of the research date.</t>
        </is>
      </c>
    </row>
    <row r="57" ht="79" customHeight="1">
      <c r="A57" s="15" t="inlineStr">
        <is>
          <t>FILM-056</t>
        </is>
      </c>
      <c r="B57" s="5" t="inlineStr">
        <is>
          <t>Coolie</t>
        </is>
      </c>
      <c r="C57" s="16" t="n">
        <v>45883</v>
      </c>
      <c r="D57" s="17" t="n">
        <v>2025</v>
      </c>
      <c r="E57" s="5" t="inlineStr">
        <is>
          <t>2020s</t>
        </is>
      </c>
      <c r="F57" s="5" t="inlineStr">
        <is>
          <t>Tamil</t>
        </is>
      </c>
      <c r="G57" s="5" t="inlineStr">
        <is>
          <t>Action thriller</t>
        </is>
      </c>
      <c r="H57" s="5" t="n"/>
      <c r="I57" s="17" t="n">
        <v>170</v>
      </c>
      <c r="J57" s="5" t="inlineStr">
        <is>
          <t>Lokesh Kanagaraj</t>
        </is>
      </c>
      <c r="K57" s="5" t="inlineStr">
        <is>
          <t>Kalanithi Maran</t>
        </is>
      </c>
      <c r="L57" s="5" t="inlineStr">
        <is>
          <t>Sun Pictures</t>
        </is>
      </c>
      <c r="M57" s="5" t="inlineStr">
        <is>
          <t>Lokesh Kanagaraj; Chandhru Anbazhagan</t>
        </is>
      </c>
      <c r="N57" s="5" t="n"/>
      <c r="O57" s="5" t="inlineStr">
        <is>
          <t>Anirudh Ravichander</t>
        </is>
      </c>
      <c r="P57" s="5" t="inlineStr">
        <is>
          <t>Anirudh Ravichander</t>
        </is>
      </c>
      <c r="Q57" s="5" t="n"/>
      <c r="R57" s="5" t="inlineStr">
        <is>
          <t>Dahaa</t>
        </is>
      </c>
      <c r="S57" s="5" t="n"/>
      <c r="T57" s="5" t="inlineStr">
        <is>
          <t>Cameo</t>
        </is>
      </c>
      <c r="U57" s="18" t="n"/>
      <c r="V57" s="5" t="inlineStr">
        <is>
          <t>Leader of a global crime syndicate</t>
        </is>
      </c>
      <c r="W57" s="5" t="n"/>
      <c r="X57" s="19" t="inlineStr">
        <is>
          <t>In his first Tamil film, Aamir Khan makes a cameo as Dahaa, revealed as the leader of a global syndicate and the son of the villain Kakkar, in Lokesh Kanagaraj's Rajinikanth action thriller. He has said he accepted the part without reading the script because he admires Rajinikanth. The sources do not describe the cameo's length or reception.</t>
        </is>
      </c>
      <c r="Y57" s="19" t="n"/>
      <c r="Z57" s="19" t="n"/>
      <c r="AA57" s="19" t="n"/>
      <c r="AB57" s="19" t="n"/>
      <c r="AC57" s="5" t="n"/>
      <c r="AD57" s="5" t="n"/>
      <c r="AE57" s="5" t="inlineStr">
        <is>
          <t>None</t>
        </is>
      </c>
      <c r="AF57" s="20" t="n">
        <v>0</v>
      </c>
      <c r="AG57" s="19" t="inlineStr">
        <is>
          <t>No meaningful romance</t>
        </is>
      </c>
      <c r="AH57" s="5" t="inlineStr">
        <is>
          <t>₹350–400 crore</t>
        </is>
      </c>
      <c r="AI57" s="5" t="n"/>
      <c r="AJ57" s="5" t="n"/>
      <c r="AK57" s="5" t="n"/>
      <c r="AL57" s="5" t="inlineStr">
        <is>
          <t>₹514–675 crore</t>
        </is>
      </c>
      <c r="AM57" s="5" t="inlineStr">
        <is>
          <t>INR crore</t>
        </is>
      </c>
      <c r="AN57" s="5" t="inlineStr">
        <is>
          <t>Commercially successful</t>
        </is>
      </c>
      <c r="AO57" s="18" t="n"/>
      <c r="AP57" s="19" t="inlineStr">
        <is>
          <t>Mixed reviews (63% on Rotten Tomatoes); Rajinikanth and the action were praised, the narrative less so.</t>
        </is>
      </c>
      <c r="AQ57" s="19" t="n"/>
      <c r="AR57" s="5" t="inlineStr">
        <is>
          <t>SOURCE-062; SOURCE-001</t>
        </is>
      </c>
      <c r="AS57" s="5" t="inlineStr">
        <is>
          <t>Low</t>
        </is>
      </c>
      <c r="AT57" s="5" t="inlineStr">
        <is>
          <t>Budget and worldwide-gross estimates vary widely and are entered as ranges. Released with Telugu, Hindi and Kannada dubs. Wikipedia's filmography describes the role as a special appearance.</t>
        </is>
      </c>
    </row>
    <row r="58" ht="79" customHeight="1">
      <c r="A58" s="15" t="inlineStr">
        <is>
          <t>FILM-057</t>
        </is>
      </c>
      <c r="B58" s="5" t="inlineStr">
        <is>
          <t>Happy Patel: Khatarnak Jasoos</t>
        </is>
      </c>
      <c r="C58" s="16" t="n">
        <v>46038</v>
      </c>
      <c r="D58" s="17" t="n">
        <v>2026</v>
      </c>
      <c r="E58" s="5" t="inlineStr">
        <is>
          <t>2020s</t>
        </is>
      </c>
      <c r="F58" s="5" t="inlineStr">
        <is>
          <t>Hindi</t>
        </is>
      </c>
      <c r="G58" s="5" t="inlineStr">
        <is>
          <t>Spy comedy</t>
        </is>
      </c>
      <c r="H58" s="5" t="n"/>
      <c r="I58" s="18" t="n"/>
      <c r="J58" s="5" t="inlineStr">
        <is>
          <t>Vir Das; Kavi Shastri</t>
        </is>
      </c>
      <c r="K58" s="5" t="inlineStr">
        <is>
          <t>Aamir Khan; Aparna Purohit; Vir Das; Kavi Shastri</t>
        </is>
      </c>
      <c r="L58" s="5" t="inlineStr">
        <is>
          <t>Aamir Khan Productions</t>
        </is>
      </c>
      <c r="M58" s="5" t="n"/>
      <c r="N58" s="5" t="n"/>
      <c r="O58" s="5" t="n"/>
      <c r="P58" s="5" t="n"/>
      <c r="Q58" s="5" t="n"/>
      <c r="R58" s="5" t="inlineStr">
        <is>
          <t>Jimmy Mario</t>
        </is>
      </c>
      <c r="S58" s="5" t="n"/>
      <c r="T58" s="5" t="inlineStr">
        <is>
          <t>Cameo</t>
        </is>
      </c>
      <c r="U58" s="18" t="n"/>
      <c r="V58" s="5" t="n"/>
      <c r="W58" s="5" t="n"/>
      <c r="X58" s="19" t="inlineStr">
        <is>
          <t>Aamir Khan makes a cameo as Jimmy Mario in this spy comedy directed by and starring Vir Das, which he also produced. The sources consulted give the character's name but not the length or content of his scenes. Vir Das plays the title role opposite Mithila Palkar, with Mona Singh and Sharib Hashmi in support.</t>
        </is>
      </c>
      <c r="Y58" s="19" t="n"/>
      <c r="Z58" s="19" t="n"/>
      <c r="AA58" s="19" t="n"/>
      <c r="AB58" s="19" t="n"/>
      <c r="AC58" s="5" t="n"/>
      <c r="AD58" s="5" t="n"/>
      <c r="AE58" s="5" t="inlineStr">
        <is>
          <t>None</t>
        </is>
      </c>
      <c r="AF58" s="20" t="n">
        <v>0</v>
      </c>
      <c r="AG58" s="19" t="inlineStr">
        <is>
          <t>No meaningful romance</t>
        </is>
      </c>
      <c r="AH58" s="5" t="n"/>
      <c r="AI58" s="5" t="n"/>
      <c r="AJ58" s="5" t="n"/>
      <c r="AK58" s="5" t="n"/>
      <c r="AL58" s="5" t="n"/>
      <c r="AM58" s="5" t="inlineStr">
        <is>
          <t>INR crore</t>
        </is>
      </c>
      <c r="AN58" s="5" t="n"/>
      <c r="AO58" s="18" t="n"/>
      <c r="AP58" s="19" t="inlineStr">
        <is>
          <t>Mixed (45% of 11 critics on Rotten Tomatoes): called messy and unfocused by some, chaotic fun by others.</t>
        </is>
      </c>
      <c r="AQ58" s="19" t="n"/>
      <c r="AR58" s="5" t="inlineStr">
        <is>
          <t>SOURCE-063; SOURCE-001</t>
        </is>
      </c>
      <c r="AS58" s="5" t="inlineStr">
        <is>
          <t>Medium</t>
        </is>
      </c>
      <c r="AT58" s="5" t="inlineStr">
        <is>
          <t>Wikipedia's ₹6.84 crore box office has no nett/gross label and is not entered. Runtime, writers and composers not captured.</t>
        </is>
      </c>
    </row>
  </sheetData>
  <autoFilter ref="A1:AT58"/>
  <conditionalFormatting sqref="AF2:AF258">
    <cfRule type="colorScale" priority="1">
      <colorScale>
        <cfvo type="num" val="0"/>
        <cfvo type="num" val="5"/>
        <cfvo type="num" val="10"/>
        <color rgb="00FFFFFF"/>
        <color rgb="00FCE7B2"/>
        <color rgb="00E07B39"/>
      </colorScale>
    </cfRule>
  </conditionalFormatting>
  <dataValidations count="5">
    <dataValidation sqref="T2:T258" showDropDown="0" showInputMessage="0" showErrorMessage="1" allowBlank="1" errorTitle="Role Type" error="Choose a value from the list." type="list">
      <formula1>"Lead,Co-lead,Ensemble lead,Supporting,Antagonist,Extended special appearance,Cameo,Self appearance,Voice role,Narrator,Child role"</formula1>
    </dataValidation>
    <dataValidation sqref="AE2:AE258" showDropDown="0" showInputMessage="0" showErrorMessage="1" allowBlank="1" errorTitle="Romance Presence" error="Choose a value from the list." type="list">
      <formula1>"None,Implied,Minor,Secondary,Major,Central"</formula1>
    </dataValidation>
    <dataValidation sqref="AF2:AF258" showDropDown="0" showInputMessage="0" showErrorMessage="1" allowBlank="1" errorTitle="Romance Centrality Score" error="Enter a score from 0 to 10." type="decimal" operator="between">
      <formula1>0</formula1>
      <formula2>10</formula2>
    </dataValidation>
    <dataValidation sqref="AG2:AG258" showDropDown="0" showInputMessage="0" showErrorMessage="1" allowBlank="1" errorTitle="Overall Relationship Classification" error="Choose a value from the list." type="list">
      <formula1>Overview!$AN$2:$AN$20</formula1>
    </dataValidation>
    <dataValidation sqref="AS2:AS258"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3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0" customWidth="1" min="5" max="5"/>
    <col width="20" customWidth="1" min="6" max="6"/>
    <col width="20" customWidth="1" min="7" max="7"/>
    <col width="18" customWidth="1" min="8" max="8"/>
    <col width="14" customWidth="1" min="9" max="9"/>
    <col width="30" customWidth="1" min="10" max="10"/>
    <col width="22" customWidth="1" min="11" max="11"/>
    <col width="36" customWidth="1" min="12" max="12"/>
    <col width="18" customWidth="1" min="13" max="13"/>
    <col width="36" customWidth="1" min="14" max="14"/>
    <col width="36" customWidth="1" min="15" max="15"/>
    <col width="36" customWidth="1" min="16" max="16"/>
    <col width="10" customWidth="1" min="17" max="17"/>
    <col width="40" customWidth="1" min="18" max="18"/>
    <col width="10" customWidth="1" min="19" max="19"/>
    <col width="24" customWidth="1" min="20" max="20"/>
    <col width="40" customWidth="1" min="21" max="21"/>
    <col width="10" customWidth="1" min="22" max="22"/>
    <col width="40" customWidth="1" min="23" max="23"/>
    <col width="10" customWidth="1" min="24" max="24"/>
    <col width="10" customWidth="1" min="25" max="25"/>
    <col width="10" customWidth="1" min="26" max="26"/>
    <col width="10" customWidth="1" min="27" max="27"/>
    <col width="10" customWidth="1" min="28" max="28"/>
    <col width="36" customWidth="1" min="29" max="29"/>
    <col width="13" customWidth="1" min="30" max="30"/>
    <col width="13" customWidth="1" min="31" max="31"/>
    <col width="14" customWidth="1" min="32" max="32"/>
    <col width="14" customWidth="1" min="33" max="33"/>
    <col width="14" customWidth="1" min="34" max="34"/>
    <col width="13" customWidth="1" min="35" max="35"/>
    <col width="14" customWidth="1" min="36" max="36"/>
    <col width="36" customWidth="1" min="37" max="37"/>
    <col width="36" customWidth="1" min="38" max="38"/>
    <col width="30" customWidth="1" min="39" max="39"/>
    <col width="14" customWidth="1" min="40" max="40"/>
    <col width="16" customWidth="1" min="41" max="41"/>
    <col width="30" customWidth="1" min="42" max="42"/>
    <col width="60" customWidth="1" min="43" max="43"/>
    <col width="50" customWidth="1" min="44" max="44"/>
    <col width="22" customWidth="1" min="45" max="45"/>
    <col width="12" customWidth="1" min="46" max="46"/>
  </cols>
  <sheetData>
    <row r="1" ht="51" customHeight="1">
      <c r="A1" s="12" t="inlineStr">
        <is>
          <t>Pairing ID</t>
        </is>
      </c>
      <c r="B1" s="12" t="inlineStr">
        <is>
          <t>Film ID</t>
        </is>
      </c>
      <c r="C1" s="12" t="inlineStr">
        <is>
          <t>Film</t>
        </is>
      </c>
      <c r="D1" s="12" t="inlineStr">
        <is>
          <t>Release Year</t>
        </is>
      </c>
      <c r="E1" s="12" t="inlineStr">
        <is>
          <t>Actor’s Character</t>
        </is>
      </c>
      <c r="F1" s="12" t="inlineStr">
        <is>
          <t>Actress</t>
        </is>
      </c>
      <c r="G1" s="12" t="inlineStr">
        <is>
          <t>Actress’s Character</t>
        </is>
      </c>
      <c r="H1" s="12" t="inlineStr">
        <is>
          <t>Actress Role Prominence</t>
        </is>
      </c>
      <c r="I1" s="12" t="inlineStr">
        <is>
          <t>Principal Female Lead</t>
        </is>
      </c>
      <c r="J1" s="13" t="inlineStr">
        <is>
          <t>Relationship Category</t>
        </is>
      </c>
      <c r="K1" s="12" t="inlineStr">
        <is>
          <t>Initial Relationship</t>
        </is>
      </c>
      <c r="L1" s="12" t="inlineStr">
        <is>
          <t>How They Meet</t>
        </is>
      </c>
      <c r="M1" s="12" t="inlineStr">
        <is>
          <t>Who Initiates</t>
        </is>
      </c>
      <c r="N1" s="13" t="inlineStr">
        <is>
          <t>Courtship Pattern</t>
        </is>
      </c>
      <c r="O1" s="13" t="inlineStr">
        <is>
          <t>Emotional Dynamic</t>
        </is>
      </c>
      <c r="P1" s="13" t="inlineStr">
        <is>
          <t>Pair’s Principal Conflict</t>
        </is>
      </c>
      <c r="Q1" s="14" t="inlineStr">
        <is>
          <t>Pair Friction Score</t>
        </is>
      </c>
      <c r="R1" s="13" t="inlineStr">
        <is>
          <t>Pair Friction Explanation</t>
        </is>
      </c>
      <c r="S1" s="14" t="inlineStr">
        <is>
          <t>External Opposition Score</t>
        </is>
      </c>
      <c r="T1" s="12" t="inlineStr">
        <is>
          <t>External Opposition Source</t>
        </is>
      </c>
      <c r="U1" s="13" t="inlineStr">
        <is>
          <t>External Opposition Explanation</t>
        </is>
      </c>
      <c r="V1" s="14" t="inlineStr">
        <is>
          <t>Lover-Boy Score</t>
        </is>
      </c>
      <c r="W1" s="13" t="inlineStr">
        <is>
          <t>Lover-Boy Explanation</t>
        </is>
      </c>
      <c r="X1" s="14" t="inlineStr">
        <is>
          <t>Romance Centrality Score</t>
        </is>
      </c>
      <c r="Y1" s="14" t="inlineStr">
        <is>
          <t>Relationship Health Score</t>
        </is>
      </c>
      <c r="Z1" s="14" t="inlineStr">
        <is>
          <t>Mutuality Score</t>
        </is>
      </c>
      <c r="AA1" s="14" t="inlineStr">
        <is>
          <t>Female Agency Score</t>
        </is>
      </c>
      <c r="AB1" s="14" t="inlineStr">
        <is>
          <t>Chemistry Score</t>
        </is>
      </c>
      <c r="AC1" s="13" t="inlineStr">
        <is>
          <t>Chemistry Explanation</t>
        </is>
      </c>
      <c r="AD1" s="12" t="inlineStr">
        <is>
          <t>Playful Banter</t>
        </is>
      </c>
      <c r="AE1" s="12" t="inlineStr">
        <is>
          <t>Serious Conflict</t>
        </is>
      </c>
      <c r="AF1" s="12" t="inlineStr">
        <is>
          <t>Jealousy or Possessiveness</t>
        </is>
      </c>
      <c r="AG1" s="12" t="inlineStr">
        <is>
          <t>Deception or Mistaken Identity</t>
        </is>
      </c>
      <c r="AH1" s="12" t="inlineStr">
        <is>
          <t>Separation or Estrangement</t>
        </is>
      </c>
      <c r="AI1" s="12" t="inlineStr">
        <is>
          <t>Sacrifice</t>
        </is>
      </c>
      <c r="AJ1" s="12" t="inlineStr">
        <is>
          <t>Couple Functions as Team</t>
        </is>
      </c>
      <c r="AK1" s="13" t="inlineStr">
        <is>
          <t>Romantic Transformation of Actor’s Character</t>
        </is>
      </c>
      <c r="AL1" s="13" t="inlineStr">
        <is>
          <t>Transformation of Female Character</t>
        </is>
      </c>
      <c r="AM1" s="12" t="inlineStr">
        <is>
          <t>Relationship Outcome</t>
        </is>
      </c>
      <c r="AN1" s="12" t="inlineStr">
        <is>
          <t>Marriage or Long-Term Union</t>
        </is>
      </c>
      <c r="AO1" s="12" t="inlineStr">
        <is>
          <t>Happy, Tragic or Unresolved Ending</t>
        </is>
      </c>
      <c r="AP1" s="12" t="inlineStr">
        <is>
          <t>Major Romantic Songs</t>
        </is>
      </c>
      <c r="AQ1" s="13" t="inlineStr">
        <is>
          <t>Relationship Analysis</t>
        </is>
      </c>
      <c r="AR1" s="13" t="inlineStr">
        <is>
          <t>Contemporary Critical Reading</t>
        </is>
      </c>
      <c r="AS1" s="12" t="inlineStr">
        <is>
          <t>Source IDs</t>
        </is>
      </c>
      <c r="AT1" s="12" t="inlineStr">
        <is>
          <t>Confidence Grade</t>
        </is>
      </c>
    </row>
    <row r="2" ht="109" customHeight="1">
      <c r="A2" s="15" t="inlineStr">
        <is>
          <t>PAIR-001</t>
        </is>
      </c>
      <c r="B2" s="18" t="inlineStr">
        <is>
          <t>FILM-004</t>
        </is>
      </c>
      <c r="C2" s="5" t="inlineStr">
        <is>
          <t>Qayamat Se Qayamat Tak</t>
        </is>
      </c>
      <c r="D2" s="17" t="n">
        <v>1988</v>
      </c>
      <c r="E2" s="5" t="inlineStr">
        <is>
          <t>Rajveer "Raj" Singh</t>
        </is>
      </c>
      <c r="F2" s="5" t="inlineStr">
        <is>
          <t>Juhi Chawla</t>
        </is>
      </c>
      <c r="G2" s="5" t="inlineStr">
        <is>
          <t>Rashmi Singh</t>
        </is>
      </c>
      <c r="H2" s="5" t="inlineStr">
        <is>
          <t>Female lead</t>
        </is>
      </c>
      <c r="I2" s="5" t="inlineStr">
        <is>
          <t>Yes</t>
        </is>
      </c>
      <c r="J2" s="19" t="inlineStr">
        <is>
          <t>Tragic lovers</t>
        </is>
      </c>
      <c r="K2" s="5" t="inlineStr">
        <is>
          <t>Strangers from feuding Rajput families</t>
        </is>
      </c>
      <c r="L2" s="5" t="inlineStr">
        <is>
          <t>Raj gatecrashes Rashmi's birthday party posing as Roop Singh, the suitor her father favours; they meet again on a holiday trip.</t>
        </is>
      </c>
      <c r="M2" s="5" t="inlineStr">
        <is>
          <t>Raj</t>
        </is>
      </c>
      <c r="N2" s="19" t="inlineStr">
        <is>
          <t>Chance holiday reunion grows into open courtship, then secret contact at home and elopement.</t>
        </is>
      </c>
      <c r="O2" s="19" t="inlineStr">
        <is>
          <t>Youthful, idealistic and mutual devotion</t>
        </is>
      </c>
      <c r="P2" s="19" t="inlineStr">
        <is>
          <t>Rashmi's shock on learning that Raj's father killed her uncle; otherwise the couple is aligned.</t>
        </is>
      </c>
      <c r="Q2" s="20" t="n">
        <v>2</v>
      </c>
      <c r="R2" s="19" t="inlineStr">
        <is>
          <t>Only a brief rupture when the family history surfaces and his early disguise; the lovers never turn against each other.</t>
        </is>
      </c>
      <c r="S2" s="20" t="n">
        <v>10</v>
      </c>
      <c r="T2" s="5" t="inlineStr">
        <is>
          <t>Family</t>
        </is>
      </c>
      <c r="U2" s="19" t="inlineStr">
        <is>
          <t>Rashmi's father arranges her marriage, threatens to kill Raj, feigns acceptance and sends assassins whose bullets kill her.</t>
        </is>
      </c>
      <c r="V2" s="20" t="n">
        <v>10</v>
      </c>
      <c r="W2" s="19" t="inlineStr">
        <is>
          <t>Romance is Raj's entire motivation; courtship, rebellion, sacrifice and a death for love, in the debut role that defined Aamir Khan's romantic image.</t>
        </is>
      </c>
      <c r="X2" s="20" t="n">
        <v>10</v>
      </c>
      <c r="Y2" s="20" t="n">
        <v>8</v>
      </c>
      <c r="Z2" s="20" t="n">
        <v>9</v>
      </c>
      <c r="AA2" s="20" t="n">
        <v>5</v>
      </c>
      <c r="AB2" s="20" t="n">
        <v>9</v>
      </c>
      <c r="AC2" s="19" t="inlineStr">
        <is>
          <t>The pairing launched Juhi Chawla and Aamir Khan as a hit screen couple, reunited in several later films; the lead performances and songs remain the film's most remembered element.</t>
        </is>
      </c>
      <c r="AD2" s="5" t="inlineStr">
        <is>
          <t>Yes</t>
        </is>
      </c>
      <c r="AE2" s="5" t="inlineStr">
        <is>
          <t>Partial</t>
        </is>
      </c>
      <c r="AF2" s="5" t="inlineStr">
        <is>
          <t>No</t>
        </is>
      </c>
      <c r="AG2" s="5" t="inlineStr">
        <is>
          <t>Yes</t>
        </is>
      </c>
      <c r="AH2" s="5" t="inlineStr">
        <is>
          <t>Yes</t>
        </is>
      </c>
      <c r="AI2" s="5" t="inlineStr">
        <is>
          <t>Yes</t>
        </is>
      </c>
      <c r="AJ2" s="5" t="inlineStr">
        <is>
          <t>Yes</t>
        </is>
      </c>
      <c r="AK2" s="19" t="inlineStr">
        <is>
          <t>Obedient son becomes a rebel who rejects his family's honour code for love.</t>
        </is>
      </c>
      <c r="AL2" s="19" t="inlineStr">
        <is>
          <t>Sheltered daughter defies her father, breaks an arranged engagement and elopes.</t>
        </is>
      </c>
      <c r="AM2" s="5" t="inlineStr">
        <is>
          <t>Rashmi is shot by killers hired by her father; Raj kills himself beside her as both families arrive.</t>
        </is>
      </c>
      <c r="AN2" s="5" t="inlineStr">
        <is>
          <t>No</t>
        </is>
      </c>
      <c r="AO2" s="5" t="inlineStr">
        <is>
          <t>Tragic</t>
        </is>
      </c>
      <c r="AP2" s="5" t="inlineStr">
        <is>
          <t>Ae Mere Humsafar; Akele Hain To Kya Gham Hai; Gazab Ka Hai Din</t>
        </is>
      </c>
      <c r="AQ2" s="19" t="inlineStr">
        <is>
          <t>The film's romance is almost frictionless inside the couple: nearly all conflict comes from the inherited feud, which makes QSQT the purest example of external opposition in the filmography. Raj's disguise at the party is a genre flourish rather than manipulation, and Rashmi's decision to leave home gives her real, if limited, agency. The tragedy indicts patriarchal honour rather than the lovers, establishing the template of young couple versus family that runs through Aamir Khan's early career.</t>
        </is>
      </c>
      <c r="AR2" s="19" t="inlineStr">
        <is>
          <t>Framed in 1988 as wholesome, family-friendly romance. A modern reading still finds the relationship healthy and consensual; the violence belongs to the fathers, making the film an early mainstream critique of honour-based control, though Rashmi's choices are largely reactive to men's decisions.</t>
        </is>
      </c>
      <c r="AS2" s="5" t="inlineStr">
        <is>
          <t>SOURCE-007</t>
        </is>
      </c>
      <c r="AT2" s="5" t="inlineStr">
        <is>
          <t>Medium</t>
        </is>
      </c>
    </row>
    <row r="3" ht="94" customHeight="1">
      <c r="A3" s="15" t="inlineStr">
        <is>
          <t>PAIR-002</t>
        </is>
      </c>
      <c r="B3" s="18" t="inlineStr">
        <is>
          <t>FILM-005</t>
        </is>
      </c>
      <c r="C3" s="5" t="inlineStr">
        <is>
          <t>Raakh</t>
        </is>
      </c>
      <c r="D3" s="17" t="n">
        <v>1989</v>
      </c>
      <c r="E3" s="5" t="inlineStr">
        <is>
          <t>Amir Hussein</t>
        </is>
      </c>
      <c r="F3" s="5" t="inlineStr">
        <is>
          <t>Supriya Pathak</t>
        </is>
      </c>
      <c r="G3" s="5" t="inlineStr">
        <is>
          <t>Neeta</t>
        </is>
      </c>
      <c r="H3" s="5" t="inlineStr">
        <is>
          <t>Female lead</t>
        </is>
      </c>
      <c r="I3" s="5" t="inlineStr">
        <is>
          <t>Yes</t>
        </is>
      </c>
      <c r="J3" s="19" t="inlineStr">
        <is>
          <t>Romance subordinate to another genre</t>
        </is>
      </c>
      <c r="K3" s="5" t="inlineStr">
        <is>
          <t>Existing attachment between a young man and an older, more pragmatic woman</t>
        </is>
      </c>
      <c r="L3" s="5" t="n"/>
      <c r="M3" s="5" t="inlineStr">
        <is>
          <t>Unclear</t>
        </is>
      </c>
      <c r="N3" s="19" t="inlineStr">
        <is>
          <t>Not shown as a courtship; an established but mismatched attachment.</t>
        </is>
      </c>
      <c r="O3" s="19" t="inlineStr">
        <is>
          <t>His idealistic intensity against her pragmatism</t>
        </is>
      </c>
      <c r="P3" s="19" t="inlineStr">
        <is>
          <t>She likes him but does not share his plans for a future together; after the assault she chooses to rebuild her life rather than follow his revenge.</t>
        </is>
      </c>
      <c r="Q3" s="20" t="n">
        <v>4</v>
      </c>
      <c r="R3" s="19" t="inlineStr">
        <is>
          <t>Real but quiet incompatibility of outlook; no hostility between them.</t>
        </is>
      </c>
      <c r="S3" s="20" t="n">
        <v>9</v>
      </c>
      <c r="T3" s="5" t="inlineStr">
        <is>
          <t>Crime; Villain</t>
        </is>
      </c>
      <c r="U3" s="19" t="inlineStr">
        <is>
          <t>The crime boss Hassan Karmali rapes Neeta while Amir is forced to watch; the violence and its aftermath end any shared future.</t>
        </is>
      </c>
      <c r="V3" s="20" t="n">
        <v>3</v>
      </c>
      <c r="W3" s="19" t="inlineStr">
        <is>
          <t>Love is the trigger for the plot, but Amir's identity is organised around revenge, not courtship or devotion.</t>
        </is>
      </c>
      <c r="X3" s="20" t="n">
        <v>4</v>
      </c>
      <c r="Y3" s="20" t="n">
        <v>5</v>
      </c>
      <c r="Z3" s="20" t="n">
        <v>4</v>
      </c>
      <c r="AA3" s="20" t="n">
        <v>6</v>
      </c>
      <c r="AB3" s="18" t="n"/>
      <c r="AC3" s="19" t="inlineStr">
        <is>
          <t>Not scored: no fetched source evaluates the pairing.</t>
        </is>
      </c>
      <c r="AD3" s="5" t="inlineStr">
        <is>
          <t>Unclear</t>
        </is>
      </c>
      <c r="AE3" s="5" t="inlineStr">
        <is>
          <t>Partial</t>
        </is>
      </c>
      <c r="AF3" s="5" t="inlineStr">
        <is>
          <t>Unclear</t>
        </is>
      </c>
      <c r="AG3" s="5" t="inlineStr">
        <is>
          <t>Unclear</t>
        </is>
      </c>
      <c r="AH3" s="5" t="inlineStr">
        <is>
          <t>Yes</t>
        </is>
      </c>
      <c r="AI3" s="5" t="inlineStr">
        <is>
          <t>No</t>
        </is>
      </c>
      <c r="AJ3" s="5" t="inlineStr">
        <is>
          <t>No</t>
        </is>
      </c>
      <c r="AK3" s="19" t="inlineStr">
        <is>
          <t>The assault turns his love into a revenge obsession that consumes him.</t>
        </is>
      </c>
      <c r="AL3" s="19" t="inlineStr">
        <is>
          <t>A survivor who refuses to be defined by the assault and slowly rebuilds her life.</t>
        </is>
      </c>
      <c r="AM3" s="5" t="inlineStr">
        <is>
          <t>They go separate ways: Neeta reconstructs her life while Amir ends on death row.</t>
        </is>
      </c>
      <c r="AN3" s="5" t="inlineStr">
        <is>
          <t>No</t>
        </is>
      </c>
      <c r="AO3" s="5" t="inlineStr">
        <is>
          <t>Tragic</t>
        </is>
      </c>
      <c r="AP3" s="5" t="n"/>
      <c r="AQ3" s="19" t="inlineStr">
        <is>
          <t>Raakh inverts the romantic template Aamir Khan established the same year. The relationship is already unequal before the crime, and the woman's response to violence is to reclaim her own life rather than wait for rescue. The hero's revenge is presented as corrosive rather than redemptive, so the romance functions as an origin wound instead of a goal, giving the film a very low lover-boy score despite high external opposition.</t>
        </is>
      </c>
      <c r="AR3" s="19" t="inlineStr">
        <is>
          <t>Received as a stylish, bleak crime film. A modern reading values Neeta's autonomy, while noting that the assault still serves mainly as motivation for the male protagonist's story.</t>
        </is>
      </c>
      <c r="AS3" s="5" t="inlineStr">
        <is>
          <t>SOURCE-008</t>
        </is>
      </c>
      <c r="AT3" s="5" t="inlineStr">
        <is>
          <t>Low</t>
        </is>
      </c>
    </row>
    <row r="4" ht="79" customHeight="1">
      <c r="A4" s="15" t="inlineStr">
        <is>
          <t>PAIR-003</t>
        </is>
      </c>
      <c r="B4" s="18" t="inlineStr">
        <is>
          <t>FILM-006</t>
        </is>
      </c>
      <c r="C4" s="5" t="inlineStr">
        <is>
          <t>Love Love Love</t>
        </is>
      </c>
      <c r="D4" s="17" t="n">
        <v>1989</v>
      </c>
      <c r="E4" s="5" t="inlineStr">
        <is>
          <t>Amit Verma</t>
        </is>
      </c>
      <c r="F4" s="5" t="inlineStr">
        <is>
          <t>Juhi Chawla</t>
        </is>
      </c>
      <c r="G4" s="5" t="inlineStr">
        <is>
          <t>Reema Goswami</t>
        </is>
      </c>
      <c r="H4" s="5" t="inlineStr">
        <is>
          <t>Female lead</t>
        </is>
      </c>
      <c r="I4" s="5" t="inlineStr">
        <is>
          <t>Yes</t>
        </is>
      </c>
      <c r="J4" s="19" t="inlineStr">
        <is>
          <t>United couple versus external world</t>
        </is>
      </c>
      <c r="K4" s="5" t="inlineStr">
        <is>
          <t>Schoolmates from different classes</t>
        </is>
      </c>
      <c r="L4" s="5" t="inlineStr">
        <is>
          <t>They study at the same school.</t>
        </is>
      </c>
      <c r="M4" s="5" t="inlineStr">
        <is>
          <t>Unclear</t>
        </is>
      </c>
      <c r="N4" s="19" t="inlineStr">
        <is>
          <t>A school romance that becomes serious before a violent rival intervenes.</t>
        </is>
      </c>
      <c r="O4" s="19" t="inlineStr">
        <is>
          <t>Mutual devotion under threat</t>
        </is>
      </c>
      <c r="P4" s="19" t="inlineStr">
        <is>
          <t>None directly; the separation is forced by threats against his family.</t>
        </is>
      </c>
      <c r="Q4" s="20" t="n">
        <v>1</v>
      </c>
      <c r="R4" s="19" t="inlineStr">
        <is>
          <t>No documented conflict between the lovers; they part only under coercion.</t>
        </is>
      </c>
      <c r="S4" s="20" t="n">
        <v>9</v>
      </c>
      <c r="T4" s="5" t="inlineStr">
        <is>
          <t>Villain; Class</t>
        </is>
      </c>
      <c r="U4" s="19" t="inlineStr">
        <is>
          <t>Vicky's obsession with Reema, threats to kill Amit's family, the class gap and an assassination attempt on Amit.</t>
        </is>
      </c>
      <c r="V4" s="20" t="n">
        <v>8</v>
      </c>
      <c r="W4" s="19" t="inlineStr">
        <is>
          <t>Amit is defined by his love for Reema and his persistence through humiliation and danger; action set pieces share the focus.</t>
        </is>
      </c>
      <c r="X4" s="20" t="n">
        <v>9</v>
      </c>
      <c r="Y4" s="20" t="n">
        <v>8</v>
      </c>
      <c r="Z4" s="20" t="n">
        <v>8</v>
      </c>
      <c r="AA4" s="20" t="n">
        <v>5</v>
      </c>
      <c r="AB4" s="20" t="n">
        <v>6</v>
      </c>
      <c r="AC4" s="19" t="inlineStr">
        <is>
          <t>Sold on the success of the pair's debut; the fetched source says viewers appreciated the film though it fell short of expectations.</t>
        </is>
      </c>
      <c r="AD4" s="5" t="inlineStr">
        <is>
          <t>Unclear</t>
        </is>
      </c>
      <c r="AE4" s="5" t="inlineStr">
        <is>
          <t>No</t>
        </is>
      </c>
      <c r="AF4" s="5" t="inlineStr">
        <is>
          <t>Unclear</t>
        </is>
      </c>
      <c r="AG4" s="5" t="inlineStr">
        <is>
          <t>Unclear</t>
        </is>
      </c>
      <c r="AH4" s="5" t="inlineStr">
        <is>
          <t>Yes</t>
        </is>
      </c>
      <c r="AI4" s="5" t="inlineStr">
        <is>
          <t>Yes</t>
        </is>
      </c>
      <c r="AJ4" s="5" t="inlineStr">
        <is>
          <t>Yes</t>
        </is>
      </c>
      <c r="AK4" s="19" t="inlineStr">
        <is>
          <t>A humiliated poor student learns to stand up to power for the woman he loves.</t>
        </is>
      </c>
      <c r="AL4" s="19" t="inlineStr">
        <is>
          <t>Reema moves from obedience to fleeing her own engagement party with Amit.</t>
        </is>
      </c>
      <c r="AM4" s="5" t="inlineStr">
        <is>
          <t>The couple escape and are reunited after Reema's father kills Vicky and his father.</t>
        </is>
      </c>
      <c r="AN4" s="5" t="inlineStr">
        <is>
          <t>Unclear</t>
        </is>
      </c>
      <c r="AO4" s="5" t="inlineStr">
        <is>
          <t>Happy</t>
        </is>
      </c>
      <c r="AP4" s="5" t="n"/>
      <c r="AQ4" s="19" t="inlineStr">
        <is>
          <t>Love Love Love repeats the QSQT structure of a mutually devoted young couple against outside power, but moves the threat from family honour to a rich, violent rival and his father. The lovers never turn on each other, and the resolution comes from a patriarch's intervention rather than the couple's own action, which caps Reema's agency.</t>
        </is>
      </c>
      <c r="AR4" s="19" t="inlineStr">
        <is>
          <t>Framed as a crowd-pleasing romance with action. A modern reading sees the rival's obsession and the use of threats as the film's real subject, resolved through vigilante killing rather than any institutional remedy.</t>
        </is>
      </c>
      <c r="AS4" s="5" t="inlineStr">
        <is>
          <t>SOURCE-009</t>
        </is>
      </c>
      <c r="AT4" s="5" t="inlineStr">
        <is>
          <t>Medium</t>
        </is>
      </c>
    </row>
    <row r="5" ht="79" customHeight="1">
      <c r="A5" s="15" t="inlineStr">
        <is>
          <t>PAIR-004</t>
        </is>
      </c>
      <c r="B5" s="18" t="inlineStr">
        <is>
          <t>FILM-008</t>
        </is>
      </c>
      <c r="C5" s="5" t="inlineStr">
        <is>
          <t>Tum Mere Ho</t>
        </is>
      </c>
      <c r="D5" s="17" t="n">
        <v>1990</v>
      </c>
      <c r="E5" s="5" t="inlineStr">
        <is>
          <t>Shiva</t>
        </is>
      </c>
      <c r="F5" s="5" t="inlineStr">
        <is>
          <t>Juhi Chawla</t>
        </is>
      </c>
      <c r="G5" s="5" t="inlineStr">
        <is>
          <t>Paro</t>
        </is>
      </c>
      <c r="H5" s="5" t="inlineStr">
        <is>
          <t>Female lead</t>
        </is>
      </c>
      <c r="I5" s="5" t="inlineStr">
        <is>
          <t>Yes</t>
        </is>
      </c>
      <c r="J5" s="19" t="inlineStr">
        <is>
          <t>Forbidden love</t>
        </is>
      </c>
      <c r="K5" s="5" t="inlineStr">
        <is>
          <t>Strangers from different social worlds</t>
        </is>
      </c>
      <c r="L5" s="5" t="inlineStr">
        <is>
          <t>Shiva's snake-charmer's music enchants Paro at a fair.</t>
        </is>
      </c>
      <c r="M5" s="5" t="inlineStr">
        <is>
          <t>Mutual</t>
        </is>
      </c>
      <c r="N5" s="19" t="inlineStr">
        <is>
          <t>Fairground enchantment grows into mutual love against her family's wishes.</t>
        </is>
      </c>
      <c r="O5" s="19" t="inlineStr">
        <is>
          <t>Fairy-tale, mutual devotion</t>
        </is>
      </c>
      <c r="P5" s="19" t="inlineStr">
        <is>
          <t>None documented between the lovers.</t>
        </is>
      </c>
      <c r="Q5" s="20" t="n">
        <v>1</v>
      </c>
      <c r="R5" s="19" t="inlineStr">
        <is>
          <t>The sources record no disagreement between Shiva and Paro.</t>
        </is>
      </c>
      <c r="S5" s="20" t="n">
        <v>9</v>
      </c>
      <c r="T5" s="5" t="inlineStr">
        <is>
          <t>Family; Community; Other</t>
        </is>
      </c>
      <c r="U5" s="19" t="inlineStr">
        <is>
          <t>Paro's father sends men to kill Shiva; she is bound by the custom imposed on child widows; a vengeful serpent tries to kill her.</t>
        </is>
      </c>
      <c r="V5" s="20" t="n">
        <v>8</v>
      </c>
      <c r="W5" s="19" t="inlineStr">
        <is>
          <t>Shiva's actions after meeting Paro are driven by love for her, though the supernatural revenge plot competes for focus.</t>
        </is>
      </c>
      <c r="X5" s="20" t="n">
        <v>8</v>
      </c>
      <c r="Y5" s="20" t="n">
        <v>7</v>
      </c>
      <c r="Z5" s="20" t="n">
        <v>8</v>
      </c>
      <c r="AA5" s="20" t="n">
        <v>3</v>
      </c>
      <c r="AB5" s="18" t="n"/>
      <c r="AC5" s="19" t="inlineStr">
        <is>
          <t>Not scored: the sources discuss the film's camp appeal, not the pairing.</t>
        </is>
      </c>
      <c r="AD5" s="5" t="inlineStr">
        <is>
          <t>Unclear</t>
        </is>
      </c>
      <c r="AE5" s="5" t="inlineStr">
        <is>
          <t>No</t>
        </is>
      </c>
      <c r="AF5" s="5" t="inlineStr">
        <is>
          <t>Unclear</t>
        </is>
      </c>
      <c r="AG5" s="5" t="inlineStr">
        <is>
          <t>Unclear</t>
        </is>
      </c>
      <c r="AH5" s="5" t="inlineStr">
        <is>
          <t>Partial</t>
        </is>
      </c>
      <c r="AI5" s="5" t="inlineStr">
        <is>
          <t>Unclear</t>
        </is>
      </c>
      <c r="AJ5" s="5" t="inlineStr">
        <is>
          <t>Unclear</t>
        </is>
      </c>
      <c r="AK5" s="19" t="inlineStr">
        <is>
          <t>Shiva's love for Paro draws him into the confrontation with the serpent that defines his destiny.</t>
        </is>
      </c>
      <c r="AL5" s="19" t="inlineStr">
        <is>
          <t>Not documented; Paro is chiefly the object of the curse and the custom.</t>
        </is>
      </c>
      <c r="AM5" s="5" t="inlineStr">
        <is>
          <t>Shiva forces the serpent to lift her curse; the sources imply but do not state that the lovers are united.</t>
        </is>
      </c>
      <c r="AN5" s="5" t="inlineStr">
        <is>
          <t>Unclear</t>
        </is>
      </c>
      <c r="AO5" s="5" t="n"/>
      <c r="AP5" s="5" t="inlineStr">
        <is>
          <t>Tum Mere Ho</t>
        </is>
      </c>
      <c r="AQ5" s="19" t="inlineStr">
        <is>
          <t>The romance sits inside a supernatural revenge plot but is structurally another family-opposition story. Its unusual element is the child-widow custom, which makes the obstacle social as well as paternal; one reviewer reads the snake mythology as a vehicle for resolving that patriarchal problem. Paro has little agency in the documented plot.</t>
        </is>
      </c>
      <c r="AR5" s="19" t="inlineStr">
        <is>
          <t>Treated at release as a fantasy potboiler and later as camp. A modern reading notes the film's engagement with widowhood customs, but the heroine remains largely passive.</t>
        </is>
      </c>
      <c r="AS5" s="5" t="inlineStr">
        <is>
          <t>SOURCE-012; SOURCE-013</t>
        </is>
      </c>
      <c r="AT5" s="5" t="inlineStr">
        <is>
          <t>Low</t>
        </is>
      </c>
    </row>
    <row r="6" ht="79" customHeight="1">
      <c r="A6" s="15" t="inlineStr">
        <is>
          <t>PAIR-005</t>
        </is>
      </c>
      <c r="B6" s="18" t="inlineStr">
        <is>
          <t>FILM-009</t>
        </is>
      </c>
      <c r="C6" s="5" t="inlineStr">
        <is>
          <t>Dil</t>
        </is>
      </c>
      <c r="D6" s="17" t="n">
        <v>1990</v>
      </c>
      <c r="E6" s="5" t="inlineStr">
        <is>
          <t>Raja Prasad</t>
        </is>
      </c>
      <c r="F6" s="5" t="inlineStr">
        <is>
          <t>Madhuri Dixit</t>
        </is>
      </c>
      <c r="G6" s="5" t="inlineStr">
        <is>
          <t>Madhu Mehra</t>
        </is>
      </c>
      <c r="H6" s="5" t="inlineStr">
        <is>
          <t>Female lead</t>
        </is>
      </c>
      <c r="I6" s="5" t="inlineStr">
        <is>
          <t>Yes</t>
        </is>
      </c>
      <c r="J6" s="19" t="inlineStr">
        <is>
          <t>Rivals to lovers</t>
        </is>
      </c>
      <c r="K6" s="5" t="inlineStr">
        <is>
          <t>College adversaries divided by class and family greed</t>
        </is>
      </c>
      <c r="L6" s="5" t="inlineStr">
        <is>
          <t>At college, where Raja fools the arrogant Madhu by pretending to be blind and mocks her when she discovers the trick.</t>
        </is>
      </c>
      <c r="M6" s="5" t="inlineStr">
        <is>
          <t>Mutual, after the college retreat</t>
        </is>
      </c>
      <c r="N6" s="19" t="inlineStr">
        <is>
          <t>A prank war escalates to a false accusation and a confrontation, then sudden mutual love and a secret marriage.</t>
        </is>
      </c>
      <c r="O6" s="19" t="inlineStr">
        <is>
          <t>Combative rivalry turning into fierce loyalty</t>
        </is>
      </c>
      <c r="P6" s="19" t="inlineStr">
        <is>
          <t>Humiliating pranks, Madhu's false accusation that Raja tried to rape her, and later his belief that she abandoned him.</t>
        </is>
      </c>
      <c r="Q6" s="20" t="n">
        <v>6</v>
      </c>
      <c r="R6" s="19" t="inlineStr">
        <is>
          <t>Recurring hostile pranks and a serious false accusation precede the romance; the later rupture is engineered by his father, so it is scored mainly as external.</t>
        </is>
      </c>
      <c r="S6" s="20" t="n">
        <v>9</v>
      </c>
      <c r="T6" s="5" t="inlineStr">
        <is>
          <t>Family; Class</t>
        </is>
      </c>
      <c r="U6" s="19" t="inlineStr">
        <is>
          <t>Hazari's greed and Mehra's class pride; both fathers disown the couple, and Hazari blackmails Madhu into giving up the marriage and lies to Raja.</t>
        </is>
      </c>
      <c r="V6" s="20" t="n">
        <v>8</v>
      </c>
      <c r="W6" s="19" t="inlineStr">
        <is>
          <t>After the prankster first half, Raja's life is organised around marrying and providing for Madhu against his father.</t>
        </is>
      </c>
      <c r="X6" s="20" t="n">
        <v>10</v>
      </c>
      <c r="Y6" s="20" t="n">
        <v>5</v>
      </c>
      <c r="Z6" s="20" t="n">
        <v>8</v>
      </c>
      <c r="AA6" s="20" t="n">
        <v>6</v>
      </c>
      <c r="AB6" s="20" t="n">
        <v>8</v>
      </c>
      <c r="AC6" s="19" t="inlineStr">
        <is>
          <t>Interpretive: the pairing anchored the year's highest-grossing film, Madhuri Dixit won Filmfare Best Actress and the love songs were major hits.</t>
        </is>
      </c>
      <c r="AD6" s="5" t="inlineStr">
        <is>
          <t>Yes</t>
        </is>
      </c>
      <c r="AE6" s="5" t="inlineStr">
        <is>
          <t>Yes</t>
        </is>
      </c>
      <c r="AF6" s="5" t="inlineStr">
        <is>
          <t>Unclear</t>
        </is>
      </c>
      <c r="AG6" s="5" t="inlineStr">
        <is>
          <t>Yes</t>
        </is>
      </c>
      <c r="AH6" s="5" t="inlineStr">
        <is>
          <t>Yes</t>
        </is>
      </c>
      <c r="AI6" s="5" t="inlineStr">
        <is>
          <t>Yes</t>
        </is>
      </c>
      <c r="AJ6" s="5" t="inlineStr">
        <is>
          <t>Yes</t>
        </is>
      </c>
      <c r="AK6" s="19" t="inlineStr">
        <is>
          <t>A spoiled prankster becomes a labouring husband who stands up to his father.</t>
        </is>
      </c>
      <c r="AL6" s="19" t="inlineStr">
        <is>
          <t>An arrogant heiress becomes a wife who gives up her marriage to pay for his emergency surgery.</t>
        </is>
      </c>
      <c r="AM6" s="5" t="inlineStr">
        <is>
          <t>Raja's mother reveals Hazari's blackmail; Raja rushes to the airport, Madhu has not boarded, and they reunite.</t>
        </is>
      </c>
      <c r="AN6" s="5" t="inlineStr">
        <is>
          <t>Yes</t>
        </is>
      </c>
      <c r="AO6" s="5" t="inlineStr">
        <is>
          <t>Happy</t>
        </is>
      </c>
      <c r="AP6" s="5" t="inlineStr">
        <is>
          <t>Mujhe Neend Na Aaye; Hum Pyar Karne Wale; Saansein Teri Chalti Rahe</t>
        </is>
      </c>
      <c r="AQ6" s="19" t="inlineStr">
        <is>
          <t>Dil splits into two romances: a hostile prank-war courtship and a devoted marriage under siege from greedy fathers. It scores high on both friction and opposition, unlike the frictionless QSQT. Madhu's sacrifice for Raja's surgery gives her the decisive act of the second half, even though it is coerced by his father.</t>
        </is>
      </c>
      <c r="AR6" s="19" t="inlineStr">
        <is>
          <t>Framed in 1990 as spirited romance and melodrama. A modern reading finds the false rape accusation used as a romantic turning point deeply troubling, and the pranks that humiliate Madhu are presented as flirtation.</t>
        </is>
      </c>
      <c r="AS6" s="5" t="inlineStr">
        <is>
          <t>SOURCE-014</t>
        </is>
      </c>
      <c r="AT6" s="5" t="inlineStr">
        <is>
          <t>Medium</t>
        </is>
      </c>
    </row>
    <row r="7" ht="79" customHeight="1">
      <c r="A7" s="15" t="inlineStr">
        <is>
          <t>PAIR-006</t>
        </is>
      </c>
      <c r="B7" s="18" t="inlineStr">
        <is>
          <t>FILM-010</t>
        </is>
      </c>
      <c r="C7" s="5" t="inlineStr">
        <is>
          <t>Deewana Mujh Sa Nahin</t>
        </is>
      </c>
      <c r="D7" s="17" t="n">
        <v>1990</v>
      </c>
      <c r="E7" s="5" t="inlineStr">
        <is>
          <t>Ajay Sharma</t>
        </is>
      </c>
      <c r="F7" s="5" t="inlineStr">
        <is>
          <t>Madhuri Dixit</t>
        </is>
      </c>
      <c r="G7" s="5" t="inlineStr">
        <is>
          <t>Anita</t>
        </is>
      </c>
      <c r="H7" s="5" t="inlineStr">
        <is>
          <t>Female lead</t>
        </is>
      </c>
      <c r="I7" s="5" t="inlineStr">
        <is>
          <t>Yes</t>
        </is>
      </c>
      <c r="J7" s="19" t="inlineStr">
        <is>
          <t>Obsessive pursuit</t>
        </is>
      </c>
      <c r="K7" s="5" t="inlineStr">
        <is>
          <t>Colleagues and friends at a modelling agency</t>
        </is>
      </c>
      <c r="L7" s="5" t="inlineStr">
        <is>
          <t>They work at the same modelling agency.</t>
        </is>
      </c>
      <c r="M7" s="5" t="inlineStr">
        <is>
          <t>Ajay</t>
        </is>
      </c>
      <c r="N7" s="19" t="inlineStr">
        <is>
          <t>One-sided: he assumes she loves him and keeps planning their marriage after her engagement to another man.</t>
        </is>
      </c>
      <c r="O7" s="19" t="inlineStr">
        <is>
          <t>Fixation against friendly refusal</t>
        </is>
      </c>
      <c r="P7" s="19" t="inlineStr">
        <is>
          <t>Anita regards Ajay only as a friend and has to act to stop his obsession.</t>
        </is>
      </c>
      <c r="Q7" s="20" t="n">
        <v>7</v>
      </c>
      <c r="R7" s="19" t="inlineStr">
        <is>
          <t>Sustained refusal and her efforts to halt his fixation amount to a serious rupture, even though the film treats it sympathetically.</t>
        </is>
      </c>
      <c r="S7" s="20" t="n">
        <v>4</v>
      </c>
      <c r="T7" s="5" t="inlineStr">
        <is>
          <t>Existing relationship</t>
        </is>
      </c>
      <c r="U7" s="19" t="inlineStr">
        <is>
          <t>Her engagement to Vikram, who is eventually shown not to love her.</t>
        </is>
      </c>
      <c r="V7" s="20" t="n">
        <v>6</v>
      </c>
      <c r="W7" s="19" t="inlineStr">
        <is>
          <t>Framed as a devoted 'deewana', but the role is an obsessive pursuer rather than a reciprocated romantic hero.</t>
        </is>
      </c>
      <c r="X7" s="20" t="n">
        <v>9</v>
      </c>
      <c r="Y7" s="20" t="n">
        <v>3</v>
      </c>
      <c r="Z7" s="20" t="n">
        <v>3</v>
      </c>
      <c r="AA7" s="20" t="n">
        <v>5</v>
      </c>
      <c r="AB7" s="18" t="n"/>
      <c r="AC7" s="19" t="inlineStr">
        <is>
          <t>Not scored: no fetched source evaluates the pairing.</t>
        </is>
      </c>
      <c r="AD7" s="5" t="inlineStr">
        <is>
          <t>Unclear</t>
        </is>
      </c>
      <c r="AE7" s="5" t="inlineStr">
        <is>
          <t>Yes</t>
        </is>
      </c>
      <c r="AF7" s="5" t="inlineStr">
        <is>
          <t>Unclear</t>
        </is>
      </c>
      <c r="AG7" s="5" t="inlineStr">
        <is>
          <t>Unclear</t>
        </is>
      </c>
      <c r="AH7" s="5" t="inlineStr">
        <is>
          <t>Partial</t>
        </is>
      </c>
      <c r="AI7" s="5" t="inlineStr">
        <is>
          <t>Unclear</t>
        </is>
      </c>
      <c r="AJ7" s="5" t="inlineStr">
        <is>
          <t>No</t>
        </is>
      </c>
      <c r="AK7" s="19" t="inlineStr">
        <is>
          <t>His persistence is ultimately validated rather than corrected.</t>
        </is>
      </c>
      <c r="AL7" s="19" t="inlineStr">
        <is>
          <t>Anita moves from rejecting Ajay to accepting him after learning that Vikram does not love her.</t>
        </is>
      </c>
      <c r="AM7" s="5" t="inlineStr">
        <is>
          <t>Anita recognises Ajay's sincerity and Vikram's indifference; they end together.</t>
        </is>
      </c>
      <c r="AN7" s="5" t="inlineStr">
        <is>
          <t>Unclear</t>
        </is>
      </c>
      <c r="AO7" s="5" t="inlineStr">
        <is>
          <t>Happy</t>
        </is>
      </c>
      <c r="AP7" s="5" t="n"/>
      <c r="AQ7" s="19" t="inlineStr">
        <is>
          <t>The clearest early example of the obsessive-pursuit pattern in the filmography. Nearly all the tension is between the pair: Ajay refuses to accept her answer, and the plot rewards that refusal by discrediting her fiancé. The low health and mutuality scores reflect the documented premise rather than the film's romantic framing.</t>
        </is>
      </c>
      <c r="AR7" s="19" t="inlineStr">
        <is>
          <t>Presented in 1990 as a tale of devoted love. A modern reading sees a narrative that treats disregard for a woman's refusal as proof of true love, a pattern common in Hindi cinema of the period.</t>
        </is>
      </c>
      <c r="AS7" s="5" t="inlineStr">
        <is>
          <t>SOURCE-015</t>
        </is>
      </c>
      <c r="AT7" s="5" t="inlineStr">
        <is>
          <t>Low</t>
        </is>
      </c>
    </row>
    <row r="8" ht="64" customHeight="1">
      <c r="A8" s="15" t="inlineStr">
        <is>
          <t>PAIR-007</t>
        </is>
      </c>
      <c r="B8" s="18" t="inlineStr">
        <is>
          <t>FILM-011</t>
        </is>
      </c>
      <c r="C8" s="5" t="inlineStr">
        <is>
          <t>Jawani Zindabad</t>
        </is>
      </c>
      <c r="D8" s="17" t="n">
        <v>1990</v>
      </c>
      <c r="E8" s="5" t="inlineStr">
        <is>
          <t>Shashi Sharma</t>
        </is>
      </c>
      <c r="F8" s="5" t="inlineStr">
        <is>
          <t>Farha Naaz</t>
        </is>
      </c>
      <c r="G8" s="5" t="inlineStr">
        <is>
          <t>Sugandha Srivastav</t>
        </is>
      </c>
      <c r="H8" s="5" t="inlineStr">
        <is>
          <t>Female lead</t>
        </is>
      </c>
      <c r="I8" s="5" t="inlineStr">
        <is>
          <t>Yes</t>
        </is>
      </c>
      <c r="J8" s="19" t="inlineStr">
        <is>
          <t>Romance subordinate to another genre</t>
        </is>
      </c>
      <c r="K8" s="5" t="inlineStr">
        <is>
          <t>Not documented</t>
        </is>
      </c>
      <c r="L8" s="5" t="n"/>
      <c r="M8" s="5" t="inlineStr">
        <is>
          <t>Unclear</t>
        </is>
      </c>
      <c r="N8" s="19" t="inlineStr">
        <is>
          <t>Not documented beyond Shashi marrying her without dowry against his mother's wishes.</t>
        </is>
      </c>
      <c r="O8" s="19" t="inlineStr">
        <is>
          <t>Presented as a supportive marriage</t>
        </is>
      </c>
      <c r="P8" s="19" t="inlineStr">
        <is>
          <t>None documented.</t>
        </is>
      </c>
      <c r="Q8" s="20" t="n">
        <v>1</v>
      </c>
      <c r="R8" s="19" t="inlineStr">
        <is>
          <t>No conflict between the couple is recorded; low score carries Low confidence.</t>
        </is>
      </c>
      <c r="S8" s="20" t="n">
        <v>4</v>
      </c>
      <c r="T8" s="5" t="inlineStr">
        <is>
          <t>Family</t>
        </is>
      </c>
      <c r="U8" s="19" t="inlineStr">
        <is>
          <t>Shashi's mother opposes a marriage without dowry.</t>
        </is>
      </c>
      <c r="V8" s="20" t="n">
        <v>3</v>
      </c>
      <c r="W8" s="19" t="inlineStr">
        <is>
          <t>The marriage expresses his anti-dowry principle; his narrative function is social crusader, not romantic hero.</t>
        </is>
      </c>
      <c r="X8" s="20" t="n">
        <v>3</v>
      </c>
      <c r="Y8" s="20" t="n">
        <v>7</v>
      </c>
      <c r="Z8" s="18" t="n"/>
      <c r="AA8" s="18" t="n"/>
      <c r="AB8" s="18" t="n"/>
      <c r="AC8" s="19" t="inlineStr">
        <is>
          <t>Not scored: no fetched source evaluates the pairing.</t>
        </is>
      </c>
      <c r="AD8" s="5" t="inlineStr">
        <is>
          <t>Unclear</t>
        </is>
      </c>
      <c r="AE8" s="5" t="inlineStr">
        <is>
          <t>No</t>
        </is>
      </c>
      <c r="AF8" s="5" t="inlineStr">
        <is>
          <t>Unclear</t>
        </is>
      </c>
      <c r="AG8" s="5" t="inlineStr">
        <is>
          <t>No</t>
        </is>
      </c>
      <c r="AH8" s="5" t="inlineStr">
        <is>
          <t>Unclear</t>
        </is>
      </c>
      <c r="AI8" s="5" t="inlineStr">
        <is>
          <t>Partial</t>
        </is>
      </c>
      <c r="AJ8" s="5" t="inlineStr">
        <is>
          <t>Unclear</t>
        </is>
      </c>
      <c r="AK8" s="19" t="inlineStr">
        <is>
          <t>The marriage is proof of his vow rather than a turning point.</t>
        </is>
      </c>
      <c r="AL8" s="19" t="inlineStr">
        <is>
          <t>Not documented.</t>
        </is>
      </c>
      <c r="AM8" s="5" t="inlineStr">
        <is>
          <t>The marriage holds through the fight against his sister's in-laws.</t>
        </is>
      </c>
      <c r="AN8" s="5" t="inlineStr">
        <is>
          <t>Yes</t>
        </is>
      </c>
      <c r="AO8" s="5" t="inlineStr">
        <is>
          <t>Happy</t>
        </is>
      </c>
      <c r="AP8" s="5" t="inlineStr">
        <is>
          <t>Husn Ishq Ki Yeh Kahani; Meri Jaan Jao Na</t>
        </is>
      </c>
      <c r="AQ8" s="19" t="inlineStr">
        <is>
          <t>The marriage is an instrument of the film's anti-dowry message: Shashi's refusal to take dowry, over his mother's objection, is the only documented romantic conflict. Mutuality, agency and chemistry are left unscored because the sources describe nothing of Sugandha beyond the marriage.</t>
        </is>
      </c>
      <c r="AR8" s="19" t="inlineStr">
        <is>
          <t>Framed as a progressive social message about dowry. A modern reading welcomes the stance but notes that the wife exists mainly to demonstrate the hero's principles.</t>
        </is>
      </c>
      <c r="AS8" s="5" t="inlineStr">
        <is>
          <t>SOURCE-016</t>
        </is>
      </c>
      <c r="AT8" s="5" t="inlineStr">
        <is>
          <t>Low</t>
        </is>
      </c>
    </row>
    <row r="9" ht="64" customHeight="1">
      <c r="A9" s="15" t="inlineStr">
        <is>
          <t>PAIR-008</t>
        </is>
      </c>
      <c r="B9" s="18" t="inlineStr">
        <is>
          <t>FILM-012</t>
        </is>
      </c>
      <c r="C9" s="5" t="inlineStr">
        <is>
          <t>Afsana Pyar Ka</t>
        </is>
      </c>
      <c r="D9" s="17" t="n">
        <v>1991</v>
      </c>
      <c r="E9" s="5" t="inlineStr">
        <is>
          <t>Raj</t>
        </is>
      </c>
      <c r="F9" s="5" t="inlineStr">
        <is>
          <t>Neelam</t>
        </is>
      </c>
      <c r="G9" s="5" t="inlineStr">
        <is>
          <t>Nikita</t>
        </is>
      </c>
      <c r="H9" s="5" t="inlineStr">
        <is>
          <t>Female lead</t>
        </is>
      </c>
      <c r="I9" s="5" t="inlineStr">
        <is>
          <t>Yes</t>
        </is>
      </c>
      <c r="J9" s="19" t="inlineStr">
        <is>
          <t>Forbidden love</t>
        </is>
      </c>
      <c r="K9" s="5" t="inlineStr">
        <is>
          <t>College strangers from feuding families, unaware of the feud</t>
        </is>
      </c>
      <c r="L9" s="5" t="inlineStr">
        <is>
          <t>At college.</t>
        </is>
      </c>
      <c r="M9" s="5" t="inlineStr">
        <is>
          <t>Unclear</t>
        </is>
      </c>
      <c r="N9" s="19" t="inlineStr">
        <is>
          <t>Early misunderstandings give way to love and plans to marry.</t>
        </is>
      </c>
      <c r="O9" s="19" t="inlineStr">
        <is>
          <t>Mutual</t>
        </is>
      </c>
      <c r="P9" s="19" t="inlineStr">
        <is>
          <t>Early misunderstandings.</t>
        </is>
      </c>
      <c r="Q9" s="20" t="n">
        <v>3</v>
      </c>
      <c r="R9" s="19" t="inlineStr">
        <is>
          <t>Only initial misunderstandings are documented.</t>
        </is>
      </c>
      <c r="S9" s="20" t="n">
        <v>7</v>
      </c>
      <c r="T9" s="5" t="inlineStr">
        <is>
          <t>Family</t>
        </is>
      </c>
      <c r="U9" s="19" t="inlineStr">
        <is>
          <t>Both families forbid the match because of a long-standing feud and arrange other marriages.</t>
        </is>
      </c>
      <c r="V9" s="20" t="n">
        <v>8</v>
      </c>
      <c r="W9" s="19" t="inlineStr">
        <is>
          <t>A college romantic lead defined by his love for Nikita and willingness to elope.</t>
        </is>
      </c>
      <c r="X9" s="20" t="n">
        <v>9</v>
      </c>
      <c r="Y9" s="20" t="n">
        <v>7</v>
      </c>
      <c r="Z9" s="20" t="n">
        <v>8</v>
      </c>
      <c r="AA9" s="20" t="n">
        <v>5</v>
      </c>
      <c r="AB9" s="18" t="n"/>
      <c r="AC9" s="19" t="inlineStr">
        <is>
          <t>Not scored: no fetched source evaluates the pairing.</t>
        </is>
      </c>
      <c r="AD9" s="5" t="inlineStr">
        <is>
          <t>Unclear</t>
        </is>
      </c>
      <c r="AE9" s="5" t="inlineStr">
        <is>
          <t>Partial</t>
        </is>
      </c>
      <c r="AF9" s="5" t="inlineStr">
        <is>
          <t>Unclear</t>
        </is>
      </c>
      <c r="AG9" s="5" t="inlineStr">
        <is>
          <t>Unclear</t>
        </is>
      </c>
      <c r="AH9" s="5" t="inlineStr">
        <is>
          <t>Unclear</t>
        </is>
      </c>
      <c r="AI9" s="5" t="inlineStr">
        <is>
          <t>Partial</t>
        </is>
      </c>
      <c r="AJ9" s="5" t="inlineStr">
        <is>
          <t>Yes</t>
        </is>
      </c>
      <c r="AK9" s="19" t="inlineStr">
        <is>
          <t>College romance hardens into defiance of both families.</t>
        </is>
      </c>
      <c r="AL9" s="19" t="inlineStr">
        <is>
          <t>Nikita chooses elopement over an arranged match.</t>
        </is>
      </c>
      <c r="AM9" s="5" t="inlineStr">
        <is>
          <t>The couple decide to elope; the final outcome is not documented in the sources consulted.</t>
        </is>
      </c>
      <c r="AN9" s="5" t="inlineStr">
        <is>
          <t>Unclear</t>
        </is>
      </c>
      <c r="AO9" s="5" t="n"/>
      <c r="AP9" s="5" t="inlineStr">
        <is>
          <t>Nazren Mili; Tip Tip Tip Tip Baarish Shuru Ho Gayi</t>
        </is>
      </c>
      <c r="AQ9" s="19" t="inlineStr">
        <is>
          <t>A direct variation on the QSQT template of young lovers against feuding families, complicated by Raj's hidden relationship to the college principal. The documented shape is a mutual romance under strong family opposition; the resolution is unverified.</t>
        </is>
      </c>
      <c r="AR9" s="19" t="inlineStr">
        <is>
          <t>Framed conventionally as young love against elders. A modern reading finds a consensual, mutual relationship; details of the heroine's role are too thin to assess.</t>
        </is>
      </c>
      <c r="AS9" s="5" t="inlineStr">
        <is>
          <t>SOURCE-017; SOURCE-065</t>
        </is>
      </c>
      <c r="AT9" s="5" t="inlineStr">
        <is>
          <t>Low</t>
        </is>
      </c>
    </row>
    <row r="10" ht="109" customHeight="1">
      <c r="A10" s="15" t="inlineStr">
        <is>
          <t>PAIR-009</t>
        </is>
      </c>
      <c r="B10" s="18" t="inlineStr">
        <is>
          <t>FILM-013</t>
        </is>
      </c>
      <c r="C10" s="5" t="inlineStr">
        <is>
          <t>Dil Hai Ke Manta Nahin</t>
        </is>
      </c>
      <c r="D10" s="17" t="n">
        <v>1991</v>
      </c>
      <c r="E10" s="5" t="inlineStr">
        <is>
          <t>Raghu Jetley</t>
        </is>
      </c>
      <c r="F10" s="5" t="inlineStr">
        <is>
          <t>Pooja Bhatt</t>
        </is>
      </c>
      <c r="G10" s="5" t="inlineStr">
        <is>
          <t>Pooja Dharamchand</t>
        </is>
      </c>
      <c r="H10" s="5" t="inlineStr">
        <is>
          <t>Female lead</t>
        </is>
      </c>
      <c r="I10" s="5" t="inlineStr">
        <is>
          <t>Yes</t>
        </is>
      </c>
      <c r="J10" s="19" t="inlineStr">
        <is>
          <t>Playful conflict masking attraction</t>
        </is>
      </c>
      <c r="K10" s="5" t="inlineStr">
        <is>
          <t>Strangers; he recognises her as a runaway heiress</t>
        </is>
      </c>
      <c r="L10" s="5" t="inlineStr">
        <is>
          <t>On a bus, after Pooja escapes her father's yacht to reach her film-star fiancé in Bangalore.</t>
        </is>
      </c>
      <c r="M10" s="5" t="inlineStr">
        <is>
          <t>Raghu, through a coercive bargain; the romance becomes mutual</t>
        </is>
      </c>
      <c r="N10" s="19" t="inlineStr">
        <is>
          <t>Forced road trip of bickering and dependence that turns into affection.</t>
        </is>
      </c>
      <c r="O10" s="19" t="inlineStr">
        <is>
          <t>Sparring and mistrust softening into tenderness</t>
        </is>
      </c>
      <c r="P10" s="19" t="inlineStr">
        <is>
          <t>He blackmails her with exposure; later she mistakes his departure to raise money for abandonment.</t>
        </is>
      </c>
      <c r="Q10" s="20" t="n">
        <v>5</v>
      </c>
      <c r="R10" s="19" t="inlineStr">
        <is>
          <t>Recurring arguments, an exploitative starting bargain and a serious misunderstanding that sends her back to her fiancé.</t>
        </is>
      </c>
      <c r="S10" s="20" t="n">
        <v>5</v>
      </c>
      <c r="T10" s="5" t="inlineStr">
        <is>
          <t>Family; Class; Existing relationship</t>
        </is>
      </c>
      <c r="U10" s="19" t="inlineStr">
        <is>
          <t>Her wealthy father opposes her choices, she is engaged to the actor Deepak Kumar, and Raghu's poverty seems to rule out marriage.</t>
        </is>
      </c>
      <c r="V10" s="20" t="n">
        <v>7</v>
      </c>
      <c r="W10" s="19" t="inlineStr">
        <is>
          <t>Clearly the romantic hero of a romantic comedy, but he begins as an opportunist chasing a story rather than a devoted lover.</t>
        </is>
      </c>
      <c r="X10" s="20" t="n">
        <v>9</v>
      </c>
      <c r="Y10" s="20" t="n">
        <v>5</v>
      </c>
      <c r="Z10" s="20" t="n">
        <v>7</v>
      </c>
      <c r="AA10" s="20" t="n">
        <v>6</v>
      </c>
      <c r="AB10" s="20" t="n">
        <v>7</v>
      </c>
      <c r="AC10" s="19" t="inlineStr">
        <is>
          <t>The film's success was built on the sparring road-trip dynamic, and it boosted newcomer Pooja Bhatt's career; the assessment is interpretive, as the fetched sources do not quote reviews of the pair.</t>
        </is>
      </c>
      <c r="AD10" s="5" t="inlineStr">
        <is>
          <t>Yes</t>
        </is>
      </c>
      <c r="AE10" s="5" t="inlineStr">
        <is>
          <t>Partial</t>
        </is>
      </c>
      <c r="AF10" s="5" t="inlineStr">
        <is>
          <t>Unclear</t>
        </is>
      </c>
      <c r="AG10" s="5" t="inlineStr">
        <is>
          <t>Yes</t>
        </is>
      </c>
      <c r="AH10" s="5" t="inlineStr">
        <is>
          <t>Yes</t>
        </is>
      </c>
      <c r="AI10" s="5" t="inlineStr">
        <is>
          <t>Partial</t>
        </is>
      </c>
      <c r="AJ10" s="5" t="inlineStr">
        <is>
          <t>Partial</t>
        </is>
      </c>
      <c r="AK10" s="19" t="inlineStr">
        <is>
          <t>From using Pooja for a scoop to protecting her interests and approaching her father honestly.</t>
        </is>
      </c>
      <c r="AL10" s="19" t="inlineStr">
        <is>
          <t>From impulsive runaway chasing a celebrity to choosing a partner on character rather than status.</t>
        </is>
      </c>
      <c r="AM10" s="5" t="inlineStr">
        <is>
          <t>Her father reveals Raghu's honesty; she abandons the wedding to Deepak Kumar and joins Raghu.</t>
        </is>
      </c>
      <c r="AN10" s="5" t="inlineStr">
        <is>
          <t>Yes</t>
        </is>
      </c>
      <c r="AO10" s="5" t="inlineStr">
        <is>
          <t>Happy</t>
        </is>
      </c>
      <c r="AP10" s="5" t="inlineStr">
        <is>
          <t>Dil Hai Ki Manta Nahin; Tu Pyaar Hai Kisi Aur Ka; Adayein Bhi Hain Mohabbat Bhi Hai</t>
        </is>
      </c>
      <c r="AQ10" s="19" t="inlineStr">
        <is>
          <t>This is the pilot's clearest test of the difference between banter and friction. Much of the conflict is comic sparring, but the premise rests on real coercion: Raghu threatens exposure to secure a story. The narrative redeems him through his integrity about money, and Pooja makes the decisive final choice. The couple's obstacles are split between internal mistrust and her father's class expectations, placing the film at moderate levels on both scales.</t>
        </is>
      </c>
      <c r="AR10" s="19" t="inlineStr">
        <is>
          <t>Presented in 1991 as a charming adaptation of screwball conventions. A modern reading notes that the blackmail-based meet-cute and the heroine's financial dependence create a power imbalance the film treats as romantic, softened by Raghu's later scruples.</t>
        </is>
      </c>
      <c r="AS10" s="5" t="inlineStr">
        <is>
          <t>SOURCE-018</t>
        </is>
      </c>
      <c r="AT10" s="5" t="inlineStr">
        <is>
          <t>Medium</t>
        </is>
      </c>
    </row>
    <row r="11" ht="64" customHeight="1">
      <c r="A11" s="15" t="inlineStr">
        <is>
          <t>PAIR-010</t>
        </is>
      </c>
      <c r="B11" s="18" t="inlineStr">
        <is>
          <t>FILM-014</t>
        </is>
      </c>
      <c r="C11" s="5" t="inlineStr">
        <is>
          <t>Daulat Ki Jung</t>
        </is>
      </c>
      <c r="D11" s="17" t="n">
        <v>1992</v>
      </c>
      <c r="E11" s="5" t="inlineStr">
        <is>
          <t>Rajesh Chaudhry</t>
        </is>
      </c>
      <c r="F11" s="5" t="inlineStr">
        <is>
          <t>Juhi Chawla</t>
        </is>
      </c>
      <c r="G11" s="5" t="inlineStr">
        <is>
          <t>Asha Agarwal</t>
        </is>
      </c>
      <c r="H11" s="5" t="inlineStr">
        <is>
          <t>Female lead</t>
        </is>
      </c>
      <c r="I11" s="5" t="inlineStr">
        <is>
          <t>Yes</t>
        </is>
      </c>
      <c r="J11" s="19" t="inlineStr">
        <is>
          <t>United couple versus external world</t>
        </is>
      </c>
      <c r="K11" s="5" t="inlineStr">
        <is>
          <t>Classmates whose fathers are business rivals</t>
        </is>
      </c>
      <c r="L11" s="5" t="inlineStr">
        <is>
          <t>They study in the same college class.</t>
        </is>
      </c>
      <c r="M11" s="5" t="inlineStr">
        <is>
          <t>Unclear</t>
        </is>
      </c>
      <c r="N11" s="19" t="inlineStr">
        <is>
          <t>A college romance hidden from rival fathers, followed by elopement.</t>
        </is>
      </c>
      <c r="O11" s="19" t="inlineStr">
        <is>
          <t>Mutual devotion under pressure</t>
        </is>
      </c>
      <c r="P11" s="19" t="inlineStr">
        <is>
          <t>None documented.</t>
        </is>
      </c>
      <c r="Q11" s="20" t="n">
        <v>1</v>
      </c>
      <c r="R11" s="19" t="inlineStr">
        <is>
          <t>No conflict between the lovers is recorded.</t>
        </is>
      </c>
      <c r="S11" s="20" t="n">
        <v>7</v>
      </c>
      <c r="T11" s="5" t="inlineStr">
        <is>
          <t>Family; Crime</t>
        </is>
      </c>
      <c r="U11" s="19" t="inlineStr">
        <is>
          <t>Both fathers clamp down because of their business rivalry; after eloping, the couple are caught up with treasure-hunting criminals.</t>
        </is>
      </c>
      <c r="V11" s="20" t="n">
        <v>7</v>
      </c>
      <c r="W11" s="19" t="inlineStr">
        <is>
          <t>An eloping romantic lead, though the second half turns into a treasure-hunt adventure.</t>
        </is>
      </c>
      <c r="X11" s="20" t="n">
        <v>7</v>
      </c>
      <c r="Y11" s="20" t="n">
        <v>8</v>
      </c>
      <c r="Z11" s="20" t="n">
        <v>8</v>
      </c>
      <c r="AA11" s="20" t="n">
        <v>5</v>
      </c>
      <c r="AB11" s="18" t="n"/>
      <c r="AC11" s="19" t="inlineStr">
        <is>
          <t>Not scored: no fetched source evaluates the pairing.</t>
        </is>
      </c>
      <c r="AD11" s="5" t="inlineStr">
        <is>
          <t>Unclear</t>
        </is>
      </c>
      <c r="AE11" s="5" t="inlineStr">
        <is>
          <t>No</t>
        </is>
      </c>
      <c r="AF11" s="5" t="inlineStr">
        <is>
          <t>Unclear</t>
        </is>
      </c>
      <c r="AG11" s="5" t="inlineStr">
        <is>
          <t>Unclear</t>
        </is>
      </c>
      <c r="AH11" s="5" t="inlineStr">
        <is>
          <t>Yes</t>
        </is>
      </c>
      <c r="AI11" s="5" t="inlineStr">
        <is>
          <t>Partial</t>
        </is>
      </c>
      <c r="AJ11" s="5" t="inlineStr">
        <is>
          <t>Yes</t>
        </is>
      </c>
      <c r="AK11" s="19" t="inlineStr">
        <is>
          <t>A sheltered rich son becomes a fugitive who protects Asha.</t>
        </is>
      </c>
      <c r="AL11" s="19" t="inlineStr">
        <is>
          <t>Asha moves from fear of her father to eloping.</t>
        </is>
      </c>
      <c r="AM11" s="5" t="inlineStr">
        <is>
          <t>The lovers are united once the criminals are dealt with.</t>
        </is>
      </c>
      <c r="AN11" s="5" t="inlineStr">
        <is>
          <t>Unclear</t>
        </is>
      </c>
      <c r="AO11" s="5" t="inlineStr">
        <is>
          <t>Happy</t>
        </is>
      </c>
      <c r="AP11" s="5" t="n"/>
      <c r="AQ11" s="19" t="inlineStr">
        <is>
          <t>Another young-couple-versus-fathers romance, here driven by business rivalry rather than honour or class, before the plot shifts genre into a Mackenna's Gold-style adventure. The couple remain aligned throughout; all pressure is external.</t>
        </is>
      </c>
      <c r="AR11" s="19" t="inlineStr">
        <is>
          <t>Framed as romantic adventure. A modern reading finds a consensual, mutual relationship with little independent characterisation for the heroine.</t>
        </is>
      </c>
      <c r="AS11" s="5" t="inlineStr">
        <is>
          <t>SOURCE-020</t>
        </is>
      </c>
      <c r="AT11" s="5" t="inlineStr">
        <is>
          <t>Low</t>
        </is>
      </c>
    </row>
    <row r="12" ht="64" customHeight="1">
      <c r="A12" s="15" t="inlineStr">
        <is>
          <t>PAIR-011</t>
        </is>
      </c>
      <c r="B12" s="18" t="inlineStr">
        <is>
          <t>FILM-015</t>
        </is>
      </c>
      <c r="C12" s="5" t="inlineStr">
        <is>
          <t>Jo Jeeta Wohi Sikandar</t>
        </is>
      </c>
      <c r="D12" s="17" t="n">
        <v>1992</v>
      </c>
      <c r="E12" s="5" t="inlineStr">
        <is>
          <t>Sanjaylal "Sanju" Sharma</t>
        </is>
      </c>
      <c r="F12" s="5" t="inlineStr">
        <is>
          <t>Ayesha Jhulka</t>
        </is>
      </c>
      <c r="G12" s="5" t="inlineStr">
        <is>
          <t>Anjali</t>
        </is>
      </c>
      <c r="H12" s="5" t="inlineStr">
        <is>
          <t>Female lead</t>
        </is>
      </c>
      <c r="I12" s="5" t="inlineStr">
        <is>
          <t>Yes</t>
        </is>
      </c>
      <c r="J12" s="19" t="inlineStr">
        <is>
          <t>Friendship to love</t>
        </is>
      </c>
      <c r="K12" s="5" t="inlineStr">
        <is>
          <t>Classmates and close friends</t>
        </is>
      </c>
      <c r="L12" s="5" t="inlineStr">
        <is>
          <t>Classmates at Model College; she helps him with his training.</t>
        </is>
      </c>
      <c r="M12" s="5" t="inlineStr">
        <is>
          <t>Unclear</t>
        </is>
      </c>
      <c r="N12" s="19" t="inlineStr">
        <is>
          <t>A long friendship in which she supports him and warns him about Devika.</t>
        </is>
      </c>
      <c r="O12" s="19" t="inlineStr">
        <is>
          <t>Steady loyalty on her side against his distraction</t>
        </is>
      </c>
      <c r="P12" s="19" t="inlineStr">
        <is>
          <t>Sanju ignores Anjali's warnings and chases Devika.</t>
        </is>
      </c>
      <c r="Q12" s="20" t="n">
        <v>4</v>
      </c>
      <c r="R12" s="19" t="inlineStr">
        <is>
          <t>His neglect and pursuit of another woman strain the friendship; no open hostility is documented.</t>
        </is>
      </c>
      <c r="S12" s="20" t="n">
        <v>3</v>
      </c>
      <c r="T12" s="5" t="inlineStr">
        <is>
          <t>Other</t>
        </is>
      </c>
      <c r="U12" s="19" t="inlineStr">
        <is>
          <t>Sanju's infatuation with the wealthy Devika and the college class rivalry pull him away.</t>
        </is>
      </c>
      <c r="V12" s="20" t="n">
        <v>5</v>
      </c>
      <c r="W12" s="19" t="inlineStr">
        <is>
          <t>Sanju is a charming romantic protagonist, but his arc centres on growing up and winning the race.</t>
        </is>
      </c>
      <c r="X12" s="20" t="n">
        <v>4</v>
      </c>
      <c r="Y12" s="20" t="n">
        <v>6</v>
      </c>
      <c r="Z12" s="20" t="n">
        <v>4</v>
      </c>
      <c r="AA12" s="20" t="n">
        <v>5</v>
      </c>
      <c r="AB12" s="18" t="n"/>
      <c r="AC12" s="19" t="inlineStr">
        <is>
          <t>Not scored: no fetched source evaluates the pairing.</t>
        </is>
      </c>
      <c r="AD12" s="5" t="inlineStr">
        <is>
          <t>Unclear</t>
        </is>
      </c>
      <c r="AE12" s="5" t="inlineStr">
        <is>
          <t>Partial</t>
        </is>
      </c>
      <c r="AF12" s="5" t="inlineStr">
        <is>
          <t>Unclear</t>
        </is>
      </c>
      <c r="AG12" s="5" t="inlineStr">
        <is>
          <t>No</t>
        </is>
      </c>
      <c r="AH12" s="5" t="inlineStr">
        <is>
          <t>Partial</t>
        </is>
      </c>
      <c r="AI12" s="5" t="inlineStr">
        <is>
          <t>Unclear</t>
        </is>
      </c>
      <c r="AJ12" s="5" t="inlineStr">
        <is>
          <t>Yes</t>
        </is>
      </c>
      <c r="AK12" s="19" t="inlineStr">
        <is>
          <t>His humiliation over Devika contrasts his superficial pursuit with Anjali's steady loyalty.</t>
        </is>
      </c>
      <c r="AL12" s="19" t="inlineStr">
        <is>
          <t>Not documented.</t>
        </is>
      </c>
      <c r="AM12" s="5" t="inlineStr">
        <is>
          <t>Anjali stands by Sanju through his redemption; the sources consulted do not document how the film resolves their romance.</t>
        </is>
      </c>
      <c r="AN12" s="5" t="inlineStr">
        <is>
          <t>Unclear</t>
        </is>
      </c>
      <c r="AO12" s="5" t="n"/>
      <c r="AP12" s="5" t="n"/>
      <c r="AQ12" s="19" t="inlineStr">
        <is>
          <t>The film sets two romances against each other: the loyal classmate who knows who Sanju really is, and the rich outsider he deceives. Anjali's role is supportive rather than self-directed in the documented plot, which keeps mutuality and agency moderate.</t>
        </is>
      </c>
      <c r="AR12" s="19" t="inlineStr">
        <is>
          <t>Framed as a nostalgic campus romance. A modern reading notes the familiar pattern of a loyal heroine waiting for the hero to mature.</t>
        </is>
      </c>
      <c r="AS12" s="5" t="inlineStr">
        <is>
          <t>SOURCE-021</t>
        </is>
      </c>
      <c r="AT12" s="5" t="inlineStr">
        <is>
          <t>Low</t>
        </is>
      </c>
    </row>
    <row r="13" ht="64" customHeight="1">
      <c r="A13" s="15" t="inlineStr">
        <is>
          <t>PAIR-012</t>
        </is>
      </c>
      <c r="B13" s="18" t="inlineStr">
        <is>
          <t>FILM-015</t>
        </is>
      </c>
      <c r="C13" s="5" t="inlineStr">
        <is>
          <t>Jo Jeeta Wohi Sikandar</t>
        </is>
      </c>
      <c r="D13" s="17" t="n">
        <v>1992</v>
      </c>
      <c r="E13" s="5" t="inlineStr">
        <is>
          <t>Sanjaylal "Sanju" Sharma</t>
        </is>
      </c>
      <c r="F13" s="5" t="inlineStr">
        <is>
          <t>Pooja Bedi</t>
        </is>
      </c>
      <c r="G13" s="5" t="inlineStr">
        <is>
          <t>Devika</t>
        </is>
      </c>
      <c r="H13" s="5" t="inlineStr">
        <is>
          <t>Second female lead</t>
        </is>
      </c>
      <c r="I13" s="5" t="inlineStr">
        <is>
          <t>Partial</t>
        </is>
      </c>
      <c r="J13" s="19" t="inlineStr">
        <is>
          <t>Relationship damaged by mistrust</t>
        </is>
      </c>
      <c r="K13" s="5" t="inlineStr">
        <is>
          <t>Strangers; she is a wealthy Queens' College student</t>
        </is>
      </c>
      <c r="L13" s="5" t="inlineStr">
        <is>
          <t>After Devika's falling-out with Shekhar, Sanju puts on a false show of wealth to attract her.</t>
        </is>
      </c>
      <c r="M13" s="5" t="inlineStr">
        <is>
          <t>Sanju</t>
        </is>
      </c>
      <c r="N13" s="19" t="inlineStr">
        <is>
          <t>Dates built on a pretence of being rich.</t>
        </is>
      </c>
      <c r="O13" s="19" t="inlineStr">
        <is>
          <t>Status-driven infatuation</t>
        </is>
      </c>
      <c r="P13" s="19" t="inlineStr">
        <is>
          <t>His lie about his wealth.</t>
        </is>
      </c>
      <c r="Q13" s="20" t="n">
        <v>7</v>
      </c>
      <c r="R13" s="19" t="inlineStr">
        <is>
          <t>The relationship rests on deception and ends in a public humiliation when she discovers the truth.</t>
        </is>
      </c>
      <c r="S13" s="20" t="n">
        <v>3</v>
      </c>
      <c r="T13" s="5" t="inlineStr">
        <is>
          <t>Class</t>
        </is>
      </c>
      <c r="U13" s="19" t="inlineStr">
        <is>
          <t>Class snobbery and the rivalry with Rajput College frame and end the relationship.</t>
        </is>
      </c>
      <c r="V13" s="20" t="n">
        <v>4</v>
      </c>
      <c r="W13" s="19" t="inlineStr">
        <is>
          <t>Sanju's pursuit is infatuation and social climbing rather than devotion.</t>
        </is>
      </c>
      <c r="X13" s="20" t="n">
        <v>4</v>
      </c>
      <c r="Y13" s="20" t="n">
        <v>2</v>
      </c>
      <c r="Z13" s="20" t="n">
        <v>3</v>
      </c>
      <c r="AA13" s="20" t="n">
        <v>6</v>
      </c>
      <c r="AB13" s="18" t="n"/>
      <c r="AC13" s="19" t="inlineStr">
        <is>
          <t>Not scored: no fetched source evaluates the pairing; Pooja Bedi's performance received a Filmfare supporting nomination.</t>
        </is>
      </c>
      <c r="AD13" s="5" t="inlineStr">
        <is>
          <t>Unclear</t>
        </is>
      </c>
      <c r="AE13" s="5" t="inlineStr">
        <is>
          <t>Yes</t>
        </is>
      </c>
      <c r="AF13" s="5" t="inlineStr">
        <is>
          <t>Partial</t>
        </is>
      </c>
      <c r="AG13" s="5" t="inlineStr">
        <is>
          <t>Yes</t>
        </is>
      </c>
      <c r="AH13" s="5" t="inlineStr">
        <is>
          <t>Yes</t>
        </is>
      </c>
      <c r="AI13" s="5" t="inlineStr">
        <is>
          <t>No</t>
        </is>
      </c>
      <c r="AJ13" s="5" t="inlineStr">
        <is>
          <t>No</t>
        </is>
      </c>
      <c r="AK13" s="19" t="inlineStr">
        <is>
          <t>The public humiliation shatters his vanity and starts his turn toward responsibility.</t>
        </is>
      </c>
      <c r="AL13" s="19" t="inlineStr">
        <is>
          <t>Not documented.</t>
        </is>
      </c>
      <c r="AM13" s="5" t="inlineStr">
        <is>
          <t>When Devika learns Sanju is not rich, she dumps him in front of Shekhar's friends.</t>
        </is>
      </c>
      <c r="AN13" s="5" t="inlineStr">
        <is>
          <t>No</t>
        </is>
      </c>
      <c r="AO13" s="5" t="n"/>
      <c r="AP13" s="5" t="n"/>
      <c r="AQ13" s="19" t="inlineStr">
        <is>
          <t>A failed romance that functions as the hero's lesson. The friction score comes from his deception, not her cruelty; her dismissal of him is a response to being lied to. Her independent agenda against Shekhar gives her more agency than most heroines of the period.</t>
        </is>
      </c>
      <c r="AR13" s="19" t="inlineStr">
        <is>
          <t>Framed at release as the glamorous wrong choice. A modern reading notes that the film casts the Westernised rich woman as shallow while excusing the hero's lie as youthful folly.</t>
        </is>
      </c>
      <c r="AS13" s="5" t="inlineStr">
        <is>
          <t>SOURCE-021</t>
        </is>
      </c>
      <c r="AT13" s="5" t="inlineStr">
        <is>
          <t>Medium</t>
        </is>
      </c>
    </row>
    <row r="14" ht="94" customHeight="1">
      <c r="A14" s="15" t="inlineStr">
        <is>
          <t>PAIR-013</t>
        </is>
      </c>
      <c r="B14" s="18" t="inlineStr">
        <is>
          <t>FILM-019</t>
        </is>
      </c>
      <c r="C14" s="5" t="inlineStr">
        <is>
          <t>Hum Hain Rahi Pyar Ke</t>
        </is>
      </c>
      <c r="D14" s="17" t="n">
        <v>1993</v>
      </c>
      <c r="E14" s="5" t="inlineStr">
        <is>
          <t>Rahul Malhotra</t>
        </is>
      </c>
      <c r="F14" s="5" t="inlineStr">
        <is>
          <t>Juhi Chawla</t>
        </is>
      </c>
      <c r="G14" s="5" t="inlineStr">
        <is>
          <t>Vyjayanti Iyer</t>
        </is>
      </c>
      <c r="H14" s="5" t="inlineStr">
        <is>
          <t>Female lead</t>
        </is>
      </c>
      <c r="I14" s="5" t="inlineStr">
        <is>
          <t>Yes</t>
        </is>
      </c>
      <c r="J14" s="19" t="inlineStr">
        <is>
          <t>Friendship to love</t>
        </is>
      </c>
      <c r="K14" s="5" t="inlineStr">
        <is>
          <t>Strangers</t>
        </is>
      </c>
      <c r="L14" s="5" t="inlineStr">
        <is>
          <t>Rahul's nephews and niece befriend Vyjayanti at a carnival after she escapes her father's confinement, and hide her in his house.</t>
        </is>
      </c>
      <c r="M14" s="5" t="inlineStr">
        <is>
          <t>Facilitated by the children; the romance becomes mutual</t>
        </is>
      </c>
      <c r="N14" s="19" t="inlineStr">
        <is>
          <t>Domestic comedy of hiding and discovery; affection grows as she wins over the children.</t>
        </is>
      </c>
      <c r="O14" s="19" t="inlineStr">
        <is>
          <t>Warm and teasing, increasingly tender</t>
        </is>
      </c>
      <c r="P14" s="19" t="inlineStr">
        <is>
          <t>Rahul's anger at the deception and Vyjayanti's heartbreak over his engagement to Maya.</t>
        </is>
      </c>
      <c r="Q14" s="20" t="n">
        <v>4</v>
      </c>
      <c r="R14" s="19" t="inlineStr">
        <is>
          <t>Anger at being deceived and hurt over his engagement, resolved without lasting hostility.</t>
        </is>
      </c>
      <c r="S14" s="20" t="n">
        <v>6</v>
      </c>
      <c r="T14" s="5" t="inlineStr">
        <is>
          <t>Family; Community; Existing relationship</t>
        </is>
      </c>
      <c r="U14" s="19" t="inlineStr">
        <is>
          <t>Her father rejects a marriage outside the Iyer community, Rahul is committed to marry Maya, and the Bijlanis sabotage his business in revenge.</t>
        </is>
      </c>
      <c r="V14" s="20" t="n">
        <v>6</v>
      </c>
      <c r="W14" s="19" t="inlineStr">
        <is>
          <t>Rahul is a reluctant romantic whose central role is guardian and businessman; the romance grows out of domestic duty.</t>
        </is>
      </c>
      <c r="X14" s="20" t="n">
        <v>8</v>
      </c>
      <c r="Y14" s="20" t="n">
        <v>7</v>
      </c>
      <c r="Z14" s="20" t="n">
        <v>8</v>
      </c>
      <c r="AA14" s="20" t="n">
        <v>7</v>
      </c>
      <c r="AB14" s="20" t="n">
        <v>7</v>
      </c>
      <c r="AC14" s="19" t="inlineStr">
        <is>
          <t>Juhi Chawla won Filmfare Best Actress and reviews praised her performance; the film repeated a proven screen pairing.</t>
        </is>
      </c>
      <c r="AD14" s="5" t="inlineStr">
        <is>
          <t>Yes</t>
        </is>
      </c>
      <c r="AE14" s="5" t="inlineStr">
        <is>
          <t>Partial</t>
        </is>
      </c>
      <c r="AF14" s="5" t="inlineStr">
        <is>
          <t>Partial</t>
        </is>
      </c>
      <c r="AG14" s="5" t="inlineStr">
        <is>
          <t>Yes</t>
        </is>
      </c>
      <c r="AH14" s="5" t="inlineStr">
        <is>
          <t>Partial</t>
        </is>
      </c>
      <c r="AI14" s="5" t="inlineStr">
        <is>
          <t>Unclear</t>
        </is>
      </c>
      <c r="AJ14" s="5" t="inlineStr">
        <is>
          <t>Partial</t>
        </is>
      </c>
      <c r="AK14" s="19" t="inlineStr">
        <is>
          <t>From stern disciplinarian to compassionate partner and father figure.</t>
        </is>
      </c>
      <c r="AL14" s="19" t="inlineStr">
        <is>
          <t>A runaway from paternal control finds a chosen family.</t>
        </is>
      </c>
      <c r="AM14" s="5" t="inlineStr">
        <is>
          <t>Rahul defends Vyjayanti against insults; her father relents after Natarajan backs the couple, and they marry in a South Indian ceremony.</t>
        </is>
      </c>
      <c r="AN14" s="5" t="inlineStr">
        <is>
          <t>Yes</t>
        </is>
      </c>
      <c r="AO14" s="5" t="inlineStr">
        <is>
          <t>Happy</t>
        </is>
      </c>
      <c r="AP14" s="5" t="inlineStr">
        <is>
          <t>Ghoonghat Ki Aad Se; Yunhi Kat Jayega; Mujhse Mohabbat Ka; Woh Meri Neend Mera Chain</t>
        </is>
      </c>
      <c r="AQ14" s="19" t="inlineStr">
        <is>
          <t>The romance is filtered through the children, who engineer the meeting and later disrupt Rahul's engagement. Vyjayanti is the most active heroine of the early phase: she escapes confinement, wins over a hostile household and chooses her own partner. Rahul's role is paternal before it is romantic, which keeps his lover-boy score moderate despite high centrality.</t>
        </is>
      </c>
      <c r="AR14" s="19" t="inlineStr">
        <is>
          <t>Framed as warm family comedy. A modern reading finds a respectful, mutual relationship; the heroine's defiance of her father's community rules is presented sympathetically.</t>
        </is>
      </c>
      <c r="AS14" s="5" t="inlineStr">
        <is>
          <t>SOURCE-025</t>
        </is>
      </c>
      <c r="AT14" s="5" t="inlineStr">
        <is>
          <t>Medium</t>
        </is>
      </c>
    </row>
    <row r="15" ht="79" customHeight="1">
      <c r="A15" s="15" t="inlineStr">
        <is>
          <t>PAIR-014</t>
        </is>
      </c>
      <c r="B15" s="18" t="inlineStr">
        <is>
          <t>FILM-021</t>
        </is>
      </c>
      <c r="C15" s="5" t="inlineStr">
        <is>
          <t>Andaz Apna Apna</t>
        </is>
      </c>
      <c r="D15" s="17" t="n">
        <v>1994</v>
      </c>
      <c r="E15" s="5" t="inlineStr">
        <is>
          <t>Amar Manohar</t>
        </is>
      </c>
      <c r="F15" s="5" t="inlineStr">
        <is>
          <t>Raveena Tandon</t>
        </is>
      </c>
      <c r="G15" s="5" t="inlineStr">
        <is>
          <t>Karishma (the secretary posing as the heiress Raveena Bajaj)</t>
        </is>
      </c>
      <c r="H15" s="5" t="inlineStr">
        <is>
          <t>Female co-lead</t>
        </is>
      </c>
      <c r="I15" s="5" t="inlineStr">
        <is>
          <t>Yes</t>
        </is>
      </c>
      <c r="J15" s="19" t="inlineStr">
        <is>
          <t>Romance subordinate to another genre</t>
        </is>
      </c>
      <c r="K15" s="5" t="inlineStr">
        <is>
          <t>Strangers; he courts her believing she is the heiress</t>
        </is>
      </c>
      <c r="L15" s="5" t="inlineStr">
        <is>
          <t>Amar sets out to woo the heiress Raveena Bajaj, not knowing that the woman presented as Raveena is her secretary Karishma.</t>
        </is>
      </c>
      <c r="M15" s="5" t="inlineStr">
        <is>
          <t>Amar</t>
        </is>
      </c>
      <c r="N15" s="19" t="inlineStr">
        <is>
          <t>A mercenary courtship built on pretence on both sides that turns into genuine love.</t>
        </is>
      </c>
      <c r="O15" s="19" t="inlineStr">
        <is>
          <t>Comic pretence becoming real affection</t>
        </is>
      </c>
      <c r="P15" s="19" t="inlineStr">
        <is>
          <t>Mutual deception about identity and Amar's mercenary motive.</t>
        </is>
      </c>
      <c r="Q15" s="20" t="n">
        <v>4</v>
      </c>
      <c r="R15" s="19" t="inlineStr">
        <is>
          <t>Both partners deceive each other, but the film treats it as farce; no serious rupture is documented.</t>
        </is>
      </c>
      <c r="S15" s="20" t="n">
        <v>5</v>
      </c>
      <c r="T15" s="5" t="inlineStr">
        <is>
          <t>Villain; Other</t>
        </is>
      </c>
      <c r="U15" s="19" t="inlineStr">
        <is>
          <t>The rival suitor Prem, the heiress's father's scrutiny, and the villains Teja and Crime Master Gogo.</t>
        </is>
      </c>
      <c r="V15" s="20" t="n">
        <v>4</v>
      </c>
      <c r="W15" s="19" t="inlineStr">
        <is>
          <t>Amar begins as a gold-digger; romance is one engine of a comedy of cons rather than his defining identity.</t>
        </is>
      </c>
      <c r="X15" s="20" t="n">
        <v>5</v>
      </c>
      <c r="Y15" s="20" t="n">
        <v>5</v>
      </c>
      <c r="Z15" s="20" t="n">
        <v>6</v>
      </c>
      <c r="AA15" s="20" t="n">
        <v>6</v>
      </c>
      <c r="AB15" s="18" t="n"/>
      <c r="AC15" s="19" t="inlineStr">
        <is>
          <t>Not scored: the sources praise the film's comedy, not the pairing.</t>
        </is>
      </c>
      <c r="AD15" s="5" t="inlineStr">
        <is>
          <t>Yes</t>
        </is>
      </c>
      <c r="AE15" s="5" t="inlineStr">
        <is>
          <t>No</t>
        </is>
      </c>
      <c r="AF15" s="5" t="inlineStr">
        <is>
          <t>Unclear</t>
        </is>
      </c>
      <c r="AG15" s="5" t="inlineStr">
        <is>
          <t>Yes</t>
        </is>
      </c>
      <c r="AH15" s="5" t="inlineStr">
        <is>
          <t>Unclear</t>
        </is>
      </c>
      <c r="AI15" s="5" t="inlineStr">
        <is>
          <t>No</t>
        </is>
      </c>
      <c r="AJ15" s="5" t="inlineStr">
        <is>
          <t>Partial</t>
        </is>
      </c>
      <c r="AK15" s="19" t="inlineStr">
        <is>
          <t>A gold-digging schemer discovers he loves the woman regardless of her fortune.</t>
        </is>
      </c>
      <c r="AL15" s="19" t="inlineStr">
        <is>
          <t>Not documented.</t>
        </is>
      </c>
      <c r="AM15" s="5" t="inlineStr">
        <is>
          <t>Ram Gopal Bajaj approves Amar's marriage to the real Karishma.</t>
        </is>
      </c>
      <c r="AN15" s="5" t="inlineStr">
        <is>
          <t>Yes</t>
        </is>
      </c>
      <c r="AO15" s="5" t="inlineStr">
        <is>
          <t>Happy</t>
        </is>
      </c>
      <c r="AP15" s="5" t="n"/>
      <c r="AQ15" s="19" t="inlineStr">
        <is>
          <t>The identity swap, arranged by the women to test suitors, makes the romance a satire of fortune-hunting: Amar ends up loving the secretary he mistook for money. Friction is performative rather than wounding, and the women's scheme gives them unusual control over the courtship for a 1990s comedy.</t>
        </is>
      </c>
      <c r="AR15" s="19" t="inlineStr">
        <is>
          <t>Received first as a failure and later as a cult comedy. A modern reading finds the relationship harmless farce; the heroines are sketched lightly beside the two male leads.</t>
        </is>
      </c>
      <c r="AS15" s="5" t="inlineStr">
        <is>
          <t>SOURCE-027; SOURCE-065</t>
        </is>
      </c>
      <c r="AT15" s="5" t="inlineStr">
        <is>
          <t>Low</t>
        </is>
      </c>
    </row>
    <row r="16" ht="64" customHeight="1">
      <c r="A16" s="15" t="inlineStr">
        <is>
          <t>PAIR-015</t>
        </is>
      </c>
      <c r="B16" s="18" t="inlineStr">
        <is>
          <t>FILM-022</t>
        </is>
      </c>
      <c r="C16" s="5" t="inlineStr">
        <is>
          <t>Baazi</t>
        </is>
      </c>
      <c r="D16" s="17" t="n">
        <v>1995</v>
      </c>
      <c r="E16" s="5" t="inlineStr">
        <is>
          <t>Inspector Amar Damjee Rathod</t>
        </is>
      </c>
      <c r="F16" s="5" t="inlineStr">
        <is>
          <t>Mamta Kulkarni</t>
        </is>
      </c>
      <c r="G16" s="5" t="inlineStr">
        <is>
          <t>Sanjana Roy</t>
        </is>
      </c>
      <c r="H16" s="5" t="inlineStr">
        <is>
          <t>Female lead</t>
        </is>
      </c>
      <c r="I16" s="5" t="inlineStr">
        <is>
          <t>Yes</t>
        </is>
      </c>
      <c r="J16" s="19" t="inlineStr">
        <is>
          <t>Romance subordinate to another genre</t>
        </is>
      </c>
      <c r="K16" s="5" t="inlineStr">
        <is>
          <t>Not documented</t>
        </is>
      </c>
      <c r="L16" s="5" t="n"/>
      <c r="M16" s="5" t="inlineStr">
        <is>
          <t>Unclear</t>
        </is>
      </c>
      <c r="N16" s="19" t="inlineStr">
        <is>
          <t>Not documented in plot summaries; the film's soundtrack carries several romantic numbers.</t>
        </is>
      </c>
      <c r="O16" s="19" t="inlineStr">
        <is>
          <t>Not documented</t>
        </is>
      </c>
      <c r="P16" s="19" t="inlineStr">
        <is>
          <t>None documented.</t>
        </is>
      </c>
      <c r="Q16" s="20" t="n">
        <v>1</v>
      </c>
      <c r="R16" s="19" t="inlineStr">
        <is>
          <t>No interpersonal conflict is recorded; Low confidence.</t>
        </is>
      </c>
      <c r="S16" s="20" t="n">
        <v>7</v>
      </c>
      <c r="T16" s="5" t="inlineStr">
        <is>
          <t>Villain; Crime</t>
        </is>
      </c>
      <c r="U16" s="19" t="inlineStr">
        <is>
          <t>Amar is framed and hunted by Chaubey, and Sanjana, a journalist, is endangered in the hostage siege.</t>
        </is>
      </c>
      <c r="V16" s="20" t="n">
        <v>3</v>
      </c>
      <c r="W16" s="19" t="inlineStr">
        <is>
          <t>A cop-avenger role in which romance is peripheral.</t>
        </is>
      </c>
      <c r="X16" s="20" t="n">
        <v>3</v>
      </c>
      <c r="Y16" s="18" t="n"/>
      <c r="Z16" s="18" t="n"/>
      <c r="AA16" s="18" t="n"/>
      <c r="AB16" s="18" t="n"/>
      <c r="AC16" s="19" t="inlineStr">
        <is>
          <t>Not scored: no fetched source evaluates the pairing.</t>
        </is>
      </c>
      <c r="AD16" s="5" t="inlineStr">
        <is>
          <t>Unclear</t>
        </is>
      </c>
      <c r="AE16" s="5" t="inlineStr">
        <is>
          <t>Unclear</t>
        </is>
      </c>
      <c r="AF16" s="5" t="inlineStr">
        <is>
          <t>Unclear</t>
        </is>
      </c>
      <c r="AG16" s="5" t="inlineStr">
        <is>
          <t>Unclear</t>
        </is>
      </c>
      <c r="AH16" s="5" t="inlineStr">
        <is>
          <t>Unclear</t>
        </is>
      </c>
      <c r="AI16" s="5" t="inlineStr">
        <is>
          <t>Unclear</t>
        </is>
      </c>
      <c r="AJ16" s="5" t="inlineStr">
        <is>
          <t>Unclear</t>
        </is>
      </c>
      <c r="AK16" s="19" t="inlineStr">
        <is>
          <t>Not documented.</t>
        </is>
      </c>
      <c r="AL16" s="19" t="inlineStr">
        <is>
          <t>Not documented.</t>
        </is>
      </c>
      <c r="AM16" s="5" t="inlineStr">
        <is>
          <t>Not documented in the sources consulted.</t>
        </is>
      </c>
      <c r="AN16" s="5" t="inlineStr">
        <is>
          <t>Unclear</t>
        </is>
      </c>
      <c r="AO16" s="5" t="n"/>
      <c r="AP16" s="5" t="n"/>
      <c r="AQ16" s="19" t="inlineStr">
        <is>
          <t>Sanjana is documented only as a journalist caught in the climactic siege, so most relationship measures are left blank. The row exists because she is the hero's love interest; the scores that are filled reflect the action plot's dangers rather than any known dynamic between the pair.</t>
        </is>
      </c>
      <c r="AR16" s="19" t="inlineStr">
        <is>
          <t>Not assessable from the sources consulted.</t>
        </is>
      </c>
      <c r="AS16" s="5" t="inlineStr">
        <is>
          <t>SOURCE-028</t>
        </is>
      </c>
      <c r="AT16" s="5" t="inlineStr">
        <is>
          <t>Low</t>
        </is>
      </c>
    </row>
    <row r="17" ht="79" customHeight="1">
      <c r="A17" s="15" t="inlineStr">
        <is>
          <t>PAIR-016</t>
        </is>
      </c>
      <c r="B17" s="18" t="inlineStr">
        <is>
          <t>FILM-024</t>
        </is>
      </c>
      <c r="C17" s="5" t="inlineStr">
        <is>
          <t>Rangeela</t>
        </is>
      </c>
      <c r="D17" s="17" t="n">
        <v>1995</v>
      </c>
      <c r="E17" s="5" t="inlineStr">
        <is>
          <t>Munna</t>
        </is>
      </c>
      <c r="F17" s="5" t="inlineStr">
        <is>
          <t>Urmila Matondkar</t>
        </is>
      </c>
      <c r="G17" s="5" t="inlineStr">
        <is>
          <t>Mili Joshi</t>
        </is>
      </c>
      <c r="H17" s="5" t="inlineStr">
        <is>
          <t>Female lead</t>
        </is>
      </c>
      <c r="I17" s="5" t="inlineStr">
        <is>
          <t>Yes</t>
        </is>
      </c>
      <c r="J17" s="19" t="inlineStr">
        <is>
          <t>Love triangle</t>
        </is>
      </c>
      <c r="K17" s="5" t="inlineStr">
        <is>
          <t>Childhood best friends</t>
        </is>
      </c>
      <c r="L17" s="5" t="inlineStr">
        <is>
          <t>They grew up together as best friends.</t>
        </is>
      </c>
      <c r="M17" s="5" t="inlineStr">
        <is>
          <t>Munna, though he cannot say it</t>
        </is>
      </c>
      <c r="N17" s="19" t="inlineStr">
        <is>
          <t>Years of unspoken love, repeated failed attempts to confess, and finally a farewell letter.</t>
        </is>
      </c>
      <c r="O17" s="19" t="inlineStr">
        <is>
          <t>Affectionate friendship shadowed by his insecurity</t>
        </is>
      </c>
      <c r="P17" s="19" t="inlineStr">
        <is>
          <t>His failure to confess and jealousy of Raj Kamal; her misreading of his intentions.</t>
        </is>
      </c>
      <c r="Q17" s="20" t="n">
        <v>4</v>
      </c>
      <c r="R17" s="19" t="inlineStr">
        <is>
          <t>Misunderstandings and jealous withdrawal rather than hostility.</t>
        </is>
      </c>
      <c r="S17" s="20" t="n">
        <v>3</v>
      </c>
      <c r="T17" s="5" t="inlineStr">
        <is>
          <t>Class; Other</t>
        </is>
      </c>
      <c r="U17" s="19" t="inlineStr">
        <is>
          <t>The star Raj Kamal's attention and the glamour of film stardom make Munna feel inferior; Raj later helps reunite them.</t>
        </is>
      </c>
      <c r="V17" s="20" t="n">
        <v>9</v>
      </c>
      <c r="W17" s="19" t="inlineStr">
        <is>
          <t>Munna's whole arc is his unspoken love and fear of losing Mili.</t>
        </is>
      </c>
      <c r="X17" s="20" t="n">
        <v>9</v>
      </c>
      <c r="Y17" s="20" t="n">
        <v>8</v>
      </c>
      <c r="Z17" s="20" t="n">
        <v>6</v>
      </c>
      <c r="AA17" s="20" t="n">
        <v>7</v>
      </c>
      <c r="AB17" s="20" t="n">
        <v>7</v>
      </c>
      <c r="AC17" s="19" t="inlineStr">
        <is>
          <t>Interpretive: the film's acclaim centred on its music and Urmila Matondkar's performance, with the friendship-romance as its emotional core.</t>
        </is>
      </c>
      <c r="AD17" s="5" t="inlineStr">
        <is>
          <t>Yes</t>
        </is>
      </c>
      <c r="AE17" s="5" t="inlineStr">
        <is>
          <t>Partial</t>
        </is>
      </c>
      <c r="AF17" s="5" t="inlineStr">
        <is>
          <t>Yes</t>
        </is>
      </c>
      <c r="AG17" s="5" t="inlineStr">
        <is>
          <t>No</t>
        </is>
      </c>
      <c r="AH17" s="5" t="inlineStr">
        <is>
          <t>Yes</t>
        </is>
      </c>
      <c r="AI17" s="5" t="inlineStr">
        <is>
          <t>Partial</t>
        </is>
      </c>
      <c r="AJ17" s="5" t="inlineStr">
        <is>
          <t>No</t>
        </is>
      </c>
      <c r="AK17" s="19" t="inlineStr">
        <is>
          <t>An insecure street hustler learns to voice his love instead of retreating.</t>
        </is>
      </c>
      <c r="AL17" s="19" t="inlineStr">
        <is>
          <t>Mili rises to film stardom and recognises Munna's love.</t>
        </is>
      </c>
      <c r="AM17" s="5" t="inlineStr">
        <is>
          <t>Mili learns of his love from his farewell letter on her film's opening night; with Raj's help she intercepts Munna and they reunite.</t>
        </is>
      </c>
      <c r="AN17" s="5" t="inlineStr">
        <is>
          <t>Unclear</t>
        </is>
      </c>
      <c r="AO17" s="5" t="inlineStr">
        <is>
          <t>Happy</t>
        </is>
      </c>
      <c r="AP17" s="5" t="n"/>
      <c r="AQ17" s="19" t="inlineStr">
        <is>
          <t>Rangeela shifts the obstacle from family to self-doubt: the rival is a benign star, and the real barrier is Munna's class insecurity. Mili pursues her own career throughout, giving her more agency than most earlier heroines. The high lover-boy score with low opposition shows the two scales working independently.</t>
        </is>
      </c>
      <c r="AR17" s="19" t="inlineStr">
        <is>
          <t>Hailed as a modern, stylish romance. A modern reading finds a respectful relationship.</t>
        </is>
      </c>
      <c r="AS17" s="5" t="inlineStr">
        <is>
          <t>SOURCE-030</t>
        </is>
      </c>
      <c r="AT17" s="5" t="inlineStr">
        <is>
          <t>Medium</t>
        </is>
      </c>
    </row>
    <row r="18" ht="94" customHeight="1">
      <c r="A18" s="15" t="inlineStr">
        <is>
          <t>PAIR-017</t>
        </is>
      </c>
      <c r="B18" s="18" t="inlineStr">
        <is>
          <t>FILM-025</t>
        </is>
      </c>
      <c r="C18" s="5" t="inlineStr">
        <is>
          <t>Akele Hum Akele Tum</t>
        </is>
      </c>
      <c r="D18" s="17" t="n">
        <v>1995</v>
      </c>
      <c r="E18" s="5" t="inlineStr">
        <is>
          <t>Rohit Kumar</t>
        </is>
      </c>
      <c r="F18" s="5" t="inlineStr">
        <is>
          <t>Manisha Koirala</t>
        </is>
      </c>
      <c r="G18" s="5" t="inlineStr">
        <is>
          <t>Kiran</t>
        </is>
      </c>
      <c r="H18" s="5" t="inlineStr">
        <is>
          <t>Female lead</t>
        </is>
      </c>
      <c r="I18" s="5" t="inlineStr">
        <is>
          <t>Yes</t>
        </is>
      </c>
      <c r="J18" s="19" t="inlineStr">
        <is>
          <t>Marriage under strain</t>
        </is>
      </c>
      <c r="K18" s="5" t="inlineStr">
        <is>
          <t>Strangers who quickly fall in love</t>
        </is>
      </c>
      <c r="L18" s="5" t="n"/>
      <c r="M18" s="5" t="inlineStr">
        <is>
          <t>Unclear</t>
        </is>
      </c>
      <c r="N18" s="19" t="inlineStr">
        <is>
          <t>A quick romance and marriage despite her parents' opposition.</t>
        </is>
      </c>
      <c r="O18" s="19" t="inlineStr">
        <is>
          <t>Loving but competitive; his pride against her ambition</t>
        </is>
      </c>
      <c r="P18" s="19" t="inlineStr">
        <is>
          <t>His pride and stalled career against her growing career, ending in separation and a custody case.</t>
        </is>
      </c>
      <c r="Q18" s="20" t="n">
        <v>7</v>
      </c>
      <c r="R18" s="19" t="inlineStr">
        <is>
          <t>Pride, resentment and separation escalate into a court fight over their son.</t>
        </is>
      </c>
      <c r="S18" s="20" t="n">
        <v>3</v>
      </c>
      <c r="T18" s="5" t="inlineStr">
        <is>
          <t>Family</t>
        </is>
      </c>
      <c r="U18" s="19" t="inlineStr">
        <is>
          <t>Kiran's parents oppose the marriage; later pressures come mainly from within the couple.</t>
        </is>
      </c>
      <c r="V18" s="20" t="n">
        <v>5</v>
      </c>
      <c r="W18" s="19" t="inlineStr">
        <is>
          <t>A romantic husband and devoted father; the role centres on marriage and fatherhood rather than courtship.</t>
        </is>
      </c>
      <c r="X18" s="20" t="n">
        <v>9</v>
      </c>
      <c r="Y18" s="20" t="n">
        <v>5</v>
      </c>
      <c r="Z18" s="20" t="n">
        <v>6</v>
      </c>
      <c r="AA18" s="20" t="n">
        <v>8</v>
      </c>
      <c r="AB18" s="20" t="n">
        <v>7</v>
      </c>
      <c r="AC18" s="19" t="inlineStr">
        <is>
          <t>Both leads' performances were acclaimed, and the duet 'Raja Ko Rani Se' became the film's signature song.</t>
        </is>
      </c>
      <c r="AD18" s="5" t="inlineStr">
        <is>
          <t>Unclear</t>
        </is>
      </c>
      <c r="AE18" s="5" t="inlineStr">
        <is>
          <t>Yes</t>
        </is>
      </c>
      <c r="AF18" s="5" t="inlineStr">
        <is>
          <t>Partial</t>
        </is>
      </c>
      <c r="AG18" s="5" t="inlineStr">
        <is>
          <t>No</t>
        </is>
      </c>
      <c r="AH18" s="5" t="inlineStr">
        <is>
          <t>Yes</t>
        </is>
      </c>
      <c r="AI18" s="5" t="inlineStr">
        <is>
          <t>Yes</t>
        </is>
      </c>
      <c r="AJ18" s="5" t="inlineStr">
        <is>
          <t>Partial</t>
        </is>
      </c>
      <c r="AK18" s="19" t="inlineStr">
        <is>
          <t>A proud husband learns humility through single fatherhood.</t>
        </is>
      </c>
      <c r="AL18" s="19" t="inlineStr">
        <is>
          <t>A wife who shelved her ambitions becomes an independent professional, then chooses reconciliation on her terms.</t>
        </is>
      </c>
      <c r="AM18" s="5" t="inlineStr">
        <is>
          <t>Kiran wins custody but lets their son stay with Rohit; the couple and their son reconcile.</t>
        </is>
      </c>
      <c r="AN18" s="5" t="inlineStr">
        <is>
          <t>Yes</t>
        </is>
      </c>
      <c r="AO18" s="5" t="inlineStr">
        <is>
          <t>Happy</t>
        </is>
      </c>
      <c r="AP18" s="5" t="inlineStr">
        <is>
          <t>Raja Ko Rani Se; Dil Kehta Hai</t>
        </is>
      </c>
      <c r="AQ18" s="19" t="inlineStr">
        <is>
          <t>The first sustained study of marriage in the filmography, and the highest pair-friction score among his happy-ending romances. The conflict is almost entirely internal: male pride against female ambition. Kiran's career choice and her decision over custody give her more narrative power than any earlier heroine, even if the reconciliation restores the family unit.</t>
        </is>
      </c>
      <c r="AR18" s="19" t="inlineStr">
        <is>
          <t>Framed as a sympathetic domestic drama. A modern reading credits its attention to a wife's career, while noting that the husband's wounded pride is treated more indulgently than the wife's departure.</t>
        </is>
      </c>
      <c r="AS18" s="5" t="inlineStr">
        <is>
          <t>SOURCE-031</t>
        </is>
      </c>
      <c r="AT18" s="5" t="inlineStr">
        <is>
          <t>Medium</t>
        </is>
      </c>
    </row>
    <row r="19" ht="94" customHeight="1">
      <c r="A19" s="15" t="inlineStr">
        <is>
          <t>PAIR-018</t>
        </is>
      </c>
      <c r="B19" s="18" t="inlineStr">
        <is>
          <t>FILM-026</t>
        </is>
      </c>
      <c r="C19" s="5" t="inlineStr">
        <is>
          <t>Raja Hindustani</t>
        </is>
      </c>
      <c r="D19" s="17" t="n">
        <v>1996</v>
      </c>
      <c r="E19" s="5" t="inlineStr">
        <is>
          <t>Raja Hindustani</t>
        </is>
      </c>
      <c r="F19" s="5" t="inlineStr">
        <is>
          <t>Karisma Kapoor</t>
        </is>
      </c>
      <c r="G19" s="5" t="inlineStr">
        <is>
          <t>Aarti Sehgal</t>
        </is>
      </c>
      <c r="H19" s="5" t="inlineStr">
        <is>
          <t>Female lead</t>
        </is>
      </c>
      <c r="I19" s="5" t="inlineStr">
        <is>
          <t>Yes</t>
        </is>
      </c>
      <c r="J19" s="19" t="inlineStr">
        <is>
          <t>Relationship manipulated by outsiders</t>
        </is>
      </c>
      <c r="K19" s="5" t="inlineStr">
        <is>
          <t>A wealthy visitor and the taxi driver she hires</t>
        </is>
      </c>
      <c r="L19" s="5" t="inlineStr">
        <is>
          <t>Aarti hires Raja as her driver during a trip to Palankhet to recover memories of her late mother.</t>
        </is>
      </c>
      <c r="M19" s="5" t="inlineStr">
        <is>
          <t>Mutual, after an accidental kiss</t>
        </is>
      </c>
      <c r="N19" s="19" t="inlineStr">
        <is>
          <t>Road-trip companionship, a much-discussed kiss, and marriage over her father's objection.</t>
        </is>
      </c>
      <c r="O19" s="19" t="inlineStr">
        <is>
          <t>Passionate, proud and easily wounded</t>
        </is>
      </c>
      <c r="P19" s="19" t="inlineStr">
        <is>
          <t>Misunderstandings planted by her stepmother; Raja's pride leads him to take their infant son.</t>
        </is>
      </c>
      <c r="Q19" s="20" t="n">
        <v>5</v>
      </c>
      <c r="R19" s="19" t="inlineStr">
        <is>
          <t>Real mistrust and a drastic act by Raja, though the misunderstandings are engineered by Shalini.</t>
        </is>
      </c>
      <c r="S19" s="20" t="n">
        <v>8</v>
      </c>
      <c r="T19" s="5" t="inlineStr">
        <is>
          <t>Family; Class</t>
        </is>
      </c>
      <c r="U19" s="19" t="inlineStr">
        <is>
          <t>Aarti's father initially rejects the class-crossing match, and her stepmother Shalini conspires to break the marriage by telling each partner the other wants out.</t>
        </is>
      </c>
      <c r="V19" s="20" t="n">
        <v>9</v>
      </c>
      <c r="W19" s="19" t="inlineStr">
        <is>
          <t>Raja is defined by passionate devotion and wounded pride; the role won Aamir Khan Filmfare Best Actor and anchored his biggest 1990s romantic hit.</t>
        </is>
      </c>
      <c r="X19" s="20" t="n">
        <v>10</v>
      </c>
      <c r="Y19" s="20" t="n">
        <v>5</v>
      </c>
      <c r="Z19" s="20" t="n">
        <v>8</v>
      </c>
      <c r="AA19" s="20" t="n">
        <v>5</v>
      </c>
      <c r="AB19" s="20" t="n">
        <v>9</v>
      </c>
      <c r="AC19" s="19" t="inlineStr">
        <is>
          <t>The fetched source records that the lead pair's chemistry was praised, and the kiss became one of the film's most discussed elements.</t>
        </is>
      </c>
      <c r="AD19" s="5" t="inlineStr">
        <is>
          <t>Yes</t>
        </is>
      </c>
      <c r="AE19" s="5" t="inlineStr">
        <is>
          <t>Yes</t>
        </is>
      </c>
      <c r="AF19" s="5" t="inlineStr">
        <is>
          <t>Unclear</t>
        </is>
      </c>
      <c r="AG19" s="5" t="inlineStr">
        <is>
          <t>Yes</t>
        </is>
      </c>
      <c r="AH19" s="5" t="inlineStr">
        <is>
          <t>Yes</t>
        </is>
      </c>
      <c r="AI19" s="5" t="inlineStr">
        <is>
          <t>Partial</t>
        </is>
      </c>
      <c r="AJ19" s="5" t="inlineStr">
        <is>
          <t>No</t>
        </is>
      </c>
      <c r="AK19" s="19" t="inlineStr">
        <is>
          <t>His love survives humiliation and separation, though his pride nearly costs him his family.</t>
        </is>
      </c>
      <c r="AL19" s="19" t="inlineStr">
        <is>
          <t>A sheltered heiress chooses a working-class husband and ultimately exposes her stepmother.</t>
        </is>
      </c>
      <c r="AM19" s="5" t="inlineStr">
        <is>
          <t>Shalini's deception is exposed and the couple reunite with their son.</t>
        </is>
      </c>
      <c r="AN19" s="5" t="inlineStr">
        <is>
          <t>Yes</t>
        </is>
      </c>
      <c r="AO19" s="5" t="inlineStr">
        <is>
          <t>Happy</t>
        </is>
      </c>
      <c r="AP19" s="5" t="inlineStr">
        <is>
          <t>Pardesi Pardesi; Aaye Ho Meri Zindagi Mein</t>
        </is>
      </c>
      <c r="AQ19" s="19" t="inlineStr">
        <is>
          <t>Raja Hindustani is the high point of the class-crossing lover-boy role: a poor, proud man whose devotion is tested less by his wife than by the rich family around her. Internal friction is moderate but consequential, because Raja's pride turns manipulation into the abduction of their child. Aarti's agency is real at the start and the end but largely suspended during the conspiracy.</t>
        </is>
      </c>
      <c r="AR19" s="19" t="inlineStr">
        <is>
          <t>Framed as a crowd-pleasing melodrama about love across class. A modern reading questions the romanticising of possessive male pride and the taking of the baby, while noting the film treats the scheming stepmother, not the couple, as the true villain.</t>
        </is>
      </c>
      <c r="AS19" s="5" t="inlineStr">
        <is>
          <t>SOURCE-032</t>
        </is>
      </c>
      <c r="AT19" s="5" t="inlineStr">
        <is>
          <t>Medium</t>
        </is>
      </c>
    </row>
    <row r="20" ht="79" customHeight="1">
      <c r="A20" s="15" t="inlineStr">
        <is>
          <t>PAIR-019</t>
        </is>
      </c>
      <c r="B20" s="18" t="inlineStr">
        <is>
          <t>FILM-027</t>
        </is>
      </c>
      <c r="C20" s="5" t="inlineStr">
        <is>
          <t>Ishq</t>
        </is>
      </c>
      <c r="D20" s="17" t="n">
        <v>1997</v>
      </c>
      <c r="E20" s="5" t="inlineStr">
        <is>
          <t>Raja</t>
        </is>
      </c>
      <c r="F20" s="5" t="inlineStr">
        <is>
          <t>Juhi Chawla</t>
        </is>
      </c>
      <c r="G20" s="5" t="inlineStr">
        <is>
          <t>Madhu Lal</t>
        </is>
      </c>
      <c r="H20" s="5" t="inlineStr">
        <is>
          <t>Female co-lead</t>
        </is>
      </c>
      <c r="I20" s="5" t="inlineStr">
        <is>
          <t>Yes</t>
        </is>
      </c>
      <c r="J20" s="19" t="inlineStr">
        <is>
          <t>United couple versus external world</t>
        </is>
      </c>
      <c r="K20" s="5" t="inlineStr">
        <is>
          <t>The heiress meant for Ajay and his poor best friend</t>
        </is>
      </c>
      <c r="L20" s="5" t="n"/>
      <c r="M20" s="5" t="inlineStr">
        <is>
          <t>Unclear</t>
        </is>
      </c>
      <c r="N20" s="19" t="inlineStr">
        <is>
          <t>Cross-class romance pursued against both fathers' schemes.</t>
        </is>
      </c>
      <c r="O20" s="19" t="inlineStr">
        <is>
          <t>Comic and devoted</t>
        </is>
      </c>
      <c r="P20" s="19" t="inlineStr">
        <is>
          <t>Forged photographs make Madhu believe Raja is involved with Kajal.</t>
        </is>
      </c>
      <c r="Q20" s="20" t="n">
        <v>4</v>
      </c>
      <c r="R20" s="19" t="inlineStr">
        <is>
          <t>Mistrust created by the fathers' forgeries, resolved in the climax.</t>
        </is>
      </c>
      <c r="S20" s="20" t="n">
        <v>8</v>
      </c>
      <c r="T20" s="5" t="inlineStr">
        <is>
          <t>Family; Class</t>
        </is>
      </c>
      <c r="U20" s="19" t="inlineStr">
        <is>
          <t>Madhu's father Harbans Lal and Ajay's father Ranjit Rai use bribery, violence and forged photographs to stop cross-class marriages.</t>
        </is>
      </c>
      <c r="V20" s="20" t="n">
        <v>7</v>
      </c>
      <c r="W20" s="19" t="inlineStr">
        <is>
          <t>A comic romantic hero whose screen time is split between romance, slapstick and friendship with Ajay.</t>
        </is>
      </c>
      <c r="X20" s="20" t="n">
        <v>8</v>
      </c>
      <c r="Y20" s="20" t="n">
        <v>7</v>
      </c>
      <c r="Z20" s="20" t="n">
        <v>7</v>
      </c>
      <c r="AA20" s="20" t="n">
        <v>4</v>
      </c>
      <c r="AB20" s="18" t="n"/>
      <c r="AC20" s="19" t="inlineStr">
        <is>
          <t>Not scored: reviews in the fetched source praise the cast generally, not this pairing.</t>
        </is>
      </c>
      <c r="AD20" s="5" t="inlineStr">
        <is>
          <t>Yes</t>
        </is>
      </c>
      <c r="AE20" s="5" t="inlineStr">
        <is>
          <t>Partial</t>
        </is>
      </c>
      <c r="AF20" s="5" t="inlineStr">
        <is>
          <t>Partial</t>
        </is>
      </c>
      <c r="AG20" s="5" t="inlineStr">
        <is>
          <t>Yes</t>
        </is>
      </c>
      <c r="AH20" s="5" t="inlineStr">
        <is>
          <t>Yes</t>
        </is>
      </c>
      <c r="AI20" s="5" t="inlineStr">
        <is>
          <t>Unclear</t>
        </is>
      </c>
      <c r="AJ20" s="5" t="inlineStr">
        <is>
          <t>Partial</t>
        </is>
      </c>
      <c r="AK20" s="19" t="inlineStr">
        <is>
          <t>Raja's loyalty to Ajay and love for Madhu drive him to outwit both fathers.</t>
        </is>
      </c>
      <c r="AL20" s="19" t="inlineStr">
        <is>
          <t>Not documented beyond her reconciliation with Raja.</t>
        </is>
      </c>
      <c r="AM20" s="5" t="inlineStr">
        <is>
          <t>Madhu and Ajay reach the departing ship in time; Raja and Madhu reunite.</t>
        </is>
      </c>
      <c r="AN20" s="5" t="inlineStr">
        <is>
          <t>Unclear</t>
        </is>
      </c>
      <c r="AO20" s="5" t="inlineStr">
        <is>
          <t>Happy</t>
        </is>
      </c>
      <c r="AP20" s="5" t="n"/>
      <c r="AQ20" s="19" t="inlineStr">
        <is>
          <t>Ishq doubles the young-lovers-versus-fathers template into two cross-class couples. External opposition is high and farcical; the couple's own friction comes entirely from the fathers' forgeries. The romance shares focus with comedy and the male friendship, keeping the lover-boy score below the purely romantic roles.</t>
        </is>
      </c>
      <c r="AR20" s="19" t="inlineStr">
        <is>
          <t>Framed as broad masala comedy. A modern reading finds the relationship mutual and harmless, though the heroines are secondary to the male leads' antics.</t>
        </is>
      </c>
      <c r="AS20" s="5" t="inlineStr">
        <is>
          <t>SOURCE-033</t>
        </is>
      </c>
      <c r="AT20" s="5" t="inlineStr">
        <is>
          <t>Medium</t>
        </is>
      </c>
    </row>
    <row r="21" ht="64" customHeight="1">
      <c r="A21" s="15" t="inlineStr">
        <is>
          <t>PAIR-020</t>
        </is>
      </c>
      <c r="B21" s="18" t="inlineStr">
        <is>
          <t>FILM-028</t>
        </is>
      </c>
      <c r="C21" s="5" t="inlineStr">
        <is>
          <t>Ghulam</t>
        </is>
      </c>
      <c r="D21" s="17" t="n">
        <v>1998</v>
      </c>
      <c r="E21" s="5" t="inlineStr">
        <is>
          <t>Siddharth "Siddhu" Marathe</t>
        </is>
      </c>
      <c r="F21" s="5" t="inlineStr">
        <is>
          <t>Rani Mukerji</t>
        </is>
      </c>
      <c r="G21" s="5" t="inlineStr">
        <is>
          <t>Alisha Mafatlal</t>
        </is>
      </c>
      <c r="H21" s="5" t="inlineStr">
        <is>
          <t>Female lead</t>
        </is>
      </c>
      <c r="I21" s="5" t="inlineStr">
        <is>
          <t>Yes</t>
        </is>
      </c>
      <c r="J21" s="19" t="inlineStr">
        <is>
          <t>Romance subordinate to another genre</t>
        </is>
      </c>
      <c r="K21" s="5" t="inlineStr">
        <is>
          <t>Strangers; she is linked to a local motorcycle gang</t>
        </is>
      </c>
      <c r="L21" s="5" t="inlineStr">
        <is>
          <t>Siddhu befriends Alisha, unaware that her brother Hari is a social worker opposing Ronnie.</t>
        </is>
      </c>
      <c r="M21" s="5" t="inlineStr">
        <is>
          <t>Unclear</t>
        </is>
      </c>
      <c r="N21" s="19" t="inlineStr">
        <is>
          <t>Friendship that develops into love amid neighbourhood rivalries.</t>
        </is>
      </c>
      <c r="O21" s="19" t="inlineStr">
        <is>
          <t>Attraction strained by guilt</t>
        </is>
      </c>
      <c r="P21" s="19" t="inlineStr">
        <is>
          <t>Siddhu's unwitting role in luring Hari to his death, followed by a breakup.</t>
        </is>
      </c>
      <c r="Q21" s="20" t="n">
        <v>6</v>
      </c>
      <c r="R21" s="19" t="inlineStr">
        <is>
          <t>The couple break up after Siddhu unwittingly helps set up her brother's killing.</t>
        </is>
      </c>
      <c r="S21" s="20" t="n">
        <v>7</v>
      </c>
      <c r="T21" s="5" t="inlineStr">
        <is>
          <t>Crime; Villain</t>
        </is>
      </c>
      <c r="U21" s="19" t="inlineStr">
        <is>
          <t>Ronnie's gang murders Alisha's brother and holds Siddhu's family in its grip.</t>
        </is>
      </c>
      <c r="V21" s="20" t="n">
        <v>5</v>
      </c>
      <c r="W21" s="19" t="inlineStr">
        <is>
          <t>The romance humanises Siddhu, but his arc is about guilt, courage and confronting Ronnie.</t>
        </is>
      </c>
      <c r="X21" s="20" t="n">
        <v>5</v>
      </c>
      <c r="Y21" s="20" t="n">
        <v>6</v>
      </c>
      <c r="Z21" s="20" t="n">
        <v>6</v>
      </c>
      <c r="AA21" s="20" t="n">
        <v>5</v>
      </c>
      <c r="AB21" s="18" t="n"/>
      <c r="AC21" s="19" t="inlineStr">
        <is>
          <t>Not scored: no fetched source evaluates the pairing.</t>
        </is>
      </c>
      <c r="AD21" s="5" t="inlineStr">
        <is>
          <t>Unclear</t>
        </is>
      </c>
      <c r="AE21" s="5" t="inlineStr">
        <is>
          <t>Yes</t>
        </is>
      </c>
      <c r="AF21" s="5" t="inlineStr">
        <is>
          <t>Unclear</t>
        </is>
      </c>
      <c r="AG21" s="5" t="inlineStr">
        <is>
          <t>Unclear</t>
        </is>
      </c>
      <c r="AH21" s="5" t="inlineStr">
        <is>
          <t>Yes</t>
        </is>
      </c>
      <c r="AI21" s="5" t="inlineStr">
        <is>
          <t>Unclear</t>
        </is>
      </c>
      <c r="AJ21" s="5" t="inlineStr">
        <is>
          <t>Unclear</t>
        </is>
      </c>
      <c r="AK21" s="19" t="inlineStr">
        <is>
          <t>Guilt over Hari's death and the loss of Alisha push Siddhu to testify against Ronnie.</t>
        </is>
      </c>
      <c r="AL21" s="19" t="inlineStr">
        <is>
          <t>Not documented.</t>
        </is>
      </c>
      <c r="AM21" s="5" t="inlineStr">
        <is>
          <t>The couple break up after Hari's death; the sources consulted do not record whether they reunite.</t>
        </is>
      </c>
      <c r="AN21" s="5" t="inlineStr">
        <is>
          <t>Unclear</t>
        </is>
      </c>
      <c r="AO21" s="5" t="inlineStr">
        <is>
          <t>Unresolved</t>
        </is>
      </c>
      <c r="AP21" s="5" t="n"/>
      <c r="AQ21" s="19" t="inlineStr">
        <is>
          <t>The romance is structurally tied to the crime plot: Siddhu's love for Alisha is what makes Hari's death a moral catastrophe for him. The breakup is caused by his own complicity rather than family disapproval, placing the pairing unusually high on friction for a secondary romance.</t>
        </is>
      </c>
      <c r="AR21" s="19" t="inlineStr">
        <is>
          <t>Framed as the emotional stake in an On the Waterfront-style redemption story. A modern reading notes that the heroine's grief chiefly serves the hero's moral awakening.</t>
        </is>
      </c>
      <c r="AS21" s="5" t="inlineStr">
        <is>
          <t>SOURCE-034; SOURCE-065</t>
        </is>
      </c>
      <c r="AT21" s="5" t="inlineStr">
        <is>
          <t>Low</t>
        </is>
      </c>
    </row>
    <row r="22" ht="79" customHeight="1">
      <c r="A22" s="15" t="inlineStr">
        <is>
          <t>PAIR-021</t>
        </is>
      </c>
      <c r="B22" s="18" t="inlineStr">
        <is>
          <t>FILM-029</t>
        </is>
      </c>
      <c r="C22" s="5" t="inlineStr">
        <is>
          <t>Sarfarosh</t>
        </is>
      </c>
      <c r="D22" s="17" t="n">
        <v>1999</v>
      </c>
      <c r="E22" s="5" t="inlineStr">
        <is>
          <t>ACP Ajay Singh Rathod</t>
        </is>
      </c>
      <c r="F22" s="5" t="inlineStr">
        <is>
          <t>Sonali Bendre</t>
        </is>
      </c>
      <c r="G22" s="5" t="inlineStr">
        <is>
          <t>Seema Nagrath</t>
        </is>
      </c>
      <c r="H22" s="5" t="inlineStr">
        <is>
          <t>Female lead with limited screen time</t>
        </is>
      </c>
      <c r="I22" s="5" t="inlineStr">
        <is>
          <t>Yes</t>
        </is>
      </c>
      <c r="J22" s="19" t="inlineStr">
        <is>
          <t>Romance subordinate to another genre</t>
        </is>
      </c>
      <c r="K22" s="5" t="inlineStr">
        <is>
          <t>College acquaintances; Ajay had a crush on her in Delhi</t>
        </is>
      </c>
      <c r="L22" s="5" t="inlineStr">
        <is>
          <t>They reconnect in Mumbai years after college.</t>
        </is>
      </c>
      <c r="M22" s="5" t="inlineStr">
        <is>
          <t>Mutual after the reunion</t>
        </is>
      </c>
      <c r="N22" s="19" t="inlineStr">
        <is>
          <t>Low-conflict romance carried mainly by songs between investigation set pieces.</t>
        </is>
      </c>
      <c r="O22" s="19" t="inlineStr">
        <is>
          <t>Warm, supportive and uncomplicated</t>
        </is>
      </c>
      <c r="P22" s="19" t="inlineStr">
        <is>
          <t>None documented; the danger of his work is the only strain.</t>
        </is>
      </c>
      <c r="Q22" s="20" t="n">
        <v>1</v>
      </c>
      <c r="R22" s="19" t="inlineStr">
        <is>
          <t>No meaningful disagreement between the couple is recorded.</t>
        </is>
      </c>
      <c r="S22" s="20" t="n">
        <v>2</v>
      </c>
      <c r="T22" s="5" t="inlineStr">
        <is>
          <t>Other</t>
        </is>
      </c>
      <c r="U22" s="19" t="inlineStr">
        <is>
          <t>Only the demands and danger of Ajay's counter-terrorism work intrude on the relationship.</t>
        </is>
      </c>
      <c r="V22" s="20" t="n">
        <v>4</v>
      </c>
      <c r="W22" s="19" t="inlineStr">
        <is>
          <t>Romance supplies charm and songs, but Ajay's identity is organised around duty and revenge on terrorism.</t>
        </is>
      </c>
      <c r="X22" s="20" t="n">
        <v>3</v>
      </c>
      <c r="Y22" s="20" t="n">
        <v>8</v>
      </c>
      <c r="Z22" s="20" t="n">
        <v>7</v>
      </c>
      <c r="AA22" s="20" t="n">
        <v>4</v>
      </c>
      <c r="AB22" s="20" t="n">
        <v>6</v>
      </c>
      <c r="AC22" s="19" t="inlineStr">
        <is>
          <t>Pleasant and song-driven; reviews in the fetched source praise the performances generally without singling out the pair.</t>
        </is>
      </c>
      <c r="AD22" s="5" t="inlineStr">
        <is>
          <t>Yes</t>
        </is>
      </c>
      <c r="AE22" s="5" t="inlineStr">
        <is>
          <t>No</t>
        </is>
      </c>
      <c r="AF22" s="5" t="inlineStr">
        <is>
          <t>No</t>
        </is>
      </c>
      <c r="AG22" s="5" t="inlineStr">
        <is>
          <t>No</t>
        </is>
      </c>
      <c r="AH22" s="5" t="inlineStr">
        <is>
          <t>No</t>
        </is>
      </c>
      <c r="AI22" s="5" t="inlineStr">
        <is>
          <t>No</t>
        </is>
      </c>
      <c r="AJ22" s="5" t="inlineStr">
        <is>
          <t>Partial</t>
        </is>
      </c>
      <c r="AK22" s="19" t="inlineStr">
        <is>
          <t>Seema offers emotional grounding; the hospital conversation with her triggers the insight that breaks the case.</t>
        </is>
      </c>
      <c r="AL22" s="19" t="inlineStr">
        <is>
          <t>Not applicable; her character has little independent arc.</t>
        </is>
      </c>
      <c r="AM22" s="5" t="inlineStr">
        <is>
          <t>The couple remains together as Ajay completes his mission.</t>
        </is>
      </c>
      <c r="AN22" s="5" t="inlineStr">
        <is>
          <t>Unclear</t>
        </is>
      </c>
      <c r="AO22" s="5" t="inlineStr">
        <is>
          <t>Happy</t>
        </is>
      </c>
      <c r="AP22" s="5" t="inlineStr">
        <is>
          <t>Is Deewane Ladke Ko; Jo Haal Dil Ka; Yeh Jawani Hadd Kar De</t>
        </is>
      </c>
      <c r="AQ22" s="19" t="inlineStr">
        <is>
          <t>A benchmark for secondary romance: warm, mutual and nearly conflict-free, but structurally ornamental. Seema's one plot function, helping Ajay return to the site after his epiphany, keeps her from being purely decorative. The low lover-boy score despite a pleasant romance illustrates why the scale is kept separate from relationship health.</t>
        </is>
      </c>
      <c r="AR22" s="19" t="inlineStr">
        <is>
          <t>Framed conventionally as a hero's reward and respite. A modern reading finds nothing coercive, but notes the thinness of the female role typical of late-1990s action thrillers.</t>
        </is>
      </c>
      <c r="AS22" s="5" t="inlineStr">
        <is>
          <t>SOURCE-036</t>
        </is>
      </c>
      <c r="AT22" s="5" t="inlineStr">
        <is>
          <t>Medium</t>
        </is>
      </c>
    </row>
    <row r="23" ht="79" customHeight="1">
      <c r="A23" s="15" t="inlineStr">
        <is>
          <t>PAIR-022</t>
        </is>
      </c>
      <c r="B23" s="18" t="inlineStr">
        <is>
          <t>FILM-030</t>
        </is>
      </c>
      <c r="C23" s="5" t="inlineStr">
        <is>
          <t>Mann</t>
        </is>
      </c>
      <c r="D23" s="17" t="n">
        <v>1999</v>
      </c>
      <c r="E23" s="5" t="inlineStr">
        <is>
          <t>Dev Karan Singh</t>
        </is>
      </c>
      <c r="F23" s="5" t="inlineStr">
        <is>
          <t>Manisha Koirala</t>
        </is>
      </c>
      <c r="G23" s="5" t="inlineStr">
        <is>
          <t>Priya Verma</t>
        </is>
      </c>
      <c r="H23" s="5" t="inlineStr">
        <is>
          <t>Female lead</t>
        </is>
      </c>
      <c r="I23" s="5" t="inlineStr">
        <is>
          <t>Yes</t>
        </is>
      </c>
      <c r="J23" s="19" t="inlineStr">
        <is>
          <t>Frictionless idealized romance</t>
        </is>
      </c>
      <c r="K23" s="5" t="inlineStr">
        <is>
          <t>Strangers, each engaged to someone else</t>
        </is>
      </c>
      <c r="L23" s="5" t="inlineStr">
        <is>
          <t>On a cruise.</t>
        </is>
      </c>
      <c r="M23" s="5" t="inlineStr">
        <is>
          <t>Unclear</t>
        </is>
      </c>
      <c r="N23" s="19" t="inlineStr">
        <is>
          <t>A shipboard romance followed by a pact to meet on Valentine's Day in six months after ending their engagements.</t>
        </is>
      </c>
      <c r="O23" s="19" t="inlineStr">
        <is>
          <t>Idealised mutual devotion; her self-sacrificing concealment</t>
        </is>
      </c>
      <c r="P23" s="19" t="inlineStr">
        <is>
          <t>Priya hides her amputation so as not to burden Dev; he believes she rejected him.</t>
        </is>
      </c>
      <c r="Q23" s="20" t="n">
        <v>3</v>
      </c>
      <c r="R23" s="19" t="inlineStr">
        <is>
          <t>Her concealment and his sense of rejection cause a painful but loving misunderstanding.</t>
        </is>
      </c>
      <c r="S23" s="20" t="n">
        <v>7</v>
      </c>
      <c r="T23" s="5" t="inlineStr">
        <is>
          <t>Fate; Existing relationship</t>
        </is>
      </c>
      <c r="U23" s="19" t="inlineStr">
        <is>
          <t>Both are engaged to others, and a car accident that costs Priya her legs keeps her from the rendezvous.</t>
        </is>
      </c>
      <c r="V23" s="20" t="n">
        <v>9</v>
      </c>
      <c r="W23" s="19" t="inlineStr">
        <is>
          <t>Dev's transformation from casanova to faithful artist is driven entirely by his love for Priya.</t>
        </is>
      </c>
      <c r="X23" s="20" t="n">
        <v>10</v>
      </c>
      <c r="Y23" s="20" t="n">
        <v>7</v>
      </c>
      <c r="Z23" s="20" t="n">
        <v>8</v>
      </c>
      <c r="AA23" s="20" t="n">
        <v>5</v>
      </c>
      <c r="AB23" s="18" t="n"/>
      <c r="AC23" s="19" t="inlineStr">
        <is>
          <t>Not scored: the fetched source reports positive reviews without assessing the pairing.</t>
        </is>
      </c>
      <c r="AD23" s="5" t="inlineStr">
        <is>
          <t>Unclear</t>
        </is>
      </c>
      <c r="AE23" s="5" t="inlineStr">
        <is>
          <t>Partial</t>
        </is>
      </c>
      <c r="AF23" s="5" t="inlineStr">
        <is>
          <t>Unclear</t>
        </is>
      </c>
      <c r="AG23" s="5" t="inlineStr">
        <is>
          <t>Partial</t>
        </is>
      </c>
      <c r="AH23" s="5" t="inlineStr">
        <is>
          <t>Yes</t>
        </is>
      </c>
      <c r="AI23" s="5" t="inlineStr">
        <is>
          <t>Yes</t>
        </is>
      </c>
      <c r="AJ23" s="5" t="inlineStr">
        <is>
          <t>No</t>
        </is>
      </c>
      <c r="AK23" s="19" t="inlineStr">
        <is>
          <t>A debt-ridden casanova breaks a mercenary engagement and earns success through his art.</t>
        </is>
      </c>
      <c r="AL23" s="19" t="inlineStr">
        <is>
          <t>After losing her legs, Priya builds an independent life running a music academy.</t>
        </is>
      </c>
      <c r="AM23" s="5" t="inlineStr">
        <is>
          <t>Dev recognises the painting he gave her, discovers her disability, assures her of his love, and they marry with Raj's blessing.</t>
        </is>
      </c>
      <c r="AN23" s="5" t="inlineStr">
        <is>
          <t>Yes</t>
        </is>
      </c>
      <c r="AO23" s="5" t="inlineStr">
        <is>
          <t>Happy</t>
        </is>
      </c>
      <c r="AP23" s="5" t="inlineStr">
        <is>
          <t>Chaaha Hai Tujhko; Nasha Yeh Pyar Ka; Kehna Hai Tumse</t>
        </is>
      </c>
      <c r="AQ23" s="19" t="inlineStr">
        <is>
          <t>Mann is the purest late-1990s lover-boy vehicle: the man is redeemed by love, the couple never truly quarrel, and the obstacles are prior engagements and fate. Priya's concealment is framed as noble sacrifice, which keeps friction low while producing a long separation.</t>
        </is>
      </c>
      <c r="AR23" s="19" t="inlineStr">
        <is>
          <t>Framed as a classic weepie in the An Affair to Remember mould. A modern reading questions the premise that a disabled woman must hide herself to avoid being a burden, even though the hero's unconditional acceptance is presented as the resolution.</t>
        </is>
      </c>
      <c r="AS23" s="5" t="inlineStr">
        <is>
          <t>SOURCE-037</t>
        </is>
      </c>
      <c r="AT23" s="5" t="inlineStr">
        <is>
          <t>Medium</t>
        </is>
      </c>
    </row>
    <row r="24" ht="79" customHeight="1">
      <c r="A24" s="15" t="inlineStr">
        <is>
          <t>PAIR-023</t>
        </is>
      </c>
      <c r="B24" s="18" t="inlineStr">
        <is>
          <t>FILM-031</t>
        </is>
      </c>
      <c r="C24" s="5" t="inlineStr">
        <is>
          <t>Earth</t>
        </is>
      </c>
      <c r="D24" s="17" t="n">
        <v>1999</v>
      </c>
      <c r="E24" s="5" t="inlineStr">
        <is>
          <t>Dil Navaz, the Ice Candy Man</t>
        </is>
      </c>
      <c r="F24" s="5" t="inlineStr">
        <is>
          <t>Nandita Das</t>
        </is>
      </c>
      <c r="G24" s="5" t="inlineStr">
        <is>
          <t>Shanta</t>
        </is>
      </c>
      <c r="H24" s="5" t="inlineStr">
        <is>
          <t>Female lead</t>
        </is>
      </c>
      <c r="I24" s="5" t="inlineStr">
        <is>
          <t>Yes</t>
        </is>
      </c>
      <c r="J24" s="19" t="inlineStr">
        <is>
          <t>Love triangle</t>
        </is>
      </c>
      <c r="K24" s="5" t="inlineStr">
        <is>
          <t>Friends in a mixed-faith circle in Lahore</t>
        </is>
      </c>
      <c r="L24" s="5" t="inlineStr">
        <is>
          <t>Dil Navaz is part of the group of friends who gather daily around Shanta in a park.</t>
        </is>
      </c>
      <c r="M24" s="5" t="inlineStr">
        <is>
          <t>Dil Navaz</t>
        </is>
      </c>
      <c r="N24" s="19" t="inlineStr">
        <is>
          <t>Persistent attention within the group; Shanta chooses Hassan and plans to marry him.</t>
        </is>
      </c>
      <c r="O24" s="19" t="inlineStr">
        <is>
          <t>Unrequited desire curdling into resentment</t>
        </is>
      </c>
      <c r="P24" s="19" t="inlineStr">
        <is>
          <t>Shanta prefers Hassan; Dil Navaz's jealousy grows until he betrays her.</t>
        </is>
      </c>
      <c r="Q24" s="20" t="n">
        <v>9</v>
      </c>
      <c r="R24" s="19" t="inlineStr">
        <is>
          <t>Rejected pursuit ends in betrayal: he tricks a child into revealing Shanta's hiding place to a mob.</t>
        </is>
      </c>
      <c r="S24" s="20" t="n">
        <v>9</v>
      </c>
      <c r="T24" s="5" t="inlineStr">
        <is>
          <t>War or politics; Religion; Existing relationship</t>
        </is>
      </c>
      <c r="U24" s="19" t="inlineStr">
        <is>
          <t>Partition's communal violence tears the friendship circle apart, and Shanta's commitment to Hassan closes the triangle.</t>
        </is>
      </c>
      <c r="V24" s="20" t="n">
        <v>3</v>
      </c>
      <c r="W24" s="19" t="inlineStr">
        <is>
          <t>Dil Navaz begins as a charming suitor, but the role becomes a study of jealous, destructive desire rather than romantic heroism.</t>
        </is>
      </c>
      <c r="X24" s="20" t="n">
        <v>7</v>
      </c>
      <c r="Y24" s="20" t="n">
        <v>1</v>
      </c>
      <c r="Z24" s="20" t="n">
        <v>1</v>
      </c>
      <c r="AA24" s="20" t="n">
        <v>6</v>
      </c>
      <c r="AB24" s="18" t="n"/>
      <c r="AC24" s="19" t="inlineStr">
        <is>
          <t>Not scored: reviews praise Aamir Khan's performance but do not assess the pairing.</t>
        </is>
      </c>
      <c r="AD24" s="5" t="inlineStr">
        <is>
          <t>Unclear</t>
        </is>
      </c>
      <c r="AE24" s="5" t="inlineStr">
        <is>
          <t>Yes</t>
        </is>
      </c>
      <c r="AF24" s="5" t="inlineStr">
        <is>
          <t>Yes</t>
        </is>
      </c>
      <c r="AG24" s="5" t="inlineStr">
        <is>
          <t>Yes</t>
        </is>
      </c>
      <c r="AH24" s="5" t="inlineStr">
        <is>
          <t>Not applicable</t>
        </is>
      </c>
      <c r="AI24" s="5" t="inlineStr">
        <is>
          <t>No</t>
        </is>
      </c>
      <c r="AJ24" s="5" t="inlineStr">
        <is>
          <t>No</t>
        </is>
      </c>
      <c r="AK24" s="19" t="inlineStr">
        <is>
          <t>Rejection and communal grief turn a charming suitor into a betrayer.</t>
        </is>
      </c>
      <c r="AL24" s="19" t="inlineStr">
        <is>
          <t>Not documented beyond her choice of Hassan and her abduction.</t>
        </is>
      </c>
      <c r="AM24" s="5" t="inlineStr">
        <is>
          <t>Dil Navaz tricks Lenny into revealing Shanta's hiding place, and she is seized by a mob.</t>
        </is>
      </c>
      <c r="AN24" s="5" t="inlineStr">
        <is>
          <t>No</t>
        </is>
      </c>
      <c r="AO24" s="5" t="inlineStr">
        <is>
          <t>Tragic</t>
        </is>
      </c>
      <c r="AP24" s="5" t="n"/>
      <c r="AQ24" s="19" t="inlineStr">
        <is>
          <t>The most destructive pairing in the filmography and the sharpest inversion of the lover-boy persona. Shanta exercises clear choice, and Dil Navaz converts rejection into violence under cover of communal hatred. Friction and opposition are both extreme, but the decisive act is his, which is why friction is scored as high as the external Partition context.</t>
        </is>
      </c>
      <c r="AR24" s="19" t="inlineStr">
        <is>
          <t>Received as a powerful, disturbing Partition film. A modern reading sees an unflinching portrait of male entitlement and of women's bodies becoming targets in communal violence.</t>
        </is>
      </c>
      <c r="AS24" s="5" t="inlineStr">
        <is>
          <t>SOURCE-035</t>
        </is>
      </c>
      <c r="AT24" s="5" t="inlineStr">
        <is>
          <t>Medium</t>
        </is>
      </c>
    </row>
    <row r="25" ht="64" customHeight="1">
      <c r="A25" s="15" t="inlineStr">
        <is>
          <t>PAIR-024</t>
        </is>
      </c>
      <c r="B25" s="18" t="inlineStr">
        <is>
          <t>FILM-032</t>
        </is>
      </c>
      <c r="C25" s="5" t="inlineStr">
        <is>
          <t>Mela</t>
        </is>
      </c>
      <c r="D25" s="17" t="n">
        <v>2000</v>
      </c>
      <c r="E25" s="5" t="inlineStr">
        <is>
          <t>Kishan Pyare</t>
        </is>
      </c>
      <c r="F25" s="5" t="inlineStr">
        <is>
          <t>Twinkle Khanna</t>
        </is>
      </c>
      <c r="G25" s="5" t="inlineStr">
        <is>
          <t>Roopa Singh</t>
        </is>
      </c>
      <c r="H25" s="5" t="inlineStr">
        <is>
          <t>Female lead</t>
        </is>
      </c>
      <c r="I25" s="5" t="inlineStr">
        <is>
          <t>Yes</t>
        </is>
      </c>
      <c r="J25" s="19" t="inlineStr">
        <is>
          <t>Relationship damaged by mistrust</t>
        </is>
      </c>
      <c r="K25" s="5" t="inlineStr">
        <is>
          <t>Strangers</t>
        </is>
      </c>
      <c r="L25" s="5" t="inlineStr">
        <is>
          <t>Roopa steals Kishan's clothes at a restaurant; he confronts her, then defends her when goons harass her.</t>
        </is>
      </c>
      <c r="M25" s="5" t="inlineStr">
        <is>
          <t>Kishan</t>
        </is>
      </c>
      <c r="N25" s="19" t="inlineStr">
        <is>
          <t>He makes her the heroine of his dance show; she feigns love to secure his help against Gujjar Singh.</t>
        </is>
      </c>
      <c r="O25" s="19" t="inlineStr">
        <is>
          <t>His sincere love against her strategic pretence, becoming mutual</t>
        </is>
      </c>
      <c r="P25" s="19" t="inlineStr">
        <is>
          <t>Roopa's deception about her feelings and purpose.</t>
        </is>
      </c>
      <c r="Q25" s="20" t="n">
        <v>6</v>
      </c>
      <c r="R25" s="19" t="inlineStr">
        <is>
          <t>Calculated deception and his heartbroken departure mark a serious rupture before reconciliation.</t>
        </is>
      </c>
      <c r="S25" s="20" t="n">
        <v>8</v>
      </c>
      <c r="T25" s="5" t="inlineStr">
        <is>
          <t>Villain; Crime</t>
        </is>
      </c>
      <c r="U25" s="19" t="inlineStr">
        <is>
          <t>The bandit Gujjar Singh killed Roopa's brother and wants her as his mistress.</t>
        </is>
      </c>
      <c r="V25" s="20" t="n">
        <v>7</v>
      </c>
      <c r="W25" s="19" t="inlineStr">
        <is>
          <t>Kishan is a romantic hero, but the second half turns to revenge action.</t>
        </is>
      </c>
      <c r="X25" s="20" t="n">
        <v>7</v>
      </c>
      <c r="Y25" s="20" t="n">
        <v>5</v>
      </c>
      <c r="Z25" s="20" t="n">
        <v>5</v>
      </c>
      <c r="AA25" s="20" t="n">
        <v>7</v>
      </c>
      <c r="AB25" s="18" t="n"/>
      <c r="AC25" s="19" t="inlineStr">
        <is>
          <t>Not scored: reviews criticise Twinkle Khanna's dubbed voice and praise Aamir Khan, but do not assess the pairing.</t>
        </is>
      </c>
      <c r="AD25" s="5" t="inlineStr">
        <is>
          <t>Yes</t>
        </is>
      </c>
      <c r="AE25" s="5" t="inlineStr">
        <is>
          <t>Yes</t>
        </is>
      </c>
      <c r="AF25" s="5" t="inlineStr">
        <is>
          <t>Unclear</t>
        </is>
      </c>
      <c r="AG25" s="5" t="inlineStr">
        <is>
          <t>Yes</t>
        </is>
      </c>
      <c r="AH25" s="5" t="inlineStr">
        <is>
          <t>Yes</t>
        </is>
      </c>
      <c r="AI25" s="5" t="inlineStr">
        <is>
          <t>Unclear</t>
        </is>
      </c>
      <c r="AJ25" s="5" t="inlineStr">
        <is>
          <t>Yes</t>
        </is>
      </c>
      <c r="AK25" s="19" t="inlineStr">
        <is>
          <t>An easy-going performer becomes a committed protector despite having been used.</t>
        </is>
      </c>
      <c r="AL25" s="19" t="inlineStr">
        <is>
          <t>A woman bent on revenge moves from using Kishan to loving him.</t>
        </is>
      </c>
      <c r="AM25" s="5" t="inlineStr">
        <is>
          <t>After Gujjar Singh is defeated, Kishan and Roopa end together.</t>
        </is>
      </c>
      <c r="AN25" s="5" t="inlineStr">
        <is>
          <t>Unclear</t>
        </is>
      </c>
      <c r="AO25" s="5" t="inlineStr">
        <is>
          <t>Happy</t>
        </is>
      </c>
      <c r="AP25" s="5" t="n"/>
      <c r="AQ25" s="19" t="inlineStr">
        <is>
          <t>Mela reverses the usual deception pattern: the heroine manipulates the hero, for a revenge goal the film endorses. Her agency is therefore high, while mutuality and health are moderate until the truth comes out. The villain supplies extreme external danger.</t>
        </is>
      </c>
      <c r="AR25" s="19" t="inlineStr">
        <is>
          <t>Framed as masala entertainment. A modern reading finds Roopa's purposeful deception more interesting than the film's reviews allowed, though her revenge still requires male fighters.</t>
        </is>
      </c>
      <c r="AS25" s="5" t="inlineStr">
        <is>
          <t>SOURCE-038</t>
        </is>
      </c>
      <c r="AT25" s="5" t="inlineStr">
        <is>
          <t>Medium</t>
        </is>
      </c>
    </row>
    <row r="26" ht="64" customHeight="1">
      <c r="A26" s="15" t="inlineStr">
        <is>
          <t>PAIR-025</t>
        </is>
      </c>
      <c r="B26" s="18" t="inlineStr">
        <is>
          <t>FILM-033</t>
        </is>
      </c>
      <c r="C26" s="5" t="inlineStr">
        <is>
          <t>Lagaan</t>
        </is>
      </c>
      <c r="D26" s="17" t="n">
        <v>2001</v>
      </c>
      <c r="E26" s="5" t="inlineStr">
        <is>
          <t>Bhuvan</t>
        </is>
      </c>
      <c r="F26" s="5" t="inlineStr">
        <is>
          <t>Gracy Singh</t>
        </is>
      </c>
      <c r="G26" s="5" t="inlineStr">
        <is>
          <t>Gauri</t>
        </is>
      </c>
      <c r="H26" s="5" t="inlineStr">
        <is>
          <t>Female lead</t>
        </is>
      </c>
      <c r="I26" s="5" t="inlineStr">
        <is>
          <t>Yes</t>
        </is>
      </c>
      <c r="J26" s="19" t="inlineStr">
        <is>
          <t>Love triangle</t>
        </is>
      </c>
      <c r="K26" s="5" t="inlineStr">
        <is>
          <t>Fellow villagers; she is the village medic's daughter</t>
        </is>
      </c>
      <c r="L26" s="5" t="inlineStr">
        <is>
          <t>They live in the same village.</t>
        </is>
      </c>
      <c r="M26" s="5" t="inlineStr">
        <is>
          <t>Bhuvan</t>
        </is>
      </c>
      <c r="N26" s="19" t="inlineStr">
        <is>
          <t>Village courtship running alongside the cricket preparations.</t>
        </is>
      </c>
      <c r="O26" s="19" t="inlineStr">
        <is>
          <t>Mutual, understated affection</t>
        </is>
      </c>
      <c r="P26" s="19" t="inlineStr">
        <is>
          <t>None documented between them.</t>
        </is>
      </c>
      <c r="Q26" s="20" t="n">
        <v>2</v>
      </c>
      <c r="R26" s="19" t="inlineStr">
        <is>
          <t>No meaningful disagreement is recorded; rivalry comes from outside the couple.</t>
        </is>
      </c>
      <c r="S26" s="20" t="n">
        <v>4</v>
      </c>
      <c r="T26" s="5" t="inlineStr">
        <is>
          <t>Other</t>
        </is>
      </c>
      <c r="U26" s="19" t="inlineStr">
        <is>
          <t>Lakha covets Gauri, and his jealousy feeds his betrayal of the team; Elizabeth's feelings for Bhuvan form a second, unspoken rivalry.</t>
        </is>
      </c>
      <c r="V26" s="20" t="n">
        <v>4</v>
      </c>
      <c r="W26" s="19" t="inlineStr">
        <is>
          <t>Bhuvan is a leader first; the romance is a secondary thread in a sports epic.</t>
        </is>
      </c>
      <c r="X26" s="20" t="n">
        <v>3</v>
      </c>
      <c r="Y26" s="20" t="n">
        <v>8</v>
      </c>
      <c r="Z26" s="20" t="n">
        <v>7</v>
      </c>
      <c r="AA26" s="20" t="n">
        <v>3</v>
      </c>
      <c r="AB26" s="18" t="n"/>
      <c r="AC26" s="19" t="inlineStr">
        <is>
          <t>Not scored: no fetched source evaluates the pairing.</t>
        </is>
      </c>
      <c r="AD26" s="5" t="inlineStr">
        <is>
          <t>Unclear</t>
        </is>
      </c>
      <c r="AE26" s="5" t="inlineStr">
        <is>
          <t>No</t>
        </is>
      </c>
      <c r="AF26" s="5" t="inlineStr">
        <is>
          <t>Partial</t>
        </is>
      </c>
      <c r="AG26" s="5" t="inlineStr">
        <is>
          <t>No</t>
        </is>
      </c>
      <c r="AH26" s="5" t="inlineStr">
        <is>
          <t>No</t>
        </is>
      </c>
      <c r="AI26" s="5" t="inlineStr">
        <is>
          <t>No</t>
        </is>
      </c>
      <c r="AJ26" s="5" t="inlineStr">
        <is>
          <t>Partial</t>
        </is>
      </c>
      <c r="AK26" s="19" t="inlineStr">
        <is>
          <t>Not significant; Bhuvan's arc is driven by the wager.</t>
        </is>
      </c>
      <c r="AL26" s="19" t="inlineStr">
        <is>
          <t>Not documented.</t>
        </is>
      </c>
      <c r="AM26" s="5" t="inlineStr">
        <is>
          <t>They marry after the cricket victory, blessed by the Raja.</t>
        </is>
      </c>
      <c r="AN26" s="5" t="inlineStr">
        <is>
          <t>Yes</t>
        </is>
      </c>
      <c r="AO26" s="5" t="inlineStr">
        <is>
          <t>Happy</t>
        </is>
      </c>
      <c r="AP26" s="5" t="n"/>
      <c r="AQ26" s="19" t="inlineStr">
        <is>
          <t>A secondary, conflict-light village romance whose main narrative use is to motivate Lakha's betrayal. Gauri has little independent agency in the documented plot, which is typical of the film's male-centred epic structure.</t>
        </is>
      </c>
      <c r="AR26" s="19" t="inlineStr">
        <is>
          <t>Framed as a traditional romance within a celebrated epic. A modern reading notes that Gauri is defined almost entirely by her love for Bhuvan.</t>
        </is>
      </c>
      <c r="AS26" s="5" t="inlineStr">
        <is>
          <t>SOURCE-039</t>
        </is>
      </c>
      <c r="AT26" s="5" t="inlineStr">
        <is>
          <t>Medium</t>
        </is>
      </c>
    </row>
    <row r="27" ht="64" customHeight="1">
      <c r="A27" s="15" t="inlineStr">
        <is>
          <t>PAIR-026</t>
        </is>
      </c>
      <c r="B27" s="18" t="inlineStr">
        <is>
          <t>FILM-033</t>
        </is>
      </c>
      <c r="C27" s="5" t="inlineStr">
        <is>
          <t>Lagaan</t>
        </is>
      </c>
      <c r="D27" s="17" t="n">
        <v>2001</v>
      </c>
      <c r="E27" s="5" t="inlineStr">
        <is>
          <t>Bhuvan</t>
        </is>
      </c>
      <c r="F27" s="5" t="inlineStr">
        <is>
          <t>Rachel Shelley</t>
        </is>
      </c>
      <c r="G27" s="5" t="inlineStr">
        <is>
          <t>Elizabeth Russell</t>
        </is>
      </c>
      <c r="H27" s="5" t="inlineStr">
        <is>
          <t>Supporting lead</t>
        </is>
      </c>
      <c r="I27" s="5" t="inlineStr">
        <is>
          <t>Partial</t>
        </is>
      </c>
      <c r="J27" s="19" t="inlineStr">
        <is>
          <t>Unrequited love</t>
        </is>
      </c>
      <c r="K27" s="5" t="inlineStr">
        <is>
          <t>The British captain's sister, newly arrived from England</t>
        </is>
      </c>
      <c r="L27" s="5" t="inlineStr">
        <is>
          <t>Elizabeth encounters the villagers after her brother's wager and chooses to help them.</t>
        </is>
      </c>
      <c r="M27" s="5" t="inlineStr">
        <is>
          <t>Elizabeth</t>
        </is>
      </c>
      <c r="N27" s="19" t="inlineStr">
        <is>
          <t>She secretly coaches the team in cricket; her infatuation with Bhuvan stays unspoken.</t>
        </is>
      </c>
      <c r="O27" s="19" t="inlineStr">
        <is>
          <t>One-sided admiration across the colonial divide</t>
        </is>
      </c>
      <c r="P27" s="19" t="inlineStr">
        <is>
          <t>None between them; her love is simply not returned.</t>
        </is>
      </c>
      <c r="Q27" s="20" t="n">
        <v>1</v>
      </c>
      <c r="R27" s="19" t="inlineStr">
        <is>
          <t>No conflict; the relationship is platonic on his side.</t>
        </is>
      </c>
      <c r="S27" s="20" t="n">
        <v>7</v>
      </c>
      <c r="T27" s="5" t="inlineStr">
        <is>
          <t>War or politics; Class; Existing relationship</t>
        </is>
      </c>
      <c r="U27" s="19" t="inlineStr">
        <is>
          <t>Colonial hierarchy, her brother's authority and Bhuvan's love for Gauri make any romance impossible.</t>
        </is>
      </c>
      <c r="V27" s="20" t="n">
        <v>1</v>
      </c>
      <c r="W27" s="19" t="inlineStr">
        <is>
          <t>Bhuvan shows no romantic interest in Elizabeth.</t>
        </is>
      </c>
      <c r="X27" s="20" t="n">
        <v>3</v>
      </c>
      <c r="Y27" s="20" t="n">
        <v>8</v>
      </c>
      <c r="Z27" s="20" t="n">
        <v>1</v>
      </c>
      <c r="AA27" s="20" t="n">
        <v>8</v>
      </c>
      <c r="AB27" s="18" t="n"/>
      <c r="AC27" s="19" t="inlineStr">
        <is>
          <t>Not scored: no fetched source evaluates the pairing.</t>
        </is>
      </c>
      <c r="AD27" s="5" t="inlineStr">
        <is>
          <t>Unclear</t>
        </is>
      </c>
      <c r="AE27" s="5" t="inlineStr">
        <is>
          <t>No</t>
        </is>
      </c>
      <c r="AF27" s="5" t="inlineStr">
        <is>
          <t>No</t>
        </is>
      </c>
      <c r="AG27" s="5" t="inlineStr">
        <is>
          <t>Partial</t>
        </is>
      </c>
      <c r="AH27" s="5" t="inlineStr">
        <is>
          <t>Yes</t>
        </is>
      </c>
      <c r="AI27" s="5" t="inlineStr">
        <is>
          <t>Yes</t>
        </is>
      </c>
      <c r="AJ27" s="5" t="inlineStr">
        <is>
          <t>Yes</t>
        </is>
      </c>
      <c r="AK27" s="19" t="inlineStr">
        <is>
          <t>Not applicable; Bhuvan's arc is unaffected.</t>
        </is>
      </c>
      <c r="AL27" s="19" t="inlineStr">
        <is>
          <t>Elizabeth crosses colonial lines to help the villagers and leaves India carrying an unrequited love.</t>
        </is>
      </c>
      <c r="AM27" s="5" t="inlineStr">
        <is>
          <t>She sees Bhuvan and Gauri together, returns to England and never marries.</t>
        </is>
      </c>
      <c r="AN27" s="5" t="inlineStr">
        <is>
          <t>No</t>
        </is>
      </c>
      <c r="AO27" s="5" t="inlineStr">
        <is>
          <t>Unresolved</t>
        </is>
      </c>
      <c r="AP27" s="5" t="n"/>
      <c r="AQ27" s="19" t="inlineStr">
        <is>
          <t>A meaningful romantic thread that exists entirely on the woman's side. Elizabeth is the most self-directed woman in Lagaan: she defies her brother and her community to coach the villagers. The pairing shows why mutuality and lover-boy scores must be kept separate from female agency.</t>
        </is>
      </c>
      <c r="AR27" s="19" t="inlineStr">
        <is>
          <t>Framed as a poignant cross-cultural subplot. A modern reading sees a sympathetic coloniser figure whose unreturned love flatters the hero while giving her a rare independent moral choice.</t>
        </is>
      </c>
      <c r="AS27" s="5" t="inlineStr">
        <is>
          <t>SOURCE-039</t>
        </is>
      </c>
      <c r="AT27" s="5" t="inlineStr">
        <is>
          <t>Medium</t>
        </is>
      </c>
    </row>
    <row r="28" ht="94" customHeight="1">
      <c r="A28" s="15" t="inlineStr">
        <is>
          <t>PAIR-027</t>
        </is>
      </c>
      <c r="B28" s="18" t="inlineStr">
        <is>
          <t>FILM-034</t>
        </is>
      </c>
      <c r="C28" s="5" t="inlineStr">
        <is>
          <t>Dil Chahta Hai</t>
        </is>
      </c>
      <c r="D28" s="17" t="n">
        <v>2001</v>
      </c>
      <c r="E28" s="5" t="inlineStr">
        <is>
          <t>Akash Malhotra</t>
        </is>
      </c>
      <c r="F28" s="5" t="inlineStr">
        <is>
          <t>Preity Zinta</t>
        </is>
      </c>
      <c r="G28" s="5" t="inlineStr">
        <is>
          <t>Shalini</t>
        </is>
      </c>
      <c r="H28" s="5" t="inlineStr">
        <is>
          <t>Female lead of one of three storylines</t>
        </is>
      </c>
      <c r="I28" s="5" t="inlineStr">
        <is>
          <t>Yes</t>
        </is>
      </c>
      <c r="J28" s="19" t="inlineStr">
        <is>
          <t>Friendship to love</t>
        </is>
      </c>
      <c r="K28" s="5" t="inlineStr">
        <is>
          <t>Acquaintances; she is engaged to his college batchmate Rohit</t>
        </is>
      </c>
      <c r="L28" s="5" t="inlineStr">
        <is>
          <t>They spend time together in Sydney, where Akash is working and Shalini is living with her uncle.</t>
        </is>
      </c>
      <c r="M28" s="5" t="inlineStr">
        <is>
          <t>Akash</t>
        </is>
      </c>
      <c r="N28" s="19" t="inlineStr">
        <is>
          <t>Sightseeing and companionship in Sydney that deepens into unspoken feeling, followed by a late declaration.</t>
        </is>
      </c>
      <c r="O28" s="19" t="inlineStr">
        <is>
          <t>A cynic disarmed by sincerity; she is drawn to him but bound by duty</t>
        </is>
      </c>
      <c r="P28" s="19" t="inlineStr">
        <is>
          <t>Her commitment to Rohit and her family's arrangements against his belated recognition of love.</t>
        </is>
      </c>
      <c r="Q28" s="20" t="n">
        <v>3</v>
      </c>
      <c r="R28" s="19" t="inlineStr">
        <is>
          <t>Hesitation and unspoken feelings rather than argument; the tension is timing and loyalty, not incompatibility.</t>
        </is>
      </c>
      <c r="S28" s="20" t="n">
        <v>6</v>
      </c>
      <c r="T28" s="5" t="inlineStr">
        <is>
          <t>Existing relationship; Family; Distance</t>
        </is>
      </c>
      <c r="U28" s="19" t="inlineStr">
        <is>
          <t>Her engagement to Rohit, her uncle Mahesh's wedding arrangements and her return to India separate them.</t>
        </is>
      </c>
      <c r="V28" s="20" t="n">
        <v>7</v>
      </c>
      <c r="W28" s="19" t="inlineStr">
        <is>
          <t>Akash's arc becomes a romantic awakening, but he is one of three ensemble leads and much of his screen persona is comic detachment.</t>
        </is>
      </c>
      <c r="X28" s="20" t="n">
        <v>6</v>
      </c>
      <c r="Y28" s="20" t="n">
        <v>8</v>
      </c>
      <c r="Z28" s="20" t="n">
        <v>7</v>
      </c>
      <c r="AA28" s="20" t="n">
        <v>5</v>
      </c>
      <c r="AB28" s="20" t="n">
        <v>7</v>
      </c>
      <c r="AC28" s="19" t="inlineStr">
        <is>
          <t>Interpretive: the understated Sydney scenes rely on ease rather than melodrama; the fetched source praises the film's performances overall.</t>
        </is>
      </c>
      <c r="AD28" s="5" t="inlineStr">
        <is>
          <t>Yes</t>
        </is>
      </c>
      <c r="AE28" s="5" t="inlineStr">
        <is>
          <t>Partial</t>
        </is>
      </c>
      <c r="AF28" s="5" t="inlineStr">
        <is>
          <t>Unclear</t>
        </is>
      </c>
      <c r="AG28" s="5" t="inlineStr">
        <is>
          <t>No</t>
        </is>
      </c>
      <c r="AH28" s="5" t="inlineStr">
        <is>
          <t>Yes</t>
        </is>
      </c>
      <c r="AI28" s="5" t="inlineStr">
        <is>
          <t>Partial</t>
        </is>
      </c>
      <c r="AJ28" s="5" t="inlineStr">
        <is>
          <t>No</t>
        </is>
      </c>
      <c r="AK28" s="19" t="inlineStr">
        <is>
          <t>Loving Shalini forces Akash to abandon ironic detachment and admit vulnerability.</t>
        </is>
      </c>
      <c r="AL28" s="19" t="inlineStr">
        <is>
          <t>She moves from dutiful acceptance of an arranged future to choosing her own partner.</t>
        </is>
      </c>
      <c r="AM28" s="5" t="inlineStr">
        <is>
          <t>Shalini leaves her wedding to Rohit to be with Akash.</t>
        </is>
      </c>
      <c r="AN28" s="5" t="inlineStr">
        <is>
          <t>Partial</t>
        </is>
      </c>
      <c r="AO28" s="5" t="inlineStr">
        <is>
          <t>Happy</t>
        </is>
      </c>
      <c r="AP28" s="5" t="n"/>
      <c r="AQ28" s="19" t="inlineStr">
        <is>
          <t>Dil Chahta Hai modernises the lover-boy role: the romance is conversational and restrained, with no family villainy beyond an existing engagement. The pair's friction is low and mostly about timing, while the external obstacle is structural rather than hostile. It marks the shift from the feuding-family romances of the early 1990s to relationship stories driven by self-knowledge.</t>
        </is>
      </c>
      <c r="AR28" s="19" t="inlineStr">
        <is>
          <t>Received as a fresh, realistic portrait of urban relationships. A modern reading finds the relationship respectful; the runaway-bride resolution is conventional, and Shalini's agency arrives mainly in the final decision.</t>
        </is>
      </c>
      <c r="AS28" s="5" t="inlineStr">
        <is>
          <t>SOURCE-040</t>
        </is>
      </c>
      <c r="AT28" s="5" t="inlineStr">
        <is>
          <t>Medium</t>
        </is>
      </c>
    </row>
    <row r="29" ht="79" customHeight="1">
      <c r="A29" s="15" t="inlineStr">
        <is>
          <t>PAIR-028</t>
        </is>
      </c>
      <c r="B29" s="18" t="inlineStr">
        <is>
          <t>FILM-035</t>
        </is>
      </c>
      <c r="C29" s="5" t="inlineStr">
        <is>
          <t>Mangal Pandey: The Rising</t>
        </is>
      </c>
      <c r="D29" s="17" t="n">
        <v>2005</v>
      </c>
      <c r="E29" s="5" t="inlineStr">
        <is>
          <t>Mangal Pandey</t>
        </is>
      </c>
      <c r="F29" s="5" t="inlineStr">
        <is>
          <t>Rani Mukerji</t>
        </is>
      </c>
      <c r="G29" s="5" t="inlineStr">
        <is>
          <t>Heera</t>
        </is>
      </c>
      <c r="H29" s="5" t="inlineStr">
        <is>
          <t>Female lead with limited screen time</t>
        </is>
      </c>
      <c r="I29" s="5" t="inlineStr">
        <is>
          <t>Yes</t>
        </is>
      </c>
      <c r="J29" s="19" t="inlineStr">
        <is>
          <t>Tragic lovers</t>
        </is>
      </c>
      <c r="K29" s="5" t="inlineStr">
        <is>
          <t>Strangers; she is a courtesan sold to a brothel</t>
        </is>
      </c>
      <c r="L29" s="5" t="inlineStr">
        <is>
          <t>Pandey stops Captain Hewson from raping Heera at the brothel run by Lal Bibi, and is beaten for it.</t>
        </is>
      </c>
      <c r="M29" s="5" t="inlineStr">
        <is>
          <t>Mutual</t>
        </is>
      </c>
      <c r="N29" s="19" t="inlineStr">
        <is>
          <t>Love grows from his act of protection; she later passes him intelligence gathered from Hewson.</t>
        </is>
      </c>
      <c r="O29" s="19" t="inlineStr">
        <is>
          <t>Tender, loyal and fatalistic</t>
        </is>
      </c>
      <c r="P29" s="19" t="inlineStr">
        <is>
          <t>None documented between the lovers.</t>
        </is>
      </c>
      <c r="Q29" s="20" t="n">
        <v>2</v>
      </c>
      <c r="R29" s="19" t="inlineStr">
        <is>
          <t>No interpersonal conflict is recorded; the difficulty of her circumstances is external.</t>
        </is>
      </c>
      <c r="S29" s="20" t="n">
        <v>9</v>
      </c>
      <c r="T29" s="5" t="inlineStr">
        <is>
          <t>War or politics; Class</t>
        </is>
      </c>
      <c r="U29" s="19" t="inlineStr">
        <is>
          <t>Colonial power, her bondage in the brothel and Pandey's court-martial and execution.</t>
        </is>
      </c>
      <c r="V29" s="20" t="n">
        <v>3</v>
      </c>
      <c r="W29" s="19" t="inlineStr">
        <is>
          <t>The romance softens a rebel-martyr role whose identity is organised around faith, dignity and revolt.</t>
        </is>
      </c>
      <c r="X29" s="20" t="n">
        <v>3</v>
      </c>
      <c r="Y29" s="20" t="n">
        <v>7</v>
      </c>
      <c r="Z29" s="20" t="n">
        <v>7</v>
      </c>
      <c r="AA29" s="20" t="n">
        <v>6</v>
      </c>
      <c r="AB29" s="18" t="n"/>
      <c r="AC29" s="19" t="inlineStr">
        <is>
          <t>Not scored: reviews in the fetched source do not assess the pairing.</t>
        </is>
      </c>
      <c r="AD29" s="5" t="inlineStr">
        <is>
          <t>Unclear</t>
        </is>
      </c>
      <c r="AE29" s="5" t="inlineStr">
        <is>
          <t>No</t>
        </is>
      </c>
      <c r="AF29" s="5" t="inlineStr">
        <is>
          <t>No</t>
        </is>
      </c>
      <c r="AG29" s="5" t="inlineStr">
        <is>
          <t>Partial</t>
        </is>
      </c>
      <c r="AH29" s="5" t="inlineStr">
        <is>
          <t>Yes</t>
        </is>
      </c>
      <c r="AI29" s="5" t="inlineStr">
        <is>
          <t>Yes</t>
        </is>
      </c>
      <c r="AJ29" s="5" t="inlineStr">
        <is>
          <t>Partial</t>
        </is>
      </c>
      <c r="AK29" s="19" t="inlineStr">
        <is>
          <t>Not central to his arc, though protecting Heera is an early act of defiance toward a British officer.</t>
        </is>
      </c>
      <c r="AL29" s="19" t="inlineStr">
        <is>
          <t>A bonded courtesan acts for the rebellion and claims marriage on her own terms.</t>
        </is>
      </c>
      <c r="AM29" s="5" t="inlineStr">
        <is>
          <t>On the night before his execution, Heera visits Pandey's cell and has him apply sindoor, marking their marriage.</t>
        </is>
      </c>
      <c r="AN29" s="5" t="inlineStr">
        <is>
          <t>Partial</t>
        </is>
      </c>
      <c r="AO29" s="5" t="inlineStr">
        <is>
          <t>Tragic</t>
        </is>
      </c>
      <c r="AP29" s="5" t="n"/>
      <c r="AQ29" s="19" t="inlineStr">
        <is>
          <t>A secondary romance that mirrors the political story: protection against colonial violence becomes loyalty and an act of resistance. Heera's spying on Hewson for Pandey gives her a purpose of her own. The cell marriage is a gesture of dignity rather than a future, so the ending is tragic and the long-term union partial.</t>
        </is>
      </c>
      <c r="AR29" s="19" t="inlineStr">
        <is>
          <t>Its depiction of Pandey visiting a brothel drew political protests and ban demands. A modern reading sees an attempt to give a marginalised woman a place in a nationalist story, though her plotline is compressed and she is defined through him.</t>
        </is>
      </c>
      <c r="AS29" s="5" t="inlineStr">
        <is>
          <t>SOURCE-041</t>
        </is>
      </c>
      <c r="AT29" s="5" t="inlineStr">
        <is>
          <t>Medium</t>
        </is>
      </c>
    </row>
    <row r="30" ht="79" customHeight="1">
      <c r="A30" s="15" t="inlineStr">
        <is>
          <t>PAIR-029</t>
        </is>
      </c>
      <c r="B30" s="18" t="inlineStr">
        <is>
          <t>FILM-037</t>
        </is>
      </c>
      <c r="C30" s="5" t="inlineStr">
        <is>
          <t>Fanaa</t>
        </is>
      </c>
      <c r="D30" s="17" t="n">
        <v>2006</v>
      </c>
      <c r="E30" s="5" t="inlineStr">
        <is>
          <t>Rehan Qadri</t>
        </is>
      </c>
      <c r="F30" s="5" t="inlineStr">
        <is>
          <t>Kajol</t>
        </is>
      </c>
      <c r="G30" s="5" t="inlineStr">
        <is>
          <t>Zooni Ali Beg</t>
        </is>
      </c>
      <c r="H30" s="5" t="inlineStr">
        <is>
          <t>Female lead</t>
        </is>
      </c>
      <c r="I30" s="5" t="inlineStr">
        <is>
          <t>Yes</t>
        </is>
      </c>
      <c r="J30" s="19" t="inlineStr">
        <is>
          <t>Tragic lovers</t>
        </is>
      </c>
      <c r="K30" s="5" t="inlineStr">
        <is>
          <t>A tourist and her tour guide</t>
        </is>
      </c>
      <c r="L30" s="5" t="inlineStr">
        <is>
          <t>Rehan is the guide for Zooni and her friends on her first visit to Delhi.</t>
        </is>
      </c>
      <c r="M30" s="5" t="inlineStr">
        <is>
          <t>Rehan</t>
        </is>
      </c>
      <c r="N30" s="19" t="inlineStr">
        <is>
          <t>Flirtatious seduction and poetry over a few days in Delhi, ending in a night together before her departure.</t>
        </is>
      </c>
      <c r="O30" s="19" t="inlineStr">
        <is>
          <t>Intense romantic idealism shadowed by concealment</t>
        </is>
      </c>
      <c r="P30" s="19" t="inlineStr">
        <is>
          <t>His secret life as a militant, his faked death, his killing of her father and his threat to her when she tries to stop him.</t>
        </is>
      </c>
      <c r="Q30" s="20" t="n">
        <v>9</v>
      </c>
      <c r="R30" s="19" t="inlineStr">
        <is>
          <t>The relationship is founded on deception and ends with him drawing a gun on her and her shooting him.</t>
        </is>
      </c>
      <c r="S30" s="20" t="n">
        <v>7</v>
      </c>
      <c r="T30" s="5" t="inlineStr">
        <is>
          <t>War or politics; Crime</t>
        </is>
      </c>
      <c r="U30" s="19" t="inlineStr">
        <is>
          <t>The separatist conflict, the IKF's demands and the army's hunt for Rehan.</t>
        </is>
      </c>
      <c r="V30" s="20" t="n">
        <v>7</v>
      </c>
      <c r="W30" s="19" t="inlineStr">
        <is>
          <t>The first half is a full romantic-hero courtship with poetry and songs, but the role turns into an antagonist torn between love and the cause.</t>
        </is>
      </c>
      <c r="X30" s="20" t="n">
        <v>9</v>
      </c>
      <c r="Y30" s="20" t="n">
        <v>2</v>
      </c>
      <c r="Z30" s="20" t="n">
        <v>6</v>
      </c>
      <c r="AA30" s="20" t="n">
        <v>8</v>
      </c>
      <c r="AB30" s="20" t="n">
        <v>8</v>
      </c>
      <c r="AC30" s="19" t="inlineStr">
        <is>
          <t>Rediff's Sukanya Verma singled out the leads' 'dynamic equation', and the casting was treated as the film's main draw; Raja Sen argued the casting could not rescue the script.</t>
        </is>
      </c>
      <c r="AD30" s="5" t="inlineStr">
        <is>
          <t>Yes</t>
        </is>
      </c>
      <c r="AE30" s="5" t="inlineStr">
        <is>
          <t>Yes</t>
        </is>
      </c>
      <c r="AF30" s="5" t="inlineStr">
        <is>
          <t>No</t>
        </is>
      </c>
      <c r="AG30" s="5" t="inlineStr">
        <is>
          <t>Yes</t>
        </is>
      </c>
      <c r="AH30" s="5" t="inlineStr">
        <is>
          <t>Yes</t>
        </is>
      </c>
      <c r="AI30" s="5" t="inlineStr">
        <is>
          <t>Yes</t>
        </is>
      </c>
      <c r="AJ30" s="5" t="inlineStr">
        <is>
          <t>No</t>
        </is>
      </c>
      <c r="AK30" s="19" t="inlineStr">
        <is>
          <t>Love for Zooni and their son makes Rehan waver, but he cannot abandon the cause.</t>
        </is>
      </c>
      <c r="AL30" s="19" t="inlineStr">
        <is>
          <t>A blind, sheltered romantic regains her sight and becomes the woman who kills the man she loves to protect others.</t>
        </is>
      </c>
      <c r="AM30" s="5" t="inlineStr">
        <is>
          <t>Zooni shoots Rehan as he tries to deliver the nuclear trigger, and he dies in her arms.</t>
        </is>
      </c>
      <c r="AN30" s="5" t="inlineStr">
        <is>
          <t>Partial</t>
        </is>
      </c>
      <c r="AO30" s="5" t="inlineStr">
        <is>
          <t>Tragic</t>
        </is>
      </c>
      <c r="AP30" s="5" t="inlineStr">
        <is>
          <t>Chand Sifarish; Mere Haath Mein; Chanda Chamke</t>
        </is>
      </c>
      <c r="AQ30" s="19" t="inlineStr">
        <is>
          <t>Fanaa is the most extreme case of pair friction coexisting with a high lover-boy score. The courtship is designed to make Rehan irresistible, and the second half turns that charm into the threat. Zooni holds the decisive agency: she chooses to kill him. The film's structure romanticises a relationship founded on lies, then punishes it.</t>
        </is>
      </c>
      <c r="AR30" s="19" t="inlineStr">
        <is>
          <t>Framed in 2006 as a sweeping love story against terrorism. A modern reading finds the seduction of a blind woman by a man hiding his identity deeply manipulative, and critics at the time already called the plot a melodramatic series of coincidences.</t>
        </is>
      </c>
      <c r="AS30" s="5" t="inlineStr">
        <is>
          <t>SOURCE-043</t>
        </is>
      </c>
      <c r="AT30" s="5" t="inlineStr">
        <is>
          <t>Medium</t>
        </is>
      </c>
    </row>
    <row r="31" ht="79" customHeight="1">
      <c r="A31" s="15" t="inlineStr">
        <is>
          <t>PAIR-030</t>
        </is>
      </c>
      <c r="B31" s="18" t="inlineStr">
        <is>
          <t>FILM-039</t>
        </is>
      </c>
      <c r="C31" s="5" t="inlineStr">
        <is>
          <t>Ghajini</t>
        </is>
      </c>
      <c r="D31" s="17" t="n">
        <v>2008</v>
      </c>
      <c r="E31" s="5" t="inlineStr">
        <is>
          <t>Sanjay Singhania</t>
        </is>
      </c>
      <c r="F31" s="5" t="inlineStr">
        <is>
          <t>Asin</t>
        </is>
      </c>
      <c r="G31" s="5" t="inlineStr">
        <is>
          <t>Kalpana Shetty</t>
        </is>
      </c>
      <c r="H31" s="5" t="inlineStr">
        <is>
          <t>Female lead</t>
        </is>
      </c>
      <c r="I31" s="5" t="inlineStr">
        <is>
          <t>Yes</t>
        </is>
      </c>
      <c r="J31" s="19" t="inlineStr">
        <is>
          <t>Tragic lovers</t>
        </is>
      </c>
      <c r="K31" s="5" t="inlineStr">
        <is>
          <t>Strangers linked by a false rumour that she is his girlfriend</t>
        </is>
      </c>
      <c r="L31" s="5" t="inlineStr">
        <is>
          <t>Sanjay goes to confront Kalpana over her claim to be his girlfriend, sees her helping disabled schoolgirls and is moved.</t>
        </is>
      </c>
      <c r="M31" s="5" t="inlineStr">
        <is>
          <t>Sanjay</t>
        </is>
      </c>
      <c r="N31" s="19" t="inlineStr">
        <is>
          <t>He courts her as a struggling model called Sachin; she sells her car to pay for his invented mother's treatment; he proposes on New Year's Eve.</t>
        </is>
      </c>
      <c r="O31" s="19" t="inlineStr">
        <is>
          <t>Warm, playful and generous on both sides</t>
        </is>
      </c>
      <c r="P31" s="19" t="inlineStr">
        <is>
          <t>Mutual pretence: she poses as his girlfriend, and he hides that he is the tycoon.</t>
        </is>
      </c>
      <c r="Q31" s="20" t="n">
        <v>2</v>
      </c>
      <c r="R31" s="19" t="inlineStr">
        <is>
          <t>The deceptions are comic and loving rather than damaging; no quarrel is documented.</t>
        </is>
      </c>
      <c r="S31" s="20" t="n">
        <v>10</v>
      </c>
      <c r="T31" s="5" t="inlineStr">
        <is>
          <t>Villain; Crime</t>
        </is>
      </c>
      <c r="U31" s="19" t="inlineStr">
        <is>
          <t>The trafficker Ghajini murders Kalpana in front of Sanjay after she rescues girls from his ring.</t>
        </is>
      </c>
      <c r="V31" s="20" t="n">
        <v>8</v>
      </c>
      <c r="W31" s="19" t="inlineStr">
        <is>
          <t>The courtship is a full romantic-hero arc, and his revenge is driven entirely by grief for her.</t>
        </is>
      </c>
      <c r="X31" s="20" t="n">
        <v>8</v>
      </c>
      <c r="Y31" s="20" t="n">
        <v>8</v>
      </c>
      <c r="Z31" s="20" t="n">
        <v>8</v>
      </c>
      <c r="AA31" s="20" t="n">
        <v>7</v>
      </c>
      <c r="AB31" s="18" t="n"/>
      <c r="AC31" s="19" t="inlineStr">
        <is>
          <t>Not scored: reviews split on Asin's performance (praised in some outlets, criticised by Raja Sen).</t>
        </is>
      </c>
      <c r="AD31" s="5" t="inlineStr">
        <is>
          <t>Yes</t>
        </is>
      </c>
      <c r="AE31" s="5" t="inlineStr">
        <is>
          <t>No</t>
        </is>
      </c>
      <c r="AF31" s="5" t="inlineStr">
        <is>
          <t>No</t>
        </is>
      </c>
      <c r="AG31" s="5" t="inlineStr">
        <is>
          <t>Yes</t>
        </is>
      </c>
      <c r="AH31" s="5" t="inlineStr">
        <is>
          <t>Yes</t>
        </is>
      </c>
      <c r="AI31" s="5" t="inlineStr">
        <is>
          <t>Yes</t>
        </is>
      </c>
      <c r="AJ31" s="5" t="inlineStr">
        <is>
          <t>No</t>
        </is>
      </c>
      <c r="AK31" s="19" t="inlineStr">
        <is>
          <t>A privileged tycoon learns humility courting her as an ordinary man; her murder turns him into an avenger.</t>
        </is>
      </c>
      <c r="AL31" s="19" t="inlineStr">
        <is>
          <t>A small-time model becomes the person who rescues trafficked girls and confronts a crime lord.</t>
        </is>
      </c>
      <c r="AM31" s="5" t="inlineStr">
        <is>
          <t>Kalpana accepts his proposal but is murdered by Ghajini before learning who he is; Sanjay avenges her and later works at an orphanage named after her.</t>
        </is>
      </c>
      <c r="AN31" s="5" t="inlineStr">
        <is>
          <t>No</t>
        </is>
      </c>
      <c r="AO31" s="5" t="inlineStr">
        <is>
          <t>Tragic</t>
        </is>
      </c>
      <c r="AP31" s="5" t="inlineStr">
        <is>
          <t>Guzarish; Behka; Kaise Mujhe</t>
        </is>
      </c>
      <c r="AQ31" s="19" t="inlineStr">
        <is>
          <t>Ghajini puts a healthy, generous romance inside a revenge thriller: friction is almost nil, and the tragedy comes entirely from outside. Kalpana is the most active heroine of his action films; her moral courage causes her death. The relationship's goodness is what gives the brutal second half its emotional charge.</t>
        </is>
      </c>
      <c r="AR31" s="19" t="inlineStr">
        <is>
          <t>Received as a crowd-pleasing romance-revenge hybrid; some reviewers objected to its violence. A modern reading notes that the heroine's courage is punished to motivate the hero.</t>
        </is>
      </c>
      <c r="AS31" s="5" t="inlineStr">
        <is>
          <t>SOURCE-045</t>
        </is>
      </c>
      <c r="AT31" s="5" t="inlineStr">
        <is>
          <t>Medium</t>
        </is>
      </c>
    </row>
    <row r="32" ht="79" customHeight="1">
      <c r="A32" s="15" t="inlineStr">
        <is>
          <t>PAIR-031</t>
        </is>
      </c>
      <c r="B32" s="18" t="inlineStr">
        <is>
          <t>FILM-041</t>
        </is>
      </c>
      <c r="C32" s="5" t="inlineStr">
        <is>
          <t>3 Idiots</t>
        </is>
      </c>
      <c r="D32" s="17" t="n">
        <v>2009</v>
      </c>
      <c r="E32" s="5" t="inlineStr">
        <is>
          <t>Ranchhoddas "Rancho" Shamaldas Chanchad</t>
        </is>
      </c>
      <c r="F32" s="5" t="inlineStr">
        <is>
          <t>Kareena Kapoor</t>
        </is>
      </c>
      <c r="G32" s="5" t="inlineStr">
        <is>
          <t>Pia Sahastrabuddhe</t>
        </is>
      </c>
      <c r="H32" s="5" t="inlineStr">
        <is>
          <t>Female lead</t>
        </is>
      </c>
      <c r="I32" s="5" t="inlineStr">
        <is>
          <t>Yes</t>
        </is>
      </c>
      <c r="J32" s="19" t="inlineStr">
        <is>
          <t>United couple versus external world</t>
        </is>
      </c>
      <c r="K32" s="5" t="inlineStr">
        <is>
          <t>Strangers; she is the college director's daughter</t>
        </is>
      </c>
      <c r="L32" s="5" t="inlineStr">
        <is>
          <t>At a wedding hosted by her father, Virus.</t>
        </is>
      </c>
      <c r="M32" s="5" t="inlineStr">
        <is>
          <t>Rancho</t>
        </is>
      </c>
      <c r="N32" s="19" t="inlineStr">
        <is>
          <t>Teasing friendship that grows into love under her father's hostility; a long separation after graduation.</t>
        </is>
      </c>
      <c r="O32" s="19" t="inlineStr">
        <is>
          <t>Playful, mutually respectful</t>
        </is>
      </c>
      <c r="P32" s="19" t="inlineStr">
        <is>
          <t>None documented between them; his disappearance separates them.</t>
        </is>
      </c>
      <c r="Q32" s="20" t="n">
        <v>2</v>
      </c>
      <c r="R32" s="19" t="inlineStr">
        <is>
          <t>No interpersonal conflict is recorded; the ten-year absence is imposed by his secret identity.</t>
        </is>
      </c>
      <c r="S32" s="20" t="n">
        <v>6</v>
      </c>
      <c r="T32" s="5" t="inlineStr">
        <is>
          <t>Family; Existing relationship; Distance</t>
        </is>
      </c>
      <c r="U32" s="19" t="inlineStr">
        <is>
          <t>Her father's hostility to Rancho, her engagement to the materialistic Suhas, and years apart.</t>
        </is>
      </c>
      <c r="V32" s="20" t="n">
        <v>5</v>
      </c>
      <c r="W32" s="19" t="inlineStr">
        <is>
          <t>A significant romance, but Rancho's defining function is rebel student and loyal friend.</t>
        </is>
      </c>
      <c r="X32" s="20" t="n">
        <v>4</v>
      </c>
      <c r="Y32" s="20" t="n">
        <v>8</v>
      </c>
      <c r="Z32" s="20" t="n">
        <v>7</v>
      </c>
      <c r="AA32" s="20" t="n">
        <v>6</v>
      </c>
      <c r="AB32" s="18" t="n"/>
      <c r="AC32" s="19" t="inlineStr">
        <is>
          <t>Not scored: no fetched source evaluates the pairing.</t>
        </is>
      </c>
      <c r="AD32" s="5" t="inlineStr">
        <is>
          <t>Yes</t>
        </is>
      </c>
      <c r="AE32" s="5" t="inlineStr">
        <is>
          <t>No</t>
        </is>
      </c>
      <c r="AF32" s="5" t="inlineStr">
        <is>
          <t>No</t>
        </is>
      </c>
      <c r="AG32" s="5" t="inlineStr">
        <is>
          <t>Partial</t>
        </is>
      </c>
      <c r="AH32" s="5" t="inlineStr">
        <is>
          <t>Yes</t>
        </is>
      </c>
      <c r="AI32" s="5" t="inlineStr">
        <is>
          <t>Partial</t>
        </is>
      </c>
      <c r="AJ32" s="5" t="inlineStr">
        <is>
          <t>Yes</t>
        </is>
      </c>
      <c r="AK32" s="19" t="inlineStr">
        <is>
          <t>Not central; Rancho's convictions are fixed from the start.</t>
        </is>
      </c>
      <c r="AL32" s="19" t="inlineStr">
        <is>
          <t>Pia moves from obedience to her father and a status-driven engagement toward choosing Rancho.</t>
        </is>
      </c>
      <c r="AM32" s="5" t="inlineStr">
        <is>
          <t>Farhan and Raju bring Pia from her wedding in Manali to Ladakh, where she reunites with Rancho.</t>
        </is>
      </c>
      <c r="AN32" s="5" t="inlineStr">
        <is>
          <t>Unclear</t>
        </is>
      </c>
      <c r="AO32" s="5" t="inlineStr">
        <is>
          <t>Happy</t>
        </is>
      </c>
      <c r="AP32" s="5" t="inlineStr">
        <is>
          <t>Zoobi Doobi</t>
        </is>
      </c>
      <c r="AQ32" s="19" t="inlineStr">
        <is>
          <t>A secondary romance that reinforces the film's theme: Pia's movement away from her engagement to Suhas and toward Rancho aligns her with the film's argument against conventional success. Friction is minimal and the obstacles are her father and time. Rancho is a hero of friendship and ideas first, which caps the lover-boy score.</t>
        </is>
      </c>
      <c r="AR32" s="19" t="inlineStr">
        <is>
          <t>Framed as a charming subplot in a crowd-pleasing campus film. A modern reading finds the relationship respectful, though Pia's wedding escape is arranged largely by the male friends.</t>
        </is>
      </c>
      <c r="AS32" s="5" t="inlineStr">
        <is>
          <t>SOURCE-047</t>
        </is>
      </c>
      <c r="AT32" s="5" t="inlineStr">
        <is>
          <t>Medium</t>
        </is>
      </c>
    </row>
    <row r="33" ht="94" customHeight="1">
      <c r="A33" s="15" t="inlineStr">
        <is>
          <t>PAIR-032</t>
        </is>
      </c>
      <c r="B33" s="18" t="inlineStr">
        <is>
          <t>FILM-042</t>
        </is>
      </c>
      <c r="C33" s="5" t="inlineStr">
        <is>
          <t>Dhobi Ghat</t>
        </is>
      </c>
      <c r="D33" s="17" t="n">
        <v>2011</v>
      </c>
      <c r="E33" s="5" t="inlineStr">
        <is>
          <t>Arun</t>
        </is>
      </c>
      <c r="F33" s="5" t="inlineStr">
        <is>
          <t>Monica Dogra</t>
        </is>
      </c>
      <c r="G33" s="5" t="inlineStr">
        <is>
          <t>Shai Edulji</t>
        </is>
      </c>
      <c r="H33" s="5" t="inlineStr">
        <is>
          <t>Ensemble lead</t>
        </is>
      </c>
      <c r="I33" s="5" t="inlineStr">
        <is>
          <t>Yes</t>
        </is>
      </c>
      <c r="J33" s="19" t="inlineStr">
        <is>
          <t>Unrequited love</t>
        </is>
      </c>
      <c r="K33" s="5" t="inlineStr">
        <is>
          <t>Strangers who meet at an art exhibition</t>
        </is>
      </c>
      <c r="L33" s="5" t="inlineStr">
        <is>
          <t>At Arun's exhibition; he invites her back to his flat.</t>
        </is>
      </c>
      <c r="M33" s="5" t="inlineStr">
        <is>
          <t>Arun for the night together; Shai for any continuation</t>
        </is>
      </c>
      <c r="N33" s="19" t="inlineStr">
        <is>
          <t>A one-night stand followed by his coldness and her later attempts to find him.</t>
        </is>
      </c>
      <c r="O33" s="19" t="inlineStr">
        <is>
          <t>Her interest against his emotional withdrawal</t>
        </is>
      </c>
      <c r="P33" s="19" t="inlineStr">
        <is>
          <t>Arun tells her the next morning that he does not want a relationship, and she storms out.</t>
        </is>
      </c>
      <c r="Q33" s="20" t="n">
        <v>5</v>
      </c>
      <c r="R33" s="19" t="inlineStr">
        <is>
          <t>Hurt and rejection sour the connection, softened by his later apology.</t>
        </is>
      </c>
      <c r="S33" s="20" t="n">
        <v>1</v>
      </c>
      <c r="T33" s="5" t="inlineStr">
        <is>
          <t>Other</t>
        </is>
      </c>
      <c r="U33" s="19" t="inlineStr">
        <is>
          <t>Only chance and Munna's reluctance to share Arun's new address stand in the way.</t>
        </is>
      </c>
      <c r="V33" s="20" t="n">
        <v>1</v>
      </c>
      <c r="W33" s="19" t="inlineStr">
        <is>
          <t>Arun is emotionally unavailable and shows no sustained romantic pursuit.</t>
        </is>
      </c>
      <c r="X33" s="20" t="n">
        <v>3</v>
      </c>
      <c r="Y33" s="20" t="n">
        <v>4</v>
      </c>
      <c r="Z33" s="20" t="n">
        <v>3</v>
      </c>
      <c r="AA33" s="20" t="n">
        <v>8</v>
      </c>
      <c r="AB33" s="18" t="n"/>
      <c r="AC33" s="19" t="inlineStr">
        <is>
          <t>Not scored: no fetched source evaluates the pairing.</t>
        </is>
      </c>
      <c r="AD33" s="5" t="inlineStr">
        <is>
          <t>Unclear</t>
        </is>
      </c>
      <c r="AE33" s="5" t="inlineStr">
        <is>
          <t>Partial</t>
        </is>
      </c>
      <c r="AF33" s="5" t="inlineStr">
        <is>
          <t>No</t>
        </is>
      </c>
      <c r="AG33" s="5" t="inlineStr">
        <is>
          <t>No</t>
        </is>
      </c>
      <c r="AH33" s="5" t="inlineStr">
        <is>
          <t>Yes</t>
        </is>
      </c>
      <c r="AI33" s="5" t="inlineStr">
        <is>
          <t>No</t>
        </is>
      </c>
      <c r="AJ33" s="5" t="inlineStr">
        <is>
          <t>No</t>
        </is>
      </c>
      <c r="AK33" s="19" t="inlineStr">
        <is>
          <t>Minimal; Arun's emotional change comes from Yasmin's tapes rather than from Shai.</t>
        </is>
      </c>
      <c r="AL33" s="19" t="inlineStr">
        <is>
          <t>Shai explores Mumbai on her own terms, befriending Munna and seeking Arun out.</t>
        </is>
      </c>
      <c r="AM33" s="5" t="inlineStr">
        <is>
          <t>Munna finally gives Shai Arun's new address; whether they reconnect is left open.</t>
        </is>
      </c>
      <c r="AN33" s="5" t="inlineStr">
        <is>
          <t>No</t>
        </is>
      </c>
      <c r="AO33" s="5" t="inlineStr">
        <is>
          <t>Unresolved</t>
        </is>
      </c>
      <c r="AP33" s="5" t="n"/>
      <c r="AQ33" s="19" t="inlineStr">
        <is>
          <t>The least romantic relationship in the Romances sheet that still merits a row: a sexual encounter and one-sided interest in a film about loneliness. Arun's deepest emotional bond is with Yasmin, the dead former tenant he knows only through her video diaries, which is recorded in Films rather than here because they never meet. Shai's agency is high: she chooses whom to pursue across class lines.</t>
        </is>
      </c>
      <c r="AR33" s="19" t="inlineStr">
        <is>
          <t>Received as a poetic art-house portrait of Mumbai. A modern reading sees an honest depiction of emotional unavailability, and class in Munna's unspoken love for Shai.</t>
        </is>
      </c>
      <c r="AS33" s="5" t="inlineStr">
        <is>
          <t>SOURCE-048</t>
        </is>
      </c>
      <c r="AT33" s="5" t="inlineStr">
        <is>
          <t>Medium</t>
        </is>
      </c>
    </row>
    <row r="34" ht="79" customHeight="1">
      <c r="A34" s="15" t="inlineStr">
        <is>
          <t>PAIR-033</t>
        </is>
      </c>
      <c r="B34" s="18" t="inlineStr">
        <is>
          <t>FILM-044</t>
        </is>
      </c>
      <c r="C34" s="5" t="inlineStr">
        <is>
          <t>Talaash: The Answer Lies Within</t>
        </is>
      </c>
      <c r="D34" s="17" t="n">
        <v>2012</v>
      </c>
      <c r="E34" s="5" t="inlineStr">
        <is>
          <t>Inspector Surjan Singh Shekhawat</t>
        </is>
      </c>
      <c r="F34" s="5" t="inlineStr">
        <is>
          <t>Rani Mukerji</t>
        </is>
      </c>
      <c r="G34" s="5" t="inlineStr">
        <is>
          <t>Roshni Shekhawat</t>
        </is>
      </c>
      <c r="H34" s="5" t="inlineStr">
        <is>
          <t>Female lead</t>
        </is>
      </c>
      <c r="I34" s="5" t="inlineStr">
        <is>
          <t>Yes</t>
        </is>
      </c>
      <c r="J34" s="19" t="inlineStr">
        <is>
          <t>Marriage under strain</t>
        </is>
      </c>
      <c r="K34" s="5" t="inlineStr">
        <is>
          <t>Married couple grieving the drowning of their son</t>
        </is>
      </c>
      <c r="L34" s="5" t="n"/>
      <c r="M34" s="5" t="inlineStr">
        <is>
          <t>Not applicable</t>
        </is>
      </c>
      <c r="N34" s="19" t="inlineStr">
        <is>
          <t>Not applicable; an established marriage frozen by grief.</t>
        </is>
      </c>
      <c r="O34" s="19" t="inlineStr">
        <is>
          <t>Silent blame and emotional distance</t>
        </is>
      </c>
      <c r="P34" s="19" t="inlineStr">
        <is>
          <t>Grief and guilt over Karan's death; Surjan's anger at Roshni's consultations with a psychic.</t>
        </is>
      </c>
      <c r="Q34" s="20" t="n">
        <v>6</v>
      </c>
      <c r="R34" s="19" t="inlineStr">
        <is>
          <t>Sustained emotional estrangement and resentment over how each copes with grief.</t>
        </is>
      </c>
      <c r="S34" s="20" t="n">
        <v>5</v>
      </c>
      <c r="T34" s="5" t="inlineStr">
        <is>
          <t>Fate</t>
        </is>
      </c>
      <c r="U34" s="19" t="inlineStr">
        <is>
          <t>Their son's accidental drowning is the external blow behind the strain.</t>
        </is>
      </c>
      <c r="V34" s="20" t="n">
        <v>1</v>
      </c>
      <c r="W34" s="19" t="inlineStr">
        <is>
          <t>Surjan is a grieving, emotionally closed husband, not a romantic hero.</t>
        </is>
      </c>
      <c r="X34" s="20" t="n">
        <v>4</v>
      </c>
      <c r="Y34" s="20" t="n">
        <v>5</v>
      </c>
      <c r="Z34" s="20" t="n">
        <v>5</v>
      </c>
      <c r="AA34" s="20" t="n">
        <v>6</v>
      </c>
      <c r="AB34" s="18" t="n"/>
      <c r="AC34" s="19" t="inlineStr">
        <is>
          <t>Not scored: Rani Mukerji was nominated for Filmfare Best Supporting Actress, but the sources do not assess the pairing.</t>
        </is>
      </c>
      <c r="AD34" s="5" t="inlineStr">
        <is>
          <t>No</t>
        </is>
      </c>
      <c r="AE34" s="5" t="inlineStr">
        <is>
          <t>Yes</t>
        </is>
      </c>
      <c r="AF34" s="5" t="inlineStr">
        <is>
          <t>No</t>
        </is>
      </c>
      <c r="AG34" s="5" t="inlineStr">
        <is>
          <t>No</t>
        </is>
      </c>
      <c r="AH34" s="5" t="inlineStr">
        <is>
          <t>Partial</t>
        </is>
      </c>
      <c r="AI34" s="5" t="inlineStr">
        <is>
          <t>No</t>
        </is>
      </c>
      <c r="AJ34" s="5" t="inlineStr">
        <is>
          <t>No</t>
        </is>
      </c>
      <c r="AK34" s="19" t="inlineStr">
        <is>
          <t>Surjan moves from denial and guilt to acceptance, allowing reconciliation.</t>
        </is>
      </c>
      <c r="AL34" s="19" t="inlineStr">
        <is>
          <t>Roshni seeks her own path through grief and is vindicated when the psychic delivers their son's message.</t>
        </is>
      </c>
      <c r="AM34" s="5" t="inlineStr">
        <is>
          <t>After receiving a letter from their son via the psychic, Surjan reconciles with Roshni.</t>
        </is>
      </c>
      <c r="AN34" s="5" t="inlineStr">
        <is>
          <t>Yes</t>
        </is>
      </c>
      <c r="AO34" s="5" t="inlineStr">
        <is>
          <t>Happy</t>
        </is>
      </c>
      <c r="AP34" s="5" t="n"/>
      <c r="AQ34" s="19" t="inlineStr">
        <is>
          <t>A mature marriage story embedded in a noir thriller. The friction is entirely emotional and caused by bereavement. Surjan's night-time interactions with Rosie are investigative and ultimately supernatural, not romantic, so they have no row. Roshni's belief, which he mocks, is ultimately proven right.</t>
        </is>
      </c>
      <c r="AR34" s="19" t="inlineStr">
        <is>
          <t>Received as a well-acted psychological drama. A modern reading appreciates its restrained portrait of grief in a marriage, though the wife's arc exists mainly to mirror the husband's healing.</t>
        </is>
      </c>
      <c r="AS34" s="5" t="inlineStr">
        <is>
          <t>SOURCE-050</t>
        </is>
      </c>
      <c r="AT34" s="5" t="inlineStr">
        <is>
          <t>Medium</t>
        </is>
      </c>
    </row>
    <row r="35" ht="64" customHeight="1">
      <c r="A35" s="15" t="inlineStr">
        <is>
          <t>PAIR-034</t>
        </is>
      </c>
      <c r="B35" s="18" t="inlineStr">
        <is>
          <t>FILM-046</t>
        </is>
      </c>
      <c r="C35" s="5" t="inlineStr">
        <is>
          <t>Dhoom 3</t>
        </is>
      </c>
      <c r="D35" s="17" t="n">
        <v>2013</v>
      </c>
      <c r="E35" s="5" t="inlineStr">
        <is>
          <t>Samar Khan</t>
        </is>
      </c>
      <c r="F35" s="5" t="inlineStr">
        <is>
          <t>Katrina Kaif</t>
        </is>
      </c>
      <c r="G35" s="5" t="inlineStr">
        <is>
          <t>Aaliya Hussain</t>
        </is>
      </c>
      <c r="H35" s="5" t="inlineStr">
        <is>
          <t>Female lead</t>
        </is>
      </c>
      <c r="I35" s="5" t="inlineStr">
        <is>
          <t>Yes</t>
        </is>
      </c>
      <c r="J35" s="19" t="inlineStr">
        <is>
          <t>Tragic lovers</t>
        </is>
      </c>
      <c r="K35" s="5" t="inlineStr">
        <is>
          <t>Circus colleagues; she is hired as an acrobat</t>
        </is>
      </c>
      <c r="L35" s="5" t="inlineStr">
        <is>
          <t>Sahir hires Aaliya for the Great Indian Circus; the hidden twin Samar befriends her on his weekly outings.</t>
        </is>
      </c>
      <c r="M35" s="5" t="inlineStr">
        <is>
          <t>Samar</t>
        </is>
      </c>
      <c r="N35" s="19" t="inlineStr">
        <is>
          <t>Gentle friendship during Samar's rare time outdoors, encouraged by the detective Jai to expose the twins.</t>
        </is>
      </c>
      <c r="O35" s="19" t="inlineStr">
        <is>
          <t>Innocent and tender, under surveillance</t>
        </is>
      </c>
      <c r="P35" s="19" t="inlineStr">
        <is>
          <t>She does not know that Samar is a hidden twin involved in the robberies.</t>
        </is>
      </c>
      <c r="Q35" s="20" t="n">
        <v>3</v>
      </c>
      <c r="R35" s="19" t="inlineStr">
        <is>
          <t>Concealment rather than conflict; no quarrel is documented.</t>
        </is>
      </c>
      <c r="S35" s="20" t="n">
        <v>9</v>
      </c>
      <c r="T35" s="5" t="inlineStr">
        <is>
          <t>Crime; Other</t>
        </is>
      </c>
      <c r="U35" s="19" t="inlineStr">
        <is>
          <t>The heists, the police manhunt and Jai's use of the romance to break the twins' secret end in Samar's death.</t>
        </is>
      </c>
      <c r="V35" s="20" t="n">
        <v>5</v>
      </c>
      <c r="W35" s="19" t="inlineStr">
        <is>
          <t>Samar's romance is the gentlest thread in the role, but the twins' identity is revenge and spectacle.</t>
        </is>
      </c>
      <c r="X35" s="20" t="n">
        <v>4</v>
      </c>
      <c r="Y35" s="20" t="n">
        <v>6</v>
      </c>
      <c r="Z35" s="20" t="n">
        <v>6</v>
      </c>
      <c r="AA35" s="20" t="n">
        <v>4</v>
      </c>
      <c r="AB35" s="18" t="n"/>
      <c r="AC35" s="19" t="inlineStr">
        <is>
          <t>Not scored: the fetched source records only a satirical 'Worst Couple' nomination at the Ghanta Awards, which is not treated as evidence.</t>
        </is>
      </c>
      <c r="AD35" s="5" t="inlineStr">
        <is>
          <t>Unclear</t>
        </is>
      </c>
      <c r="AE35" s="5" t="inlineStr">
        <is>
          <t>No</t>
        </is>
      </c>
      <c r="AF35" s="5" t="inlineStr">
        <is>
          <t>No</t>
        </is>
      </c>
      <c r="AG35" s="5" t="inlineStr">
        <is>
          <t>Yes</t>
        </is>
      </c>
      <c r="AH35" s="5" t="inlineStr">
        <is>
          <t>Yes</t>
        </is>
      </c>
      <c r="AI35" s="5" t="inlineStr">
        <is>
          <t>Partial</t>
        </is>
      </c>
      <c r="AJ35" s="5" t="inlineStr">
        <is>
          <t>No</t>
        </is>
      </c>
      <c r="AK35" s="19" t="inlineStr">
        <is>
          <t>Love gives Samar a life beyond his brother's revenge, and makes him hesitate at the dam.</t>
        </is>
      </c>
      <c r="AL35" s="19" t="inlineStr">
        <is>
          <t>Aaliya takes over the circus after the twins' deaths and performs in Samar's memory.</t>
        </is>
      </c>
      <c r="AM35" s="5" t="inlineStr">
        <is>
          <t>At the dam Aaliya begs Samar to stop; the brothers fall to their deaths.</t>
        </is>
      </c>
      <c r="AN35" s="5" t="inlineStr">
        <is>
          <t>No</t>
        </is>
      </c>
      <c r="AO35" s="5" t="inlineStr">
        <is>
          <t>Tragic</t>
        </is>
      </c>
      <c r="AP35" s="5" t="n"/>
      <c r="AQ35" s="19" t="inlineStr">
        <is>
          <t>The romance belongs to Samar, the hidden, vulnerable twin, and becomes the lever the police use to expose the brothers. Opposition is extreme because the love story sits inside a crime plot. Aaliya has little knowledge or choice until the end, though she inherits the circus.</t>
        </is>
      </c>
      <c r="AR35" s="19" t="inlineStr">
        <is>
          <t>Framed as the emotional hook of a spectacle film. A modern reading notes the detective's deliberate use of a vulnerable man's romance as bait.</t>
        </is>
      </c>
      <c r="AS35" s="5" t="inlineStr">
        <is>
          <t>SOURCE-052</t>
        </is>
      </c>
      <c r="AT35" s="5" t="inlineStr">
        <is>
          <t>Medium</t>
        </is>
      </c>
    </row>
    <row r="36" ht="64" customHeight="1">
      <c r="A36" s="15" t="inlineStr">
        <is>
          <t>PAIR-035</t>
        </is>
      </c>
      <c r="B36" s="18" t="inlineStr">
        <is>
          <t>FILM-047</t>
        </is>
      </c>
      <c r="C36" s="5" t="inlineStr">
        <is>
          <t>PK</t>
        </is>
      </c>
      <c r="D36" s="17" t="n">
        <v>2014</v>
      </c>
      <c r="E36" s="5" t="inlineStr">
        <is>
          <t>PK</t>
        </is>
      </c>
      <c r="F36" s="5" t="inlineStr">
        <is>
          <t>Anushka Sharma</t>
        </is>
      </c>
      <c r="G36" s="5" t="inlineStr">
        <is>
          <t>Jagat Janani "Jaggu" Sahni</t>
        </is>
      </c>
      <c r="H36" s="5" t="inlineStr">
        <is>
          <t>Female lead</t>
        </is>
      </c>
      <c r="I36" s="5" t="inlineStr">
        <is>
          <t>Yes</t>
        </is>
      </c>
      <c r="J36" s="19" t="inlineStr">
        <is>
          <t>Unrequited love</t>
        </is>
      </c>
      <c r="K36" s="5" t="inlineStr">
        <is>
          <t>A television journalist and the stranger she meets handing out 'missing God' pamphlets</t>
        </is>
      </c>
      <c r="L36" s="5" t="inlineStr">
        <is>
          <t>In Delhi, Jaggu notices PK distributing pamphlets about a missing God and secures his release after an arrest.</t>
        </is>
      </c>
      <c r="M36" s="5" t="inlineStr">
        <is>
          <t>PK develops feelings; Jaggu's affection is friendship</t>
        </is>
      </c>
      <c r="N36" s="19" t="inlineStr">
        <is>
          <t>No courtship: PK silently falls in love while helping her expose Tapasvi.</t>
        </is>
      </c>
      <c r="O36" s="19" t="inlineStr">
        <is>
          <t>Devoted, unspoken love on his side; warm friendship on hers</t>
        </is>
      </c>
      <c r="P36" s="19" t="inlineStr">
        <is>
          <t>None; he hides his feelings out of respect for her love for Sarfaraz.</t>
        </is>
      </c>
      <c r="Q36" s="20" t="n">
        <v>1</v>
      </c>
      <c r="R36" s="19" t="inlineStr">
        <is>
          <t>No conflict between them.</t>
        </is>
      </c>
      <c r="S36" s="20" t="n">
        <v>6</v>
      </c>
      <c r="T36" s="5" t="inlineStr">
        <is>
          <t>Existing relationship; Distance</t>
        </is>
      </c>
      <c r="U36" s="19" t="inlineStr">
        <is>
          <t>Jaggu loves Sarfaraz, and PK must return to his planet.</t>
        </is>
      </c>
      <c r="V36" s="20" t="n">
        <v>4</v>
      </c>
      <c r="W36" s="19" t="inlineStr">
        <is>
          <t>The love is devoted and self-sacrificing, but PK's main function is religious satire.</t>
        </is>
      </c>
      <c r="X36" s="20" t="n">
        <v>4</v>
      </c>
      <c r="Y36" s="20" t="n">
        <v>8</v>
      </c>
      <c r="Z36" s="20" t="n">
        <v>2</v>
      </c>
      <c r="AA36" s="20" t="n">
        <v>7</v>
      </c>
      <c r="AB36" s="18" t="n"/>
      <c r="AC36" s="19" t="inlineStr">
        <is>
          <t>Not scored: no fetched source evaluates the pairing.</t>
        </is>
      </c>
      <c r="AD36" s="5" t="inlineStr">
        <is>
          <t>Yes</t>
        </is>
      </c>
      <c r="AE36" s="5" t="inlineStr">
        <is>
          <t>No</t>
        </is>
      </c>
      <c r="AF36" s="5" t="inlineStr">
        <is>
          <t>No</t>
        </is>
      </c>
      <c r="AG36" s="5" t="inlineStr">
        <is>
          <t>No</t>
        </is>
      </c>
      <c r="AH36" s="5" t="inlineStr">
        <is>
          <t>Yes</t>
        </is>
      </c>
      <c r="AI36" s="5" t="inlineStr">
        <is>
          <t>Yes</t>
        </is>
      </c>
      <c r="AJ36" s="5" t="inlineStr">
        <is>
          <t>Yes</t>
        </is>
      </c>
      <c r="AK36" s="19" t="inlineStr">
        <is>
          <t>PK learns love and lying from Jaggu, and chooses to hide his feelings rather than disrupt her happiness.</t>
        </is>
      </c>
      <c r="AL36" s="19" t="inlineStr">
        <is>
          <t>Jaggu moves from heartbreak to reuniting with Sarfaraz and writing a bestseller about PK.</t>
        </is>
      </c>
      <c r="AM36" s="5" t="inlineStr">
        <is>
          <t>PK reunites Jaggu with Sarfaraz and departs; she discovers his recordings of her voice and lets him go.</t>
        </is>
      </c>
      <c r="AN36" s="5" t="inlineStr">
        <is>
          <t>No</t>
        </is>
      </c>
      <c r="AO36" s="5" t="inlineStr">
        <is>
          <t>Unresolved</t>
        </is>
      </c>
      <c r="AP36" s="5" t="n"/>
      <c r="AQ36" s="19" t="inlineStr">
        <is>
          <t>The film's one romance belongs to Jaggu and Sarfaraz, whose separation Tapasvi engineers; PK's love is the secret emotional layer. It is a self-effacing, older version of Aamir Khan's romantic devotion: sacrifice without pursuit. Jaggu drives the investigation, giving her strong agency.</t>
        </is>
      </c>
      <c r="AR36" s="19" t="inlineStr">
        <is>
          <t>Framed as a bittersweet grace note. A modern reading finds the unrequited love gentle and respectful of the woman's choice, unusual in a genre that often rewards persistence.</t>
        </is>
      </c>
      <c r="AS36" s="5" t="inlineStr">
        <is>
          <t>SOURCE-053</t>
        </is>
      </c>
      <c r="AT36" s="5" t="inlineStr">
        <is>
          <t>Medium</t>
        </is>
      </c>
    </row>
    <row r="37" ht="64" customHeight="1">
      <c r="A37" s="15" t="inlineStr">
        <is>
          <t>PAIR-036</t>
        </is>
      </c>
      <c r="B37" s="18" t="inlineStr">
        <is>
          <t>FILM-053</t>
        </is>
      </c>
      <c r="C37" s="5" t="inlineStr">
        <is>
          <t>Laal Singh Chaddha</t>
        </is>
      </c>
      <c r="D37" s="17" t="n">
        <v>2022</v>
      </c>
      <c r="E37" s="5" t="inlineStr">
        <is>
          <t>Laal Singh Chaddha</t>
        </is>
      </c>
      <c r="F37" s="5" t="inlineStr">
        <is>
          <t>Kareena Kapoor</t>
        </is>
      </c>
      <c r="G37" s="5" t="inlineStr">
        <is>
          <t>Rupa D'Souza</t>
        </is>
      </c>
      <c r="H37" s="5" t="inlineStr">
        <is>
          <t>Female lead</t>
        </is>
      </c>
      <c r="I37" s="5" t="inlineStr">
        <is>
          <t>Yes</t>
        </is>
      </c>
      <c r="J37" s="19" t="inlineStr">
        <is>
          <t>Unrequited love</t>
        </is>
      </c>
      <c r="K37" s="5" t="inlineStr">
        <is>
          <t>Childhood friends at a missionary school</t>
        </is>
      </c>
      <c r="L37" s="5" t="inlineStr">
        <is>
          <t>Rupa becomes Laal's only friend at school.</t>
        </is>
      </c>
      <c r="M37" s="5" t="inlineStr">
        <is>
          <t>Laal</t>
        </is>
      </c>
      <c r="N37" s="19" t="inlineStr">
        <is>
          <t>Lifelong devotion on his side, interrupted by her repeated departures in pursuit of fame.</t>
        </is>
      </c>
      <c r="O37" s="19" t="inlineStr">
        <is>
          <t>His constancy against her restlessness and self-destruction</t>
        </is>
      </c>
      <c r="P37" s="19" t="inlineStr">
        <is>
          <t>Rupa repeatedly leaves him, choosing glamour and dangerous relationships.</t>
        </is>
      </c>
      <c r="Q37" s="20" t="n">
        <v>6</v>
      </c>
      <c r="R37" s="19" t="inlineStr">
        <is>
          <t>Repeated rejections and abandonment over decades, without hostility on his part.</t>
        </is>
      </c>
      <c r="S37" s="20" t="n">
        <v>7</v>
      </c>
      <c r="T37" s="5" t="inlineStr">
        <is>
          <t>Crime; Illness; Other</t>
        </is>
      </c>
      <c r="U37" s="19" t="inlineStr">
        <is>
          <t>Her involvement with a gangster leads to six months in prison; terminal illness ends their marriage.</t>
        </is>
      </c>
      <c r="V37" s="20" t="n">
        <v>9</v>
      </c>
      <c r="W37" s="19" t="inlineStr">
        <is>
          <t>Laal's love for Rupa is the constant of his life and drives his cross-country run.</t>
        </is>
      </c>
      <c r="X37" s="20" t="n">
        <v>8</v>
      </c>
      <c r="Y37" s="20" t="n">
        <v>5</v>
      </c>
      <c r="Z37" s="20" t="n">
        <v>3</v>
      </c>
      <c r="AA37" s="20" t="n">
        <v>7</v>
      </c>
      <c r="AB37" s="18" t="n"/>
      <c r="AC37" s="19" t="inlineStr">
        <is>
          <t>Not scored: Kareena Kapoor was nominated for Filmfare Best Actress, but the sources do not assess the pairing.</t>
        </is>
      </c>
      <c r="AD37" s="5" t="inlineStr">
        <is>
          <t>Unclear</t>
        </is>
      </c>
      <c r="AE37" s="5" t="inlineStr">
        <is>
          <t>Partial</t>
        </is>
      </c>
      <c r="AF37" s="5" t="inlineStr">
        <is>
          <t>Unclear</t>
        </is>
      </c>
      <c r="AG37" s="5" t="inlineStr">
        <is>
          <t>Partial</t>
        </is>
      </c>
      <c r="AH37" s="5" t="inlineStr">
        <is>
          <t>Yes</t>
        </is>
      </c>
      <c r="AI37" s="5" t="inlineStr">
        <is>
          <t>Yes</t>
        </is>
      </c>
      <c r="AJ37" s="5" t="inlineStr">
        <is>
          <t>No</t>
        </is>
      </c>
      <c r="AK37" s="19" t="inlineStr">
        <is>
          <t>His steady love, once refused, becomes the home Rupa returns to.</t>
        </is>
      </c>
      <c r="AL37" s="19" t="inlineStr">
        <is>
          <t>From chasing a glamorous life to returning, ill, to the man who always loved her.</t>
        </is>
      </c>
      <c r="AM37" s="5" t="inlineStr">
        <is>
          <t>Rupa returns with their son Aman; Laal marries her despite her terminal illness and raises Aman after her death.</t>
        </is>
      </c>
      <c r="AN37" s="5" t="inlineStr">
        <is>
          <t>Yes</t>
        </is>
      </c>
      <c r="AO37" s="5" t="inlineStr">
        <is>
          <t>Tragic</t>
        </is>
      </c>
      <c r="AP37" s="5" t="inlineStr">
        <is>
          <t>Tere Hawaale; Phir Na Aisi Raat Aayegi; Main Ki Karaan</t>
        </is>
      </c>
      <c r="AQ37" s="19" t="inlineStr">
        <is>
          <t>A late-career variation on the devoted lover: no courtship, only constancy across decades. The friction comes from the woman's choices rather than conflict, and her agency is high but self-destructive. It pairs the highest lover-boy score of his later films with low mutuality.</t>
        </is>
      </c>
      <c r="AR37" s="19" t="inlineStr">
        <is>
          <t>Framed, as in Forrest Gump, as a tale of pure love. A modern reading questions a narrative that frames the ambitious woman as lost until she returns home.</t>
        </is>
      </c>
      <c r="AS37" s="5" t="inlineStr">
        <is>
          <t>SOURCE-059</t>
        </is>
      </c>
      <c r="AT37" s="5" t="inlineStr">
        <is>
          <t>Medium</t>
        </is>
      </c>
    </row>
    <row r="38" ht="64" customHeight="1">
      <c r="A38" s="15" t="inlineStr">
        <is>
          <t>PAIR-037</t>
        </is>
      </c>
      <c r="B38" s="18" t="inlineStr">
        <is>
          <t>FILM-055</t>
        </is>
      </c>
      <c r="C38" s="5" t="inlineStr">
        <is>
          <t>Sitaare Zameen Par</t>
        </is>
      </c>
      <c r="D38" s="17" t="n">
        <v>2025</v>
      </c>
      <c r="E38" s="5" t="inlineStr">
        <is>
          <t>Gulshan Arora</t>
        </is>
      </c>
      <c r="F38" s="5" t="inlineStr">
        <is>
          <t>Genelia Deshmukh</t>
        </is>
      </c>
      <c r="G38" s="5" t="inlineStr">
        <is>
          <t>Sunita Arora</t>
        </is>
      </c>
      <c r="H38" s="5" t="inlineStr">
        <is>
          <t>Supporting</t>
        </is>
      </c>
      <c r="I38" s="5" t="inlineStr">
        <is>
          <t>Yes</t>
        </is>
      </c>
      <c r="J38" s="19" t="inlineStr">
        <is>
          <t>Marriage under strain</t>
        </is>
      </c>
      <c r="K38" s="5" t="inlineStr">
        <is>
          <t>Married couple</t>
        </is>
      </c>
      <c r="L38" s="5" t="n"/>
      <c r="M38" s="5" t="inlineStr">
        <is>
          <t>Not applicable</t>
        </is>
      </c>
      <c r="N38" s="19" t="inlineStr">
        <is>
          <t>Not applicable; an established marriage.</t>
        </is>
      </c>
      <c r="O38" s="19" t="inlineStr">
        <is>
          <t>Strained by his reluctance to start a family</t>
        </is>
      </c>
      <c r="P38" s="19" t="inlineStr">
        <is>
          <t>Gulshan's resistance to having children.</t>
        </is>
      </c>
      <c r="Q38" s="20" t="n">
        <v>5</v>
      </c>
      <c r="R38" s="19" t="inlineStr">
        <is>
          <t>A sustained disagreement about family plans; separation is not stated.</t>
        </is>
      </c>
      <c r="S38" s="20" t="n">
        <v>1</v>
      </c>
      <c r="T38" s="5" t="inlineStr">
        <is>
          <t>Other</t>
        </is>
      </c>
      <c r="U38" s="19" t="inlineStr">
        <is>
          <t>No outside obstacle; the strain comes from Gulshan's immaturity.</t>
        </is>
      </c>
      <c r="V38" s="20" t="n">
        <v>2</v>
      </c>
      <c r="W38" s="19" t="inlineStr">
        <is>
          <t>A husband subplot in a coaching drama.</t>
        </is>
      </c>
      <c r="X38" s="20" t="n">
        <v>3</v>
      </c>
      <c r="Y38" s="20" t="n">
        <v>6</v>
      </c>
      <c r="Z38" s="20" t="n">
        <v>5</v>
      </c>
      <c r="AA38" s="20" t="n">
        <v>5</v>
      </c>
      <c r="AB38" s="18" t="n"/>
      <c r="AC38" s="19" t="inlineStr">
        <is>
          <t>Not scored: no fetched source evaluates the pairing.</t>
        </is>
      </c>
      <c r="AD38" s="5" t="inlineStr">
        <is>
          <t>Unclear</t>
        </is>
      </c>
      <c r="AE38" s="5" t="inlineStr">
        <is>
          <t>Partial</t>
        </is>
      </c>
      <c r="AF38" s="5" t="inlineStr">
        <is>
          <t>No</t>
        </is>
      </c>
      <c r="AG38" s="5" t="inlineStr">
        <is>
          <t>No</t>
        </is>
      </c>
      <c r="AH38" s="5" t="inlineStr">
        <is>
          <t>Unclear</t>
        </is>
      </c>
      <c r="AI38" s="5" t="inlineStr">
        <is>
          <t>No</t>
        </is>
      </c>
      <c r="AJ38" s="5" t="inlineStr">
        <is>
          <t>Unclear</t>
        </is>
      </c>
      <c r="AK38" s="19" t="inlineStr">
        <is>
          <t>His growth through coaching makes him ready to embrace fatherhood.</t>
        </is>
      </c>
      <c r="AL38" s="19" t="inlineStr">
        <is>
          <t>Not documented.</t>
        </is>
      </c>
      <c r="AM38" s="5" t="inlineStr">
        <is>
          <t>The film closes with Gulshan joyfully accepting Sunita's pregnancy.</t>
        </is>
      </c>
      <c r="AN38" s="5" t="inlineStr">
        <is>
          <t>Yes</t>
        </is>
      </c>
      <c r="AO38" s="5" t="inlineStr">
        <is>
          <t>Happy</t>
        </is>
      </c>
      <c r="AP38" s="5" t="n"/>
      <c r="AQ38" s="19" t="inlineStr">
        <is>
          <t>A moderate-prominence marriage subplot that externalises the hero's inner change: learning from his players makes him ready for a family. Friction is internal and resolved by his maturity, echoing the older-husband roles of his later career.</t>
        </is>
      </c>
      <c r="AR38" s="19" t="inlineStr">
        <is>
          <t>Framed as a sweet subplot. A modern reading notes that the wife's wish for a child is resolved through the husband's growth rather than her own arc.</t>
        </is>
      </c>
      <c r="AS38" s="5" t="inlineStr">
        <is>
          <t>SOURCE-061</t>
        </is>
      </c>
      <c r="AT38" s="5" t="inlineStr">
        <is>
          <t>Low</t>
        </is>
      </c>
    </row>
  </sheetData>
  <autoFilter ref="A1:AT38"/>
  <conditionalFormatting sqref="Q2:Q238">
    <cfRule type="colorScale" priority="1">
      <colorScale>
        <cfvo type="num" val="0"/>
        <cfvo type="num" val="5"/>
        <cfvo type="num" val="10"/>
        <color rgb="00FFFFFF"/>
        <color rgb="00FCE7B2"/>
        <color rgb="00E07B39"/>
      </colorScale>
    </cfRule>
  </conditionalFormatting>
  <conditionalFormatting sqref="S2:S238">
    <cfRule type="colorScale" priority="2">
      <colorScale>
        <cfvo type="num" val="0"/>
        <cfvo type="num" val="5"/>
        <cfvo type="num" val="10"/>
        <color rgb="00FFFFFF"/>
        <color rgb="00FCE7B2"/>
        <color rgb="00E07B39"/>
      </colorScale>
    </cfRule>
  </conditionalFormatting>
  <conditionalFormatting sqref="V2:V238">
    <cfRule type="colorScale" priority="3">
      <colorScale>
        <cfvo type="num" val="0"/>
        <cfvo type="num" val="5"/>
        <cfvo type="num" val="10"/>
        <color rgb="00FFFFFF"/>
        <color rgb="00FCE7B2"/>
        <color rgb="00E07B39"/>
      </colorScale>
    </cfRule>
  </conditionalFormatting>
  <conditionalFormatting sqref="X2:X238">
    <cfRule type="colorScale" priority="4">
      <colorScale>
        <cfvo type="num" val="0"/>
        <cfvo type="num" val="5"/>
        <cfvo type="num" val="10"/>
        <color rgb="00FFFFFF"/>
        <color rgb="00FCE7B2"/>
        <color rgb="00E07B39"/>
      </colorScale>
    </cfRule>
  </conditionalFormatting>
  <conditionalFormatting sqref="Y2:Y238">
    <cfRule type="colorScale" priority="5">
      <colorScale>
        <cfvo type="num" val="0"/>
        <cfvo type="num" val="5"/>
        <cfvo type="num" val="10"/>
        <color rgb="00FFFFFF"/>
        <color rgb="00FCE7B2"/>
        <color rgb="00E07B39"/>
      </colorScale>
    </cfRule>
  </conditionalFormatting>
  <conditionalFormatting sqref="Z2:Z238">
    <cfRule type="colorScale" priority="6">
      <colorScale>
        <cfvo type="num" val="0"/>
        <cfvo type="num" val="5"/>
        <cfvo type="num" val="10"/>
        <color rgb="00FFFFFF"/>
        <color rgb="00FCE7B2"/>
        <color rgb="00E07B39"/>
      </colorScale>
    </cfRule>
  </conditionalFormatting>
  <conditionalFormatting sqref="AA2:AA238">
    <cfRule type="colorScale" priority="7">
      <colorScale>
        <cfvo type="num" val="0"/>
        <cfvo type="num" val="5"/>
        <cfvo type="num" val="10"/>
        <color rgb="00FFFFFF"/>
        <color rgb="00FCE7B2"/>
        <color rgb="00E07B39"/>
      </colorScale>
    </cfRule>
  </conditionalFormatting>
  <conditionalFormatting sqref="AB2:AB238">
    <cfRule type="colorScale" priority="8">
      <colorScale>
        <cfvo type="num" val="0"/>
        <cfvo type="num" val="5"/>
        <cfvo type="num" val="10"/>
        <color rgb="00FFFFFF"/>
        <color rgb="00FCE7B2"/>
        <color rgb="00E07B39"/>
      </colorScale>
    </cfRule>
  </conditionalFormatting>
  <dataValidations count="20">
    <dataValidation sqref="I2:I238" showDropDown="0" showInputMessage="0" showErrorMessage="1" allowBlank="1" errorTitle="Principal Female Lead" error="Choose a value from the list." type="list">
      <formula1>"Yes,No,Partial,Unclear,Not applicable"</formula1>
    </dataValidation>
    <dataValidation sqref="J2:J238" showDropDown="0" showInputMessage="0" showErrorMessage="1" allowBlank="1" errorTitle="Relationship Category" error="Choose a value from the list." type="list">
      <formula1>Overview!$AN$2:$AN$20</formula1>
    </dataValidation>
    <dataValidation sqref="Q2:Q238" showDropDown="0" showInputMessage="0" showErrorMessage="1" allowBlank="1" errorTitle="Pair Friction Score" error="Enter a score from 0 to 10." type="decimal" operator="between">
      <formula1>0</formula1>
      <formula2>10</formula2>
    </dataValidation>
    <dataValidation sqref="S2:S238" showDropDown="0" showInputMessage="0" showErrorMessage="1" allowBlank="1" errorTitle="External Opposition Score" error="Enter a score from 0 to 10." type="decimal" operator="between">
      <formula1>0</formula1>
      <formula2>10</formula2>
    </dataValidation>
    <dataValidation sqref="V2:V238" showDropDown="0" showInputMessage="0" showErrorMessage="1" allowBlank="1" errorTitle="Lover-Boy Score" error="Enter a score from 0 to 10." type="decimal" operator="between">
      <formula1>0</formula1>
      <formula2>10</formula2>
    </dataValidation>
    <dataValidation sqref="X2:X238" showDropDown="0" showInputMessage="0" showErrorMessage="1" allowBlank="1" errorTitle="Romance Centrality Score" error="Enter a score from 0 to 10." type="decimal" operator="between">
      <formula1>0</formula1>
      <formula2>10</formula2>
    </dataValidation>
    <dataValidation sqref="Y2:Y238" showDropDown="0" showInputMessage="0" showErrorMessage="1" allowBlank="1" errorTitle="Relationship Health Score" error="Enter a score from 0 to 10." type="decimal" operator="between">
      <formula1>0</formula1>
      <formula2>10</formula2>
    </dataValidation>
    <dataValidation sqref="Z2:Z238" showDropDown="0" showInputMessage="0" showErrorMessage="1" allowBlank="1" errorTitle="Mutuality Score" error="Enter a score from 0 to 10." type="decimal" operator="between">
      <formula1>0</formula1>
      <formula2>10</formula2>
    </dataValidation>
    <dataValidation sqref="AA2:AA238" showDropDown="0" showInputMessage="0" showErrorMessage="1" allowBlank="1" errorTitle="Female Agency Score" error="Enter a score from 0 to 10." type="decimal" operator="between">
      <formula1>0</formula1>
      <formula2>10</formula2>
    </dataValidation>
    <dataValidation sqref="AB2:AB238" showDropDown="0" showInputMessage="0" showErrorMessage="1" allowBlank="1" errorTitle="Chemistry Score" error="Enter a score from 0 to 10." type="decimal" operator="between">
      <formula1>0</formula1>
      <formula2>10</formula2>
    </dataValidation>
    <dataValidation sqref="AD2:AD238" showDropDown="0" showInputMessage="0" showErrorMessage="1" allowBlank="1" errorTitle="Playful Banter" error="Choose a value from the list." type="list">
      <formula1>"Yes,No,Partial,Unclear,Not applicable"</formula1>
    </dataValidation>
    <dataValidation sqref="AE2:AE238" showDropDown="0" showInputMessage="0" showErrorMessage="1" allowBlank="1" errorTitle="Serious Conflict" error="Choose a value from the list." type="list">
      <formula1>"Yes,No,Partial,Unclear,Not applicable"</formula1>
    </dataValidation>
    <dataValidation sqref="AF2:AF238" showDropDown="0" showInputMessage="0" showErrorMessage="1" allowBlank="1" errorTitle="Jealousy or Possessiveness" error="Choose a value from the list." type="list">
      <formula1>"Yes,No,Partial,Unclear,Not applicable"</formula1>
    </dataValidation>
    <dataValidation sqref="AG2:AG238" showDropDown="0" showInputMessage="0" showErrorMessage="1" allowBlank="1" errorTitle="Deception or Mistaken Identity" error="Choose a value from the list." type="list">
      <formula1>"Yes,No,Partial,Unclear,Not applicable"</formula1>
    </dataValidation>
    <dataValidation sqref="AH2:AH238" showDropDown="0" showInputMessage="0" showErrorMessage="1" allowBlank="1" errorTitle="Separation or Estrangement" error="Choose a value from the list." type="list">
      <formula1>"Yes,No,Partial,Unclear,Not applicable"</formula1>
    </dataValidation>
    <dataValidation sqref="AI2:AI238" showDropDown="0" showInputMessage="0" showErrorMessage="1" allowBlank="1" errorTitle="Sacrifice" error="Choose a value from the list." type="list">
      <formula1>"Yes,No,Partial,Unclear,Not applicable"</formula1>
    </dataValidation>
    <dataValidation sqref="AJ2:AJ238" showDropDown="0" showInputMessage="0" showErrorMessage="1" allowBlank="1" errorTitle="Couple Functions as Team" error="Choose a value from the list." type="list">
      <formula1>"Yes,No,Partial,Unclear,Not applicable"</formula1>
    </dataValidation>
    <dataValidation sqref="AN2:AN238" showDropDown="0" showInputMessage="0" showErrorMessage="1" allowBlank="1" errorTitle="Marriage or Long-Term Union" error="Choose a value from the list." type="list">
      <formula1>"Yes,No,Partial,Unclear,Not applicable"</formula1>
    </dataValidation>
    <dataValidation sqref="AO2:AO238" showDropDown="0" showInputMessage="0" showErrorMessage="1" allowBlank="1" errorTitle="Happy, Tragic or Unresolved Ending" error="Choose a value from the list." type="list">
      <formula1>"Happy,Tragic,Unresolved"</formula1>
    </dataValidation>
    <dataValidation sqref="AT2:AT238"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2" customWidth="1" min="3" max="3"/>
    <col width="9" customWidth="1" min="4" max="4"/>
    <col width="9" customWidth="1" min="5" max="5"/>
    <col width="13" customWidth="1" min="6" max="6"/>
    <col width="18" customWidth="1" min="7" max="7"/>
    <col width="40" customWidth="1" min="8" max="8"/>
    <col width="30" customWidth="1" min="9" max="9"/>
    <col width="36" customWidth="1" min="10" max="10"/>
    <col width="32" customWidth="1" min="11" max="11"/>
    <col width="36" customWidth="1" min="12" max="12"/>
    <col width="32" customWidth="1" min="13" max="13"/>
    <col width="36" customWidth="1" min="14" max="14"/>
    <col width="36" customWidth="1" min="15" max="15"/>
    <col width="14" customWidth="1" min="16" max="16"/>
    <col width="26" customWidth="1" min="17" max="17"/>
    <col width="26" customWidth="1" min="18" max="18"/>
    <col width="90" customWidth="1" min="19" max="19"/>
    <col width="22" customWidth="1" min="20" max="20"/>
    <col width="12" customWidth="1" min="21" max="21"/>
  </cols>
  <sheetData>
    <row r="1" ht="36" customHeight="1">
      <c r="A1" s="12" t="inlineStr">
        <is>
          <t>Person ID</t>
        </is>
      </c>
      <c r="B1" s="12" t="inlineStr">
        <is>
          <t>Name</t>
        </is>
      </c>
      <c r="C1" s="12" t="inlineStr">
        <is>
          <t>Profession or Function</t>
        </is>
      </c>
      <c r="D1" s="12" t="inlineStr">
        <is>
          <t>Birth Year</t>
        </is>
      </c>
      <c r="E1" s="12" t="inlineStr">
        <is>
          <t>Death Year</t>
        </is>
      </c>
      <c r="F1" s="12" t="inlineStr">
        <is>
          <t>Years Active</t>
        </is>
      </c>
      <c r="G1" s="12" t="inlineStr">
        <is>
          <t>Industry or Primary Language</t>
        </is>
      </c>
      <c r="H1" s="12" t="inlineStr">
        <is>
          <t>Career Background</t>
        </is>
      </c>
      <c r="I1" s="12" t="inlineStr">
        <is>
          <t>Debut or Early Breakthrough</t>
        </is>
      </c>
      <c r="J1" s="12" t="inlineStr">
        <is>
          <t>Major Works</t>
        </is>
      </c>
      <c r="K1" s="13" t="inlineStr">
        <is>
          <t>Recurring Genres or Themes</t>
        </is>
      </c>
      <c r="L1" s="13" t="inlineStr">
        <is>
          <t>Creative Style</t>
        </is>
      </c>
      <c r="M1" s="12" t="inlineStr">
        <is>
          <t>Major Awards</t>
        </is>
      </c>
      <c r="N1" s="13" t="inlineStr">
        <is>
          <t>Historical Importance</t>
        </is>
      </c>
      <c r="O1" s="13" t="inlineStr">
        <is>
          <t>Relationship with Selected Actor</t>
        </is>
      </c>
      <c r="P1" s="12" t="inlineStr">
        <is>
          <t>Number of Collaborations</t>
        </is>
      </c>
      <c r="Q1" s="12" t="inlineStr">
        <is>
          <t>Collaboration Film IDs</t>
        </is>
      </c>
      <c r="R1" s="12" t="inlineStr">
        <is>
          <t>Most Important Collaboration</t>
        </is>
      </c>
      <c r="S1" s="12" t="inlineStr">
        <is>
          <t>Extended Biography</t>
        </is>
      </c>
      <c r="T1" s="12" t="inlineStr">
        <is>
          <t>Source IDs</t>
        </is>
      </c>
      <c r="U1" s="12" t="inlineStr">
        <is>
          <t>Confidence Grade</t>
        </is>
      </c>
    </row>
    <row r="2" ht="169" customHeight="1">
      <c r="A2" s="15" t="inlineStr">
        <is>
          <t>PERSON-001</t>
        </is>
      </c>
      <c r="B2" s="5" t="inlineStr">
        <is>
          <t>Aamir Khan Productions</t>
        </is>
      </c>
      <c r="C2" s="5" t="inlineStr">
        <is>
          <t>Production banner</t>
        </is>
      </c>
      <c r="D2" s="18" t="n"/>
      <c r="E2" s="18" t="n"/>
      <c r="F2" s="5" t="inlineStr">
        <is>
          <t>Founded 1999</t>
        </is>
      </c>
      <c r="G2" s="5" t="inlineStr">
        <is>
          <t>Hindi</t>
        </is>
      </c>
      <c r="H2" s="5" t="inlineStr">
        <is>
          <t>Founded by Aamir Khan; Kiran Rao, who met him as an assistant director on Lagaan, became a key producer.</t>
        </is>
      </c>
      <c r="I2" s="5" t="inlineStr">
        <is>
          <t>Lagaan (2001).</t>
        </is>
      </c>
      <c r="J2" s="5" t="inlineStr">
        <is>
          <t>Lagaan (2001); Taare Zameen Par (2007); Jaane Tu... Ya Jaane Na (2008); Peepli Live (2010); Dhobi Ghat (2011); Delhi Belly (2011); Talaash (2012); Dangal (2016); Secret Superstar (2017); Laal Singh Chaddha (2022); Laapataa Ladies (2024); Sitaare Zameen Par (2025); Happy Patel: Khatarnak Jasoos (2026); Lahore 1947 / Batwara 1947 (2026)</t>
        </is>
      </c>
      <c r="K2" s="19" t="inlineStr">
        <is>
          <t>Socially engaged mainstream films, new directors and occasional art-house releases</t>
        </is>
      </c>
      <c r="L2" s="19" t="n"/>
      <c r="M2" s="5" t="inlineStr">
        <is>
          <t>Academy Award nomination (Lagaan); Filmfare Best Film (Lagaan; Taare Zameen Par; Dangal); National Film Awards including Best Popular Film (Lagaan) and Best Film on Family Welfare (Taare Zameen Par)</t>
        </is>
      </c>
      <c r="N2" s="19" t="inlineStr">
        <is>
          <t>Credited with opening Chinese markets to Indian films through the success of Dangal and Secret Superstar.</t>
        </is>
      </c>
      <c r="O2" s="19" t="inlineStr">
        <is>
          <t>His own company, which produced or co-produced ten of his acting films, including his directorial debut.</t>
        </is>
      </c>
      <c r="P2" s="17" t="n">
        <v>11</v>
      </c>
      <c r="Q2" s="5" t="inlineStr">
        <is>
          <t>FILM-033; FILM-038; FILM-042; FILM-043; FILM-044; FILM-045; FILM-049; FILM-050; FILM-053; FILM-055; FILM-057</t>
        </is>
      </c>
      <c r="R2" s="5" t="inlineStr">
        <is>
          <t>Lagaan (2001)</t>
        </is>
      </c>
      <c r="S2" s="5" t="inlineStr">
        <is>
          <t>Aamir Khan Productions was founded by Aamir Khan in 1999 and launched with Lagaan (2001), a then-unprecedentedly expensive cricket epic nominated for the Academy Award for Best Foreign Language Film. The company became the vehicle for Aamir's selective, message-led career. He directed Taare Zameen Par (2007) for it, and it backed first-time or early-career directors including Abbas Tyrewala (Jaane Tu... Ya Jaane Na), Kiran Rao (Dhobi Ghat, Laapataa Ladies), Abhinay Deo (Delhi Belly) and Advait Chandan (Secret Superstar, Laal Singh Chaddha). Many productions were made with partners, among them PVR, UTV, Excel Entertainment, Disney, Zee Studios, Paramount and Viacom18, and Jio Studios. Dangal (2016), co-produced with Disney, became the highest-grossing Indian film and, with Secret Superstar (2017), is credited with opening China to Indian cinema. The banner's recent run is mixed: the costly Laal Singh Chaddha (2022) was a box-office disaster, while Sitaare Zameen Par (2025) was a hit and Lahore 1947, released in 2026 as Batwara 1947, was not. Of its films, ten feature Aamir Khan on screen, from lead roles to a cameo in Happy Patel: Khatarnak Jasoos.</t>
        </is>
      </c>
      <c r="T2" s="5" t="inlineStr">
        <is>
          <t>SOURCE-099; SOURCE-039; SOURCE-044; SOURCE-055; SOURCE-056; SOURCE-059; SOURCE-061; SOURCE-064</t>
        </is>
      </c>
      <c r="U2" s="5" t="inlineStr">
        <is>
          <t>Medium</t>
        </is>
      </c>
    </row>
    <row r="3" ht="199" customHeight="1">
      <c r="A3" s="15" t="inlineStr">
        <is>
          <t>PERSON-002</t>
        </is>
      </c>
      <c r="B3" s="5" t="inlineStr">
        <is>
          <t>A. R. Rahman</t>
        </is>
      </c>
      <c r="C3" s="5" t="inlineStr">
        <is>
          <t>Music director (songs and background score)</t>
        </is>
      </c>
      <c r="D3" s="17" t="n">
        <v>1967</v>
      </c>
      <c r="E3" s="18" t="n"/>
      <c r="F3" s="5" t="inlineStr">
        <is>
          <t>1992–present</t>
        </is>
      </c>
      <c r="G3" s="5" t="inlineStr">
        <is>
          <t>Tamil; Hindi; international</t>
        </is>
      </c>
      <c r="H3" s="5" t="inlineStr">
        <is>
          <t>Born Arunachalam Shekhar Dileep Kumar, son of Malayalam film composer R. K. Shekhar; composed advertising jingles from 1987.</t>
        </is>
      </c>
      <c r="I3" s="5" t="inlineStr">
        <is>
          <t>Roja (1992); Hindi breakthrough with Rangeela (1995).</t>
        </is>
      </c>
      <c r="J3" s="5" t="inlineStr">
        <is>
          <t>Roja (1992); Bombay (1995); Rangeela (1995); Dil Se.. (1998); Taal (1999); Lagaan (2001); Swades (2004); Rang De Basanti (2006); Jodhaa Akbar (2008); Slumdog Millionaire (2008); Rockstar (2011)</t>
        </is>
      </c>
      <c r="K3" s="19" t="inlineStr">
        <is>
          <t>Epic, patriotic and romantic scores</t>
        </is>
      </c>
      <c r="L3" s="19" t="inlineStr">
        <is>
          <t>Synthesises Carnatic, Hindustani, Western classical and qawwali traditions with electronic production; introduced 7.1 surround sound to South Indian films.</t>
        </is>
      </c>
      <c r="M3" s="5" t="inlineStr">
        <is>
          <t>Two Academy Awards and two Grammy Awards (Slumdog Millionaire); seven National Film Awards; Padma Shri (2000); Padma Bhushan (2010)</t>
        </is>
      </c>
      <c r="N3" s="19" t="inlineStr">
        <is>
          <t>The most internationally celebrated Indian film composer, who transformed the sound of Hindi and Tamil film music from the 1990s.</t>
        </is>
      </c>
      <c r="O3" s="19" t="inlineStr">
        <is>
          <t>Scored six Aamir Khan films, including three of his most acclaimed.</t>
        </is>
      </c>
      <c r="P3" s="17" t="n">
        <v>6</v>
      </c>
      <c r="Q3" s="5" t="inlineStr">
        <is>
          <t>FILM-024; FILM-031; FILM-033; FILM-035; FILM-036; FILM-039</t>
        </is>
      </c>
      <c r="R3" s="5" t="inlineStr">
        <is>
          <t>Lagaan (2001)</t>
        </is>
      </c>
      <c r="S3" s="5" t="inlineStr">
        <is>
          <t>A. R. Rahman was born Arunachalam Shekhar Dileep Kumar in 1967, the son of Malayalam film composer R. K. Shekhar, and made his name composing advertising jingles before Mani Ratnam's Roja (1992) launched his film career. Bombay (1995) sold 15 million soundtrack copies, and Ram Gopal Varma's Rangeela (1995) was his Hindi breakthrough and his first film with Aamir Khan; it won him the Filmfare Best Music Director award. His music blends Carnatic, Hindustani, Western classical and qawwali influences with state-of-the-art production. The partnership with Aamir continued through Deepa Mehta's Earth, then Lagaan (2001), whose songs won the Filmfare and National Film Awards for music and whose lyricist Javed Akhtar also won both. Rahman scored Mangal Pandey: The Rising (2005) and Rang De Basanti (2006), winning another Filmfare award for the latter, and Ghajini (2008), the first Hindi film to cross ₹100 crore nett in India, whose soundtrack was the year's best-selling Bollywood album. His international career peaked with Slumdog Millionaire, which brought two Academy Awards and two Grammys. He has seven National Film Awards and received the Padma Shri in 2000 and the Padma Bhushan in 2010. Across six films he supplied the sound of Aamir Khan's move from romantic hero to epic and political roles.</t>
        </is>
      </c>
      <c r="T3" s="5" t="inlineStr">
        <is>
          <t>SOURCE-094; SOURCE-030; SOURCE-035; SOURCE-039; SOURCE-041; SOURCE-042; SOURCE-045; SOURCE-071</t>
        </is>
      </c>
      <c r="U3" s="5" t="inlineStr">
        <is>
          <t>Medium</t>
        </is>
      </c>
    </row>
    <row r="4" ht="169" customHeight="1">
      <c r="A4" s="15" t="inlineStr">
        <is>
          <t>PERSON-003</t>
        </is>
      </c>
      <c r="B4" s="5" t="inlineStr">
        <is>
          <t>Anand–Milind</t>
        </is>
      </c>
      <c r="C4" s="5" t="inlineStr">
        <is>
          <t>Music directors (song composers)</t>
        </is>
      </c>
      <c r="D4" s="18" t="n"/>
      <c r="E4" s="18" t="n"/>
      <c r="F4" s="5" t="inlineStr">
        <is>
          <t>1983–present</t>
        </is>
      </c>
      <c r="G4" s="5" t="inlineStr">
        <is>
          <t>Hindi</t>
        </is>
      </c>
      <c r="H4" s="5" t="inlineStr">
        <is>
          <t>Brothers Anand and Milind Srivastava, sons of the composer Chitragupt.</t>
        </is>
      </c>
      <c r="I4" s="5" t="inlineStr">
        <is>
          <t>Ab Ayega Mazaa (1984); breakthrough with Qayamat Se Qayamat Tak (1988).</t>
        </is>
      </c>
      <c r="J4" s="5" t="inlineStr">
        <is>
          <t>Ab Ayega Mazaa (1984); Jalwa (1987); Qayamat Se Qayamat Tak (1988); Baaghi: A Rebel for Love (1990); Dil (1990); Tum Mere Ho (1990); Deewana Mujh Sa Nahin (1990); Jawani Zindabad (1990); Daulat Ki Jung (1992)</t>
        </is>
      </c>
      <c r="K4" s="19" t="inlineStr">
        <is>
          <t>Youthful romantic soundtracks for the late-1980s and early-1990s romance boom</t>
        </is>
      </c>
      <c r="L4" s="19" t="inlineStr">
        <is>
          <t>Melodic, song-led romantic scores, frequently with lyricists Majrooh Sultanpuri and Sameer.</t>
        </is>
      </c>
      <c r="M4" s="5" t="inlineStr">
        <is>
          <t>Filmfare Best Music Director (Qayamat Se Qayamat Tak, 1989); Lata Mangeshkar Award, Government of Madhya Pradesh (2020)</t>
        </is>
      </c>
      <c r="N4" s="19" t="inlineStr">
        <is>
          <t>Composed for more than 200 Hindi films; their Qayamat Se Qayamat Tak songs defined the sound of the romantic revival.</t>
        </is>
      </c>
      <c r="O4" s="19" t="inlineStr">
        <is>
          <t>The most frequent composers of Aamir Khan's early career, scoring six of his films between 1988 and 1992.</t>
        </is>
      </c>
      <c r="P4" s="17" t="n">
        <v>6</v>
      </c>
      <c r="Q4" s="5" t="inlineStr">
        <is>
          <t>FILM-004; FILM-008; FILM-009; FILM-010; FILM-011; FILM-014</t>
        </is>
      </c>
      <c r="R4" s="5" t="inlineStr">
        <is>
          <t>Qayamat Se Qayamat Tak (1988)</t>
        </is>
      </c>
      <c r="S4" s="5" t="inlineStr">
        <is>
          <t>Anand and Milind Srivastava are brothers and the sons of the veteran composer Chitragupt. Working as Anand–Milind from 1983, they debuted with Ab Ayega Mazaa (1984) and scored Jalwa (1987) before their breakthrough with Qayamat Se Qayamat Tak (1988). Its songs, including 'Papa Kehte Hain' and 'Ae Mere Humsafar', won them the Filmfare Best Music Director award and helped make the film a phenomenon. The success tied them closely to the romantic cycle it started and to Aamir Khan's early stardom. Within two years they had scored Tum Mere Ho, Indra Kumar's Dil (a Filmfare nomination and the year's highest-grossing film), Deewana Mujh Sa Nahin and Jawani Zindabad, followed by Daulat Ki Jung (1992). Their collaborations with Majrooh Sultanpuri (QSQT, Tum Mere Ho, Daulat Ki Jung) and Sameer (Dil, Deewana Mujh Sa Nahin) supplied the courtship songs central to these films' appeal. Their long career includes more than 200 Hindi films, and in 2020 the Madhya Pradesh government gave them the Lata Mangeshkar Award. The fetched biography gives no birth years or detailed account of their style, so the stylistic description here draws on the film records.</t>
        </is>
      </c>
      <c r="T4" s="5" t="inlineStr">
        <is>
          <t>SOURCE-080; SOURCE-007; SOURCE-012; SOURCE-014; SOURCE-015; SOURCE-016; SOURCE-020</t>
        </is>
      </c>
      <c r="U4" s="5" t="inlineStr">
        <is>
          <t>Medium</t>
        </is>
      </c>
    </row>
    <row r="5" ht="184" customHeight="1">
      <c r="A5" s="15" t="inlineStr">
        <is>
          <t>PERSON-004</t>
        </is>
      </c>
      <c r="B5" s="5" t="inlineStr">
        <is>
          <t>Bappi Lahiri</t>
        </is>
      </c>
      <c r="C5" s="5" t="inlineStr">
        <is>
          <t>Music director (song composer)</t>
        </is>
      </c>
      <c r="D5" s="17" t="n">
        <v>1952</v>
      </c>
      <c r="E5" s="17" t="n">
        <v>2022</v>
      </c>
      <c r="F5" s="5" t="inlineStr">
        <is>
          <t>1972–2022</t>
        </is>
      </c>
      <c r="G5" s="5" t="inlineStr">
        <is>
          <t>Hindi; Bengali; Telugu; other Indian languages</t>
        </is>
      </c>
      <c r="H5" s="5" t="inlineStr">
        <is>
          <t>Born Alokesh Aparesh Lahiri in Siliguri to classical musicians; maternal uncle was Kishore Kumar.</t>
        </is>
      </c>
      <c r="I5" s="5" t="inlineStr">
        <is>
          <t>Bengali film Daadu (1972); recognition in Hindi with Tahir Hussain's Zakhmee (1975) and Chalte Chalte (1976).</t>
        </is>
      </c>
      <c r="J5" s="5" t="inlineStr">
        <is>
          <t>Zakhmee (1975); Chalte Chalte (1976); Disco Dancer (1982); Namak Halaal (1982); Himmatwala (1983); Sharaabi (1984); Love Love Love (1989); Awwal Number (1990); Afsana Pyar Ka (1991)</t>
        </is>
      </c>
      <c r="K5" s="19" t="inlineStr">
        <is>
          <t>Dance-floor pop and disco for mass entertainers</t>
        </is>
      </c>
      <c r="L5" s="19" t="inlineStr">
        <is>
          <t>Pioneered synthesised disco in Indian film music, fusing Indian melody with international pop rhythms.</t>
        </is>
      </c>
      <c r="M5" s="5" t="inlineStr">
        <is>
          <t>Filmfare Best Music Director (Sharaabi, 1985); Filmfare Lifetime Achievement Award (2018); Guinness World Record (1986) for recording more than 180 songs in one year</t>
        </is>
      </c>
      <c r="N5" s="19" t="inlineStr">
        <is>
          <t>Transformed Hindi film music in the 1980s with electronic disco and a distinctive public image.</t>
        </is>
      </c>
      <c r="O5" s="19" t="inlineStr">
        <is>
          <t>Scored five Aamir Khan films between 1989 and 1995, mostly lower-profile releases.</t>
        </is>
      </c>
      <c r="P5" s="17" t="n">
        <v>5</v>
      </c>
      <c r="Q5" s="5" t="inlineStr">
        <is>
          <t>FILM-006; FILM-007; FILM-012; FILM-016; FILM-023</t>
        </is>
      </c>
      <c r="R5" s="5" t="inlineStr">
        <is>
          <t>Afsana Pyar Ka (1991)</t>
        </is>
      </c>
      <c r="S5" s="5" t="inlineStr">
        <is>
          <t>Bappi Lahiri was born Alokesh Aparesh Lahiri in Siliguri in 1952 to parents who were classical musicians; the singer Kishore Kumar was his maternal uncle. He scored his first film, the Bengali Daadu, in 1972 and gained recognition in Hindi cinema with Zakhmee (1975), produced by Tahir Hussain, before national success with Chalte Chalte (1976). In the 1980s he became the dominant sound of mass entertainers, introducing synthesised disco with Disco Dancer, Namak Halaal, Himmatwala and Sharaabi, which won him the Filmfare Best Music Director award. He set a Guinness record in 1986 for recording more than 180 songs in a year and composed across Hindi, Bengali, Telugu, Kannada, Tamil and Marathi cinema. His work was also the subject of an international copyright case after portions of 'Thoda Resham Lagta Hai' appeared in a 2002 song by the American singer Truth Hurts. By the time he worked with Aamir Khan, the disco wave had peaked: he scored Love Love Love (1989), Dev Anand's Awwal Number (1990), Afsana Pyar Ka (1991), whose 'Tip Tip Tip Tip Baarish Shuru Ho Gayi' was a popular song, Isi Ka Naam Zindagi (1992) and Aatank Hi Aatank (1995). None became a major Aamir Khan hit. He received the Filmfare Lifetime Achievement Award in 2018 and died in Mumbai in 2022.</t>
        </is>
      </c>
      <c r="T5" s="5" t="inlineStr">
        <is>
          <t>SOURCE-082; SOURCE-009; SOURCE-010; SOURCE-017; SOURCE-022; SOURCE-029</t>
        </is>
      </c>
      <c r="U5" s="5" t="inlineStr">
        <is>
          <t>Medium</t>
        </is>
      </c>
    </row>
    <row r="6" ht="124" customHeight="1">
      <c r="A6" s="15" t="inlineStr">
        <is>
          <t>PERSON-005</t>
        </is>
      </c>
      <c r="B6" s="5" t="inlineStr">
        <is>
          <t>Excel Entertainment</t>
        </is>
      </c>
      <c r="C6" s="5" t="inlineStr">
        <is>
          <t>Production banner</t>
        </is>
      </c>
      <c r="D6" s="18" t="n"/>
      <c r="E6" s="18" t="n"/>
      <c r="F6" s="5" t="inlineStr">
        <is>
          <t>Founded 9 August 1999</t>
        </is>
      </c>
      <c r="G6" s="5" t="inlineStr">
        <is>
          <t>Hindi; streaming series</t>
        </is>
      </c>
      <c r="H6" s="5" t="inlineStr">
        <is>
          <t>Founded by Farhan Akhtar and Ritesh Sidhwani.</t>
        </is>
      </c>
      <c r="I6" s="5" t="inlineStr">
        <is>
          <t>Dil Chahta Hai (2001).</t>
        </is>
      </c>
      <c r="J6" s="5" t="inlineStr">
        <is>
          <t>Dil Chahta Hai (2001); Lakshya (2004); Don (2006); Rock On!! (2008); Luck by Chance (2009); Zindagi Na Milegi Dobara (2011); Talaash (2012); Bombay Talkies (2013); Dil Dhadakne Do (2015); Gully Boy (2019); Mirzapur; Made in Heaven</t>
        </is>
      </c>
      <c r="K6" s="19" t="inlineStr">
        <is>
          <t>Contemporary urban stories and unusual characters</t>
        </is>
      </c>
      <c r="L6" s="19" t="n"/>
      <c r="M6" s="5" t="inlineStr">
        <is>
          <t>National Film Awards for Dil Chahta Hai and Rock On!!; Gully Boy selected as India's Academy Award entry</t>
        </is>
      </c>
      <c r="N6" s="19" t="inlineStr">
        <is>
          <t>Pioneered contemporary Hindi cinema and moved early into original streaming series.</t>
        </is>
      </c>
      <c r="O6" s="19" t="inlineStr">
        <is>
          <t>Produced two films starring Aamir Khan, and three in which he appears as himself or as a voice.</t>
        </is>
      </c>
      <c r="P6" s="17" t="n">
        <v>5</v>
      </c>
      <c r="Q6" s="5" t="inlineStr">
        <is>
          <t>FILM-034; FILM-040; FILM-044; FILM-045; FILM-048</t>
        </is>
      </c>
      <c r="R6" s="5" t="inlineStr">
        <is>
          <t>Dil Chahta Hai (2001)</t>
        </is>
      </c>
      <c r="S6" s="5" t="inlineStr">
        <is>
          <t>Excel Entertainment was founded on 9 August 1999 by Farhan Akhtar and producer Ritesh Sidhwani. Its first film, Dil Chahta Hai (2001), starring Aamir Khan, Saif Ali Khan and Akshaye Khanna, won the National Film Award for Best Feature Film in Hindi, and the company became associated with contemporary urban storytelling through Lakshya, Don, Rock On!!, Zindagi Na Milegi Dobara and Gully Boy, India's Academy Award entry. It later moved into streaming series with Inside Edge, Mirzapur and Made in Heaven. Aamir Khan's work with the banner covers leading roles in Dil Chahta Hai and in Talaash (2012), co-produced with Aamir Khan Productions; appearances as himself in Luck by Chance (2009) and, among many stars, in a song of the anthology Bombay Talkies (2013); and the narrating voice of the dog Pluto in Dil Dhadakne Do (2015).</t>
        </is>
      </c>
      <c r="T6" s="5" t="inlineStr">
        <is>
          <t>SOURCE-101; SOURCE-040; SOURCE-046; SOURCE-050; SOURCE-051; SOURCE-054; SOURCE-071</t>
        </is>
      </c>
      <c r="U6" s="5" t="inlineStr">
        <is>
          <t>Medium</t>
        </is>
      </c>
    </row>
    <row r="7" ht="169" customHeight="1">
      <c r="A7" s="15" t="inlineStr">
        <is>
          <t>PERSON-006</t>
        </is>
      </c>
      <c r="B7" s="5" t="inlineStr">
        <is>
          <t>Kiran Rao</t>
        </is>
      </c>
      <c r="C7" s="5" t="inlineStr">
        <is>
          <t>Director; writer; producer</t>
        </is>
      </c>
      <c r="D7" s="17" t="n">
        <v>1973</v>
      </c>
      <c r="E7" s="18" t="n"/>
      <c r="F7" s="5" t="inlineStr">
        <is>
          <t>2001–present</t>
        </is>
      </c>
      <c r="G7" s="5" t="inlineStr">
        <is>
          <t>Hindi</t>
        </is>
      </c>
      <c r="H7" s="5" t="inlineStr">
        <is>
          <t>Born in Bangalore and raised in Calcutta; studied economics at Sophia College and mass communication at Jamia Millia Islamia; assistant director on Lagaan, Monsoon Wedding and Swades.</t>
        </is>
      </c>
      <c r="I7" s="5" t="inlineStr">
        <is>
          <t>Directorial debut Dhobi Ghat (2011); earlier associate producer of Jaane Tu... Ya Jaane Na (2008).</t>
        </is>
      </c>
      <c r="J7" s="5" t="inlineStr">
        <is>
          <t>Jaane Tu... Ya Jaane Na (2008, associate producer); Peepli Live (2010); Dhobi Ghat (2011); Delhi Belly (2011); Talaash (2012); Dangal (2016); Secret Superstar (2017); Laal Singh Chaddha (2022); Laapataa Ladies (2024)</t>
        </is>
      </c>
      <c r="K7" s="19" t="inlineStr">
        <is>
          <t>Loneliness and class in the city; women's lives and small-town India</t>
        </is>
      </c>
      <c r="L7" s="19" t="inlineStr">
        <is>
          <t>Intimate, observational filmmaking as director; producer of mainstream and independent films at Aamir Khan Productions.</t>
        </is>
      </c>
      <c r="M7" s="5" t="inlineStr">
        <is>
          <t>Laapataa Ladies selected as India's entry for the 97th Academy Awards; Dhobi Ghat longlisted for a BAFTA</t>
        </is>
      </c>
      <c r="N7" s="19" t="inlineStr">
        <is>
          <t>Chairperson of the Mumbai Film Festival (MAMI) from 2015 and co-founder of the Paani Foundation.</t>
        </is>
      </c>
      <c r="O7" s="19" t="inlineStr">
        <is>
          <t>Former wife (married December 2005, divorced July 2021); directed him in Dhobi Ghat and co-produced five more of his films.</t>
        </is>
      </c>
      <c r="P7" s="17" t="n">
        <v>5</v>
      </c>
      <c r="Q7" s="5" t="inlineStr">
        <is>
          <t>FILM-042; FILM-043; FILM-049; FILM-050; FILM-053</t>
        </is>
      </c>
      <c r="R7" s="5" t="inlineStr">
        <is>
          <t>Dhobi Ghat (2011)</t>
        </is>
      </c>
      <c r="S7" s="5" t="inlineStr">
        <is>
          <t>Kiran Rao was born in Bangalore in 1973 and grew up in Calcutta. She studied economics at Sophia College and mass communication at Jamia Millia Islamia's AJK Mass Communication Research Centre before working as an assistant director on Lagaan, where she met Aamir Khan, and on Mira Nair's Monsoon Wedding and Ashutosh Gowariker's Swades. She also appears briefly in Dil Chahta Hai. She married Aamir Khan in December 2005; their son Azad was born in 2011, and they divorced in July 2021 while continuing to work together. At Aamir Khan Productions she was associate producer on Jaane Tu... Ya Jaane Na and producer of Peepli Live, Delhi Belly, Talaash, Dangal, Secret Superstar and Laal Singh Chaddha. Her directorial debut, Dhobi Ghat (2011), which she wrote, follows four Mumbai lives, with Aamir as Arun, a reclusive painter haunted by a former tenant's video diaries. It premiered at the Toronto festival, drew strong reviews and was longlisted for a BAFTA. Her second feature, Laapataa Ladies (2024), was India's entry for the 97th Academy Awards. She has chaired the Mumbai Film Festival since 2015 and co-founded the non-profit Paani Foundation in 2016.</t>
        </is>
      </c>
      <c r="T7" s="5" t="inlineStr">
        <is>
          <t>SOURCE-113; SOURCE-048; SOURCE-049; SOURCE-050; SOURCE-055; SOURCE-056; SOURCE-059</t>
        </is>
      </c>
      <c r="U7" s="5" t="inlineStr">
        <is>
          <t>Medium</t>
        </is>
      </c>
    </row>
    <row r="8" ht="169" customHeight="1">
      <c r="A8" s="15" t="inlineStr">
        <is>
          <t>PERSON-007</t>
        </is>
      </c>
      <c r="B8" s="5" t="inlineStr">
        <is>
          <t>Shankar–Ehsaan–Loy</t>
        </is>
      </c>
      <c r="C8" s="5" t="inlineStr">
        <is>
          <t>Music directors (songs and background score)</t>
        </is>
      </c>
      <c r="D8" s="18" t="n"/>
      <c r="E8" s="18" t="n"/>
      <c r="F8" s="5" t="inlineStr">
        <is>
          <t>1997–present</t>
        </is>
      </c>
      <c r="G8" s="5" t="inlineStr">
        <is>
          <t>Hindi</t>
        </is>
      </c>
      <c r="H8" s="5" t="inlineStr">
        <is>
          <t>Shankar Mahadevan (vocalist trained in Indian classical music), Ehsaan Noorani (guitarist, Musicians Institute, Los Angeles) and Loy Mendonsa (keyboardist) came together through advertising jingles and Mumbai's non-film music scene.</t>
        </is>
      </c>
      <c r="I8" s="5" t="inlineStr">
        <is>
          <t>First film Dus (begun 1997, left incomplete); mainstream entry with Mission Kashmir (2000); breakthrough with Dil Chahta Hai (2001).</t>
        </is>
      </c>
      <c r="J8" s="5" t="inlineStr">
        <is>
          <t>Mission Kashmir (2000); Dil Chahta Hai (2001); Kal Ho Naa Ho (2003); Bunty Aur Babli (2005); Don (2006); Taare Zameen Par (2007); Rock On!! (2008); Luck by Chance (2009); Zindagi Na Milegi Dobara (2011); Bhaag Milkha Bhaag (2013); Dil Dhadakne Do (2015); Sitaare Zameen Par (2025)</t>
        </is>
      </c>
      <c r="K8" s="19" t="inlineStr">
        <is>
          <t>Contemporary urban soundtracks; emotionally direct songs for coming-of-age and family stories</t>
        </is>
      </c>
      <c r="L8" s="19" t="inlineStr">
        <is>
          <t>Fusion of Carnatic and Hindustani vocals with Western rock, jazz and electronic arrangement; Gulzar called it 'a sensible synthesis of popularity and class'.</t>
        </is>
      </c>
      <c r="M8" s="5" t="inlineStr">
        <is>
          <t>National Film Award for Best Music Direction (Kal Ho Naa Ho); three Filmfare Best Music Director awards; Padma Shri to Shankar Mahadevan (2019)</t>
        </is>
      </c>
      <c r="N8" s="19" t="inlineStr">
        <is>
          <t>Defined the sound of the post-2000 urban Hindi film.</t>
        </is>
      </c>
      <c r="O8" s="19" t="inlineStr">
        <is>
          <t>Scored five films featuring Aamir Khan, from Dil Chahta Hai to Sitaare Zameen Par.</t>
        </is>
      </c>
      <c r="P8" s="17" t="n">
        <v>5</v>
      </c>
      <c r="Q8" s="5" t="inlineStr">
        <is>
          <t>FILM-034; FILM-038; FILM-040; FILM-048; FILM-055</t>
        </is>
      </c>
      <c r="R8" s="5" t="inlineStr">
        <is>
          <t>Dil Chahta Hai (2001)</t>
        </is>
      </c>
      <c r="S8" s="5" t="inlineStr">
        <is>
          <t>Shankar Mahadevan, Ehsaan Noorani and Loy Mendonsa came from Mumbai's rock, blues, jazz and pop scene. Ehsaan and Loy began working together around 1989 composing advertising jingles, and Shankar joined them through composer Ranjit Barot. Their first film, Mukul Anand's Dus, was left incomplete after the director's death; Mission Kashmir (2000) brought them into the mainstream. Their breakthrough was Farhan Akhtar's Dil Chahta Hai (2001), with Aamir Khan, whose songs won them Filmfare's R. D. Burman Award for New Music Talent and became part of the film's cult status. The trio fuse Shankar's Carnatic and Hindustani vocals with Ehsaan's rock guitar and Loy's electronic arrangement, a mix Gulzar called 'a sensible synthesis of popularity and class'. They won the National Film Award for Kal Ho Naa Ho and Filmfare awards for Bunty Aur Babli and 2 States. With Aamir Khan they also scored Taare Zameen Par (2007), whose song 'Maa', sung by Shankar Mahadevan, won National Film Awards for playback and lyrics, as well as Luck by Chance, Dil Dhadakne Do and, nearly two decades after TZP, the songs of Sitaare Zameen Par (2025). Shankar Mahadevan received the Padma Shri in 2019.</t>
        </is>
      </c>
      <c r="T8" s="5" t="inlineStr">
        <is>
          <t>SOURCE-102; SOURCE-040; SOURCE-044; SOURCE-046; SOURCE-054; SOURCE-061; SOURCE-070; SOURCE-072</t>
        </is>
      </c>
      <c r="U8" s="5" t="inlineStr">
        <is>
          <t>Medium</t>
        </is>
      </c>
    </row>
    <row r="9" ht="139" customHeight="1">
      <c r="A9" s="15" t="inlineStr">
        <is>
          <t>PERSON-008</t>
        </is>
      </c>
      <c r="B9" s="5" t="inlineStr">
        <is>
          <t>Aditya Chopra</t>
        </is>
      </c>
      <c r="C9" s="5" t="inlineStr">
        <is>
          <t>Producer; Writer (Yash Raj Films)</t>
        </is>
      </c>
      <c r="D9" s="17" t="n">
        <v>1971</v>
      </c>
      <c r="E9" s="18" t="n"/>
      <c r="F9" s="5" t="inlineStr">
        <is>
          <t>1988–present</t>
        </is>
      </c>
      <c r="G9" s="5" t="inlineStr">
        <is>
          <t>Hindi cinema</t>
        </is>
      </c>
      <c r="H9" s="5" t="inlineStr">
        <is>
          <t>Chairman of Yash Raj Films, elder son of Yash and Pamela Chopra, who began as an assistant director to his father at eighteen and is described as the highest-grossing Indian film producer.</t>
        </is>
      </c>
      <c r="I9" s="5" t="inlineStr">
        <is>
          <t>Screenplays for Parampara (1993) and Aaina; directorial debut Dilwale Dulhania Le Jayenge (1995).</t>
        </is>
      </c>
      <c r="J9" s="5" t="inlineStr">
        <is>
          <t>With Khan: Parampara (1993, writer), Fanaa (2006), Dhoom 3 (2013, also writer), Thugs of Hindostan (2018). Wider work: Dilwale Dulhania Le Jayenge, Mohabbatein, Rab Ne Bana Di Jodi; the YRF Spy Universe.</t>
        </is>
      </c>
      <c r="K9" s="19" t="inlineStr">
        <is>
          <t>Romantic melodrama; later large-scale action franchises.</t>
        </is>
      </c>
      <c r="L9" s="19" t="n"/>
      <c r="M9" s="5" t="inlineStr">
        <is>
          <t>National Film Awards in 1995, 2004, 2007 and 2015.</t>
        </is>
      </c>
      <c r="N9" s="19" t="inlineStr">
        <is>
          <t>Widely regarded as the most influential executive in Indian entertainment.</t>
        </is>
      </c>
      <c r="O9" s="19" t="inlineStr">
        <is>
          <t>Four films across 25 years. He wrote Parampara, an early Khan flop directed by Yash Chopra; then, as head of YRF, produced Fanaa, a major success with Khan as a Kashmiri militant, and Dhoom 3, which he also co-wrote and which became an all-time blockbuster with Khan in a double role. Thugs of Hindostan, YRF's most expensive film, opened to a record and then failed.</t>
        </is>
      </c>
      <c r="P9" s="17" t="n">
        <v>4</v>
      </c>
      <c r="Q9" s="5" t="inlineStr">
        <is>
          <t>FILM-018; FILM-037; FILM-046; FILM-051</t>
        </is>
      </c>
      <c r="R9" s="5" t="inlineStr">
        <is>
          <t>Dhoom 3 (2013)</t>
        </is>
      </c>
      <c r="S9" s="5" t="inlineStr">
        <is>
          <t>Aditya Chopra wrote his first screenplays for his father's Parampara (1993) — in which Aamir Khan has a co-lead — and his mother's production Aaina, then directed Dilwale Dulhania Le Jayenge (1995) and took over Yash Raj Films, which he has made the largest Hindi studio. His Aamir Khan films came under YRF: Kunal Kohli's Fanaa (2006), with Khan as a charming tour guide who is secretly a militant, was a major commercial success; Dhoom 3 (2013), which Chopra co-wrote, cast Khan as twin circus performers turned thieves and was one of the highest-grossing Hindi films ever made; and Thugs of Hindostan (2018), a period adventure with Khan and Amitabh Bachchan, opened to a record but was a commercial failure. He is notably publicity-shy despite his influence.</t>
        </is>
      </c>
      <c r="T9" s="5" t="inlineStr">
        <is>
          <t>SOURCE-122; SOURCE-024; SOURCE-043; SOURCE-052; SOURCE-057</t>
        </is>
      </c>
      <c r="U9" s="5" t="inlineStr">
        <is>
          <t>Medium</t>
        </is>
      </c>
    </row>
    <row r="10" ht="154" customHeight="1">
      <c r="A10" s="15" t="inlineStr">
        <is>
          <t>PERSON-009</t>
        </is>
      </c>
      <c r="B10" s="5" t="inlineStr">
        <is>
          <t>Anu Malik</t>
        </is>
      </c>
      <c r="C10" s="5" t="inlineStr">
        <is>
          <t>Music director (song composer)</t>
        </is>
      </c>
      <c r="D10" s="17" t="n">
        <v>1960</v>
      </c>
      <c r="E10" s="18" t="n"/>
      <c r="F10" s="5" t="inlineStr">
        <is>
          <t>1974–present</t>
        </is>
      </c>
      <c r="G10" s="5" t="inlineStr">
        <is>
          <t>Hindi</t>
        </is>
      </c>
      <c r="H10" s="5" t="inlineStr">
        <is>
          <t>Son of composer Sardar Malik; brother of composer Daboo Malik and uncle of Amaal Mallik and Armaan Malik.</t>
        </is>
      </c>
      <c r="I10" s="5" t="inlineStr">
        <is>
          <t>A song for Hunterwali 77 (1975); first full soundtrack Poonam (1981); breakthrough with Mard (1985) and especially Baazigar (1993).</t>
        </is>
      </c>
      <c r="J10" s="5" t="inlineStr">
        <is>
          <t>Mard (1985); Baazigar (1993); Main Khiladi Tu Anari (1994); Baazi (1995); Akele Hum Akele Tum (1995); Ishq (1997); Border (1997); Mela (2000); Refugee (2000); Main Hoon Na (2004); Umrao Jaan (2006)</t>
        </is>
      </c>
      <c r="K10" s="19" t="inlineStr">
        <is>
          <t>Popular romantic and dance songs for mainstream entertainers</t>
        </is>
      </c>
      <c r="L10" s="19" t="inlineStr">
        <is>
          <t>Melodious, classically based compositions with prominent tabla; repeatedly accused of borrowing melodies.</t>
        </is>
      </c>
      <c r="M10" s="5" t="inlineStr">
        <is>
          <t>National Film Award for Best Music Direction (Refugee, 2000); Filmfare Best Music Director (Baazigar; Main Hoon Na); 14 Filmfare nominations</t>
        </is>
      </c>
      <c r="N10" s="19" t="inlineStr">
        <is>
          <t>One of the most commercially successful Hindi composers of the 1990s and 2000s and a long-running Indian Idol judge.</t>
        </is>
      </c>
      <c r="O10" s="19" t="inlineStr">
        <is>
          <t>Scored four Aamir Khan films between 1995 and 2000.</t>
        </is>
      </c>
      <c r="P10" s="17" t="n">
        <v>4</v>
      </c>
      <c r="Q10" s="5" t="inlineStr">
        <is>
          <t>FILM-022; FILM-025; FILM-027; FILM-032</t>
        </is>
      </c>
      <c r="R10" s="5" t="inlineStr">
        <is>
          <t>Akele Hum Akele Tum (1995)</t>
        </is>
      </c>
      <c r="S10" s="5" t="inlineStr">
        <is>
          <t>Anu Malik, born in 1960, is the son of composer Sardar Malik. He composed his first film song as a teenager for Hunterwali 77 (1975), scored his first full soundtrack with Poonam (1981) and broke through with Mard (1985). Baazigar (1993) established him among the top music directors and won him a Filmfare award. His output combined melodious, classically inflected tunes with dance numbers, alongside repeated accusations of plagiarism. His four films with Aamir Khan came at the height of his popularity. He composed the songs for Ashutosh Gowariker's Baazi (1995) and Mansoor Khan's musical Akele Hum Akele Tum (1995), in which Aamir played an aspiring playback singer; the soundtrack sold about 2.5 million units and 'Raja Ko Rani Se' earned several Filmfare nominations. His songs for Indra Kumar's Ishq (1997) sold about 3 million units, and he was one of three composers on Dharmesh Darshan's Mela (2000). Malik later won the National Film Award for Refugee (2000) and a second Filmfare award for Main Hoon Na (2004), and judged Indian Idol from 2004 to 2018.</t>
        </is>
      </c>
      <c r="T10" s="5" t="inlineStr">
        <is>
          <t>SOURCE-092; SOURCE-028; SOURCE-031; SOURCE-033; SOURCE-038</t>
        </is>
      </c>
      <c r="U10" s="5" t="inlineStr">
        <is>
          <t>Medium</t>
        </is>
      </c>
    </row>
    <row r="11" ht="184" customHeight="1">
      <c r="A11" s="15" t="inlineStr">
        <is>
          <t>PERSON-010</t>
        </is>
      </c>
      <c r="B11" s="5" t="inlineStr">
        <is>
          <t>Farhan Akhtar</t>
        </is>
      </c>
      <c r="C11" s="5" t="inlineStr">
        <is>
          <t>Director; writer; producer; actor</t>
        </is>
      </c>
      <c r="D11" s="17" t="n">
        <v>1974</v>
      </c>
      <c r="E11" s="18" t="n"/>
      <c r="F11" s="5" t="inlineStr">
        <is>
          <t>2001–present</t>
        </is>
      </c>
      <c r="G11" s="5" t="inlineStr">
        <is>
          <t>Hindi</t>
        </is>
      </c>
      <c r="H11" s="5" t="inlineStr">
        <is>
          <t>Son of screenwriters Javed Akhtar and Honey Irani; apprenticed on Lamhe (1991) at 17, assisted on Himalay Putra (1997) and worked in advertising.</t>
        </is>
      </c>
      <c r="I11" s="5" t="inlineStr">
        <is>
          <t>Dil Chahta Hai (2001), his directorial debut and Excel Entertainment's first film.</t>
        </is>
      </c>
      <c r="J11" s="5" t="inlineStr">
        <is>
          <t>Dil Chahta Hai (2001); Lakshya (2004); Don (2006); Rock On!! (2008); Luck by Chance (2009); Don 2 (2011); Zindagi Na Milegi Dobara (2011); Talaash (2012); Bhaag Milkha Bhaag (2013); Dil Dhadakne Do (2015)</t>
        </is>
      </c>
      <c r="K11" s="19" t="inlineStr">
        <is>
          <t>Urban friendships, self-discovery and contemporary relationships</t>
        </is>
      </c>
      <c r="L11" s="19" t="inlineStr">
        <is>
          <t>Realistic, conversational urban storytelling credited with starting a new wave in Hindi cinema.</t>
        </is>
      </c>
      <c r="M11" s="5" t="inlineStr">
        <is>
          <t>National Film Awards for Best Hindi Film (Dil Chahta Hai; Rock On!!); Filmfare Best Actor (Bhaag Milkha Bhaag); Filmfare Best Screenplay (Dil Chahta Hai)</t>
        </is>
      </c>
      <c r="N11" s="19" t="inlineStr">
        <is>
          <t>Co-founder of Excel Entertainment and a key figure in the modernisation of Hindi cinema after 2000.</t>
        </is>
      </c>
      <c r="O11" s="19" t="inlineStr">
        <is>
          <t>Directed Dil Chahta Hai and co-produced three further films featuring Aamir Khan, writing the dialogue for Talaash and Dil Dhadakne Do.</t>
        </is>
      </c>
      <c r="P11" s="17" t="n">
        <v>4</v>
      </c>
      <c r="Q11" s="5" t="inlineStr">
        <is>
          <t>FILM-034; FILM-040; FILM-044; FILM-048</t>
        </is>
      </c>
      <c r="R11" s="5" t="inlineStr">
        <is>
          <t>Dil Chahta Hai (2001)</t>
        </is>
      </c>
      <c r="S11" s="5" t="inlineStr">
        <is>
          <t>Farhan Akhtar, born in 1974, is the son of Javed Akhtar and Honey Irani and the brother of director Zoya Akhtar. He apprenticed on Yash Chopra's Lamhe at 17, assisted on Himalay Putra and spent about three years in advertising before founding Excel Entertainment with Ritesh Sidhwani in 1999. His directorial debut, Dil Chahta Hai (2001), which he also wrote, followed three affluent Mumbai friends; Aamir Khan played Akash, the flippant joker who falls for an engaged woman. It was acclaimed for its realistic depiction of urban youth, won the National Film Award for Best Hindi Film and seven Filmfare awards, including Best Screenplay for Akhtar, and is credited with launching a new wave of urban Hindi cinema. Akhtar went on to direct Lakshya and the Don films, and to act, beginning with Rock On!! (2008) and winning the Filmfare Best Actor award for Bhaag Milkha Bhaag. As producer he backed three more projects with Aamir: Zoya Akhtar's Luck by Chance (2009), in which Aamir appears as himself; Reema Kagti's Talaash (2012), co-produced with Aamir Khan Productions and with dialogue by Akhtar; and Dil Dhadakne Do (2015), where Aamir voices the narrating dog and Akhtar wrote the dialogue and appears on screen.</t>
        </is>
      </c>
      <c r="T11" s="5" t="inlineStr">
        <is>
          <t>SOURCE-100; SOURCE-040; SOURCE-046; SOURCE-050; SOURCE-054; SOURCE-070</t>
        </is>
      </c>
      <c r="U11" s="5" t="inlineStr">
        <is>
          <t>Medium</t>
        </is>
      </c>
    </row>
    <row r="12" ht="184" customHeight="1">
      <c r="A12" s="15" t="inlineStr">
        <is>
          <t>PERSON-011</t>
        </is>
      </c>
      <c r="B12" s="5" t="inlineStr">
        <is>
          <t>Jatin–Lalit</t>
        </is>
      </c>
      <c r="C12" s="5" t="inlineStr">
        <is>
          <t>Music directors (song composers)</t>
        </is>
      </c>
      <c r="D12" s="18" t="n"/>
      <c r="E12" s="18" t="n"/>
      <c r="F12" s="5" t="inlineStr">
        <is>
          <t>1991–2006 (as a duo)</t>
        </is>
      </c>
      <c r="G12" s="5" t="inlineStr">
        <is>
          <t>Hindi</t>
        </is>
      </c>
      <c r="H12" s="5" t="inlineStr">
        <is>
          <t>Brothers Jatin and Lalit Pandit; nephews of classical vocalist Pandit Jasraj; their sisters include actresses Sulakshana and Vijayta Pandit.</t>
        </is>
      </c>
      <c r="I12" s="5" t="inlineStr">
        <is>
          <t>Yaara Dildara (1991); breakthrough with 'Pehla Nasha' from Jo Jeeta Wohi Sikandar (1992).</t>
        </is>
      </c>
      <c r="J12" s="5" t="inlineStr">
        <is>
          <t>Jo Jeeta Wohi Sikandar (1992); Khiladi (1992); Dilwale Dulhania Le Jayenge (1995); Kuch Kuch Hota Hai (1998); Ghulam (1998); Sarfarosh (1999); Kabhi Khushi Kabhie Gham (2001); Fanaa (2006)</t>
        </is>
      </c>
      <c r="K12" s="19" t="inlineStr">
        <is>
          <t>Melodious romantic songs for the 1990s–2000s love story</t>
        </is>
      </c>
      <c r="L12" s="19" t="inlineStr">
        <is>
          <t>Melody-first romantic scores influenced by R. D. Burman's approach.</t>
        </is>
      </c>
      <c r="M12" s="5" t="inlineStr">
        <is>
          <t>Twelve Filmfare nominations without a win, a record</t>
        </is>
      </c>
      <c r="N12" s="19" t="inlineStr">
        <is>
          <t>Composers of several of the most popular Hindi romantic soundtracks of the 1990s; split in 2006.</t>
        </is>
      </c>
      <c r="O12" s="19" t="inlineStr">
        <is>
          <t>Scored four Aamir Khan films, including 'Aati Kya Khandala', which Aamir sang in Ghulam.</t>
        </is>
      </c>
      <c r="P12" s="17" t="n">
        <v>4</v>
      </c>
      <c r="Q12" s="5" t="inlineStr">
        <is>
          <t>FILM-015; FILM-028; FILM-029; FILM-037</t>
        </is>
      </c>
      <c r="R12" s="5" t="inlineStr">
        <is>
          <t>Jo Jeeta Wohi Sikandar (1992)</t>
        </is>
      </c>
      <c r="S12" s="5" t="inlineStr">
        <is>
          <t>Jatin and Lalit Pandit, nephews of the classical vocalist Pandit Jasraj and brothers of actresses Sulakshana and Vijayta Pandit, began composing together with Yaara Dildara (1991). Their breakthrough was Mansoor Khan's Jo Jeeta Wohi Sikandar (1992), whose 'Pehla Nasha' brought their first Filmfare nomination and became one of the defining romantic songs of Aamir Khan's early career. In the following decade they scored landmark soundtracks including Dilwale Dulhania Le Jayenge, Kuch Kuch Hota Hai and Kabhi Khushi Kabhie Gham, with melodious compositions influenced by R. D. Burman. Their further collaborations with Aamir cover his changing roles: Ghulam (1998), including the playful 'Aati Kya Khandala', sung by Aamir himself and nominated for Filmfare Best Male Playback; Sarfarosh (1999), with 'Is Deewane Ladke Ko' and 'Jo Haal Dil Ka'; and Fanaa (2006), whose songs and Filmfare Best Music Director nomination came in the duo's final year. Despite their popularity they hold the record for most Filmfare nominations without a win. The brothers split in 2006 for personal reasons and reunited for a concert in February 2020. Their brother-in-law Aadesh Shrivastava composed the background score of Baazi.</t>
        </is>
      </c>
      <c r="T12" s="5" t="inlineStr">
        <is>
          <t>SOURCE-088; SOURCE-021; SOURCE-034; SOURCE-036; SOURCE-043; SOURCE-028</t>
        </is>
      </c>
      <c r="U12" s="5" t="inlineStr">
        <is>
          <t>Medium</t>
        </is>
      </c>
    </row>
    <row r="13" ht="184" customHeight="1">
      <c r="A13" s="15" t="inlineStr">
        <is>
          <t>PERSON-012</t>
        </is>
      </c>
      <c r="B13" s="5" t="inlineStr">
        <is>
          <t>Nadeem–Shravan</t>
        </is>
      </c>
      <c r="C13" s="5" t="inlineStr">
        <is>
          <t>Music directors (song composers)</t>
        </is>
      </c>
      <c r="D13" s="18" t="n"/>
      <c r="E13" s="18" t="n"/>
      <c r="F13" s="5" t="inlineStr">
        <is>
          <t>1977–2005; 2009; 2016–present</t>
        </is>
      </c>
      <c r="G13" s="5" t="inlineStr">
        <is>
          <t>Hindi</t>
        </is>
      </c>
      <c r="H13" s="5" t="inlineStr">
        <is>
          <t>Nadeem Akhtar Saifi (born 1954) and Shravan Kumar Rathod (1954–2021) met in 1973; their first film was the Bhojpuri Dangal (1977).</t>
        </is>
      </c>
      <c r="I13" s="5" t="inlineStr">
        <is>
          <t>First Hindi film Maine Jeena Seekh Liya (1981); breakthrough with Aashiqui (1990).</t>
        </is>
      </c>
      <c r="J13" s="5" t="inlineStr">
        <is>
          <t>Aashiqui (1990); Saajan (1991); Dil Hai Ke Manta Nahin (1991); Deewana (1992); Hum Hain Rahi Pyar Ke (1993); Raja Hindustani (1996); Pardes (1997); Dhadkan (2000)</t>
        </is>
      </c>
      <c r="K13" s="19" t="inlineStr">
        <is>
          <t>Romantic ballads and filmi ghazals for the 1990s love story</t>
        </is>
      </c>
      <c r="L13" s="19" t="inlineStr">
        <is>
          <t>Strong Hindustani classical influence, with bansuri, sitar and shehnai prominent in filmi-ghazal melodies.</t>
        </is>
      </c>
      <c r="M13" s="5" t="inlineStr">
        <is>
          <t>Four Filmfare Best Music Director awards (1991, 1992, 1993, 1997); Screen Awards for Raja Hindustani and Pardes</t>
        </is>
      </c>
      <c r="N13" s="19" t="inlineStr">
        <is>
          <t>Among the best-selling Hindi film composers; Aashiqui sold 20 million units and Raja Hindustani 11 million, helping establish T-Series.</t>
        </is>
      </c>
      <c r="O13" s="19" t="inlineStr">
        <is>
          <t>Scored four Aamir Khan films, including his biggest 1990s romantic hit, Raja Hindustani.</t>
        </is>
      </c>
      <c r="P13" s="17" t="n">
        <v>4</v>
      </c>
      <c r="Q13" s="5" t="inlineStr">
        <is>
          <t>FILM-013; FILM-017; FILM-019; FILM-026</t>
        </is>
      </c>
      <c r="R13" s="5" t="inlineStr">
        <is>
          <t>Raja Hindustani (1996)</t>
        </is>
      </c>
      <c r="S13" s="5" t="inlineStr">
        <is>
          <t>Nadeem Akhtar Saifi and Shravan Kumar Rathod met in 1973 and began composing together with the Bhojpuri film Dangal (1977) and the Hindi Maine Jeena Seekh Liya (1981). Their breakthrough came with Aashiqui (1990), given to them by T-Series founder Gulshan Kumar; its soundtrack sold 20 million units, reported as the best-selling Bollywood album of all time. Through the 1990s they dominated romantic film music with Saajan, Deewana, Pardes and Dhadkan, blending Hindustani classical colours such as bansuri, sitar and shehnai with filmi-ghazal melody, and won four Filmfare Best Music Director awards. Their collaborations with Aamir Khan began with Dil Hai Ke Manta Nahin (1991), whose title song won Anuradha Paudwal a Filmfare award, and continued with Damini (1993), in which Aamir makes a cameo, and Hum Hain Rahi Pyar Ke (1993). Their peak with him was Raja Hindustani (1996): its songs, including 'Pardesi Pardesi', won the Filmfare and Screen music awards, and the album sold 11 million copies. After Gulshan Kumar's murder in 1997, police accused Nadeem of involvement; he was exonerated by four courts, including the House of Lords, and lived abroad, which disrupted the partnership. Shravan Rathod died in 2021.</t>
        </is>
      </c>
      <c r="T13" s="5" t="inlineStr">
        <is>
          <t>SOURCE-086; SOURCE-018; SOURCE-023; SOURCE-025; SOURCE-032</t>
        </is>
      </c>
      <c r="U13" s="5" t="inlineStr">
        <is>
          <t>Medium</t>
        </is>
      </c>
    </row>
    <row r="14" ht="184" customHeight="1">
      <c r="A14" s="15" t="inlineStr">
        <is>
          <t>PERSON-013</t>
        </is>
      </c>
      <c r="B14" s="5" t="inlineStr">
        <is>
          <t>Nasir Hussain</t>
        </is>
      </c>
      <c r="C14" s="5" t="inlineStr">
        <is>
          <t>Director; producer; screenwriter (Nasir Hussain Films)</t>
        </is>
      </c>
      <c r="D14" s="17" t="n">
        <v>1926</v>
      </c>
      <c r="E14" s="17" t="n">
        <v>2002</v>
      </c>
      <c r="F14" s="5" t="inlineStr">
        <is>
          <t>1948–1996</t>
        </is>
      </c>
      <c r="G14" s="5" t="inlineStr">
        <is>
          <t>Hindi</t>
        </is>
      </c>
      <c r="H14" s="5" t="inlineStr">
        <is>
          <t>Born in Bhopal State to a schoolteacher from a Pashtun zamindar family; joined Filmistan as a writer in 1948.</t>
        </is>
      </c>
      <c r="I14" s="5" t="inlineStr">
        <is>
          <t>Writer on Anarkali (1953), Munimji (1955) and Paying Guest (1957); directorial debut Tumsa Nahin Dekha (1957), which made Shammi Kapoor a star.</t>
        </is>
      </c>
      <c r="J14" s="5" t="inlineStr">
        <is>
          <t>Tumsa Nahin Dekha (1957); Dil Deke Dekho (1959); Jab Pyar Kisi Se Hota Hai (1961); Teesri Manzil (1966); Caravan (1971); Yaadon Ki Baaraat (1973); Hum Kisise Kum Naheen (1977); Qayamat Se Qayamat Tak (1988); Jo Jeeta Wohi Sikandar (1992)</t>
        </is>
      </c>
      <c r="K14" s="19" t="inlineStr">
        <is>
          <t>Musical romances; youthful love against family obstacles; separated-family masala plots</t>
        </is>
      </c>
      <c r="L14" s="19" t="inlineStr">
        <is>
          <t>Song-driven popular entertainment; Yaadon Ki Baaraat is identified as the first masala film, and Qayamat Se Qayamat Tak set the template for 1990s musical romance.</t>
        </is>
      </c>
      <c r="M14" s="5" t="inlineStr">
        <is>
          <t>Filmfare Best Film and Best Screenplay (Qayamat Se Qayamat Tak); Filmfare Best Film (Jo Jeeta Wohi Sikandar); Filmfare Special Award (1996)</t>
        </is>
      </c>
      <c r="N14" s="19" t="inlineStr">
        <is>
          <t>Described as a major trendsetter in Hindi cinema; Javed Akhtar rated him the most underrated producer-director of his generation.</t>
        </is>
      </c>
      <c r="O14" s="19" t="inlineStr">
        <is>
          <t>Uncle. Cast him as a child in Yaadon Ki Baaraat and produced and wrote the films that made him a star.</t>
        </is>
      </c>
      <c r="P14" s="17" t="n">
        <v>4</v>
      </c>
      <c r="Q14" s="5" t="inlineStr">
        <is>
          <t>FILM-001; FILM-004; FILM-015; FILM-025</t>
        </is>
      </c>
      <c r="R14" s="5" t="inlineStr">
        <is>
          <t>Qayamat Se Qayamat Tak (1988)</t>
        </is>
      </c>
      <c r="S14" s="5" t="inlineStr">
        <is>
          <t>Nasir Hussain was born in 1926 in Bhopal State and joined Filmistan as a writer in 1948, writing hits such as Anarkali, Munimji and Paying Guest. His directorial debut, Tumsa Nahin Dekha (1957), made Shammi Kapoor a star, and a run of musical romances followed, including Dil Deke Dekho and Jab Pyar Kisi Se Hota Hai. Under his own banner he made Caravan (1971) and Yaadon Ki Baaraat (1973), a lost-and-found family saga identified as the first quintessential masala film, and Hum Kisise Kum Naheen (1977). His later films as director failed, and his son Mansoor Khan took over the company. Together they reinvented the romantic musical with Qayamat Se Qayamat Tak (1988), which Nasir Hussain wrote and produced; it won the Filmfare awards for Best Film and Best Screenplay and set the template for Hindi romance in the 1990s. Jo Jeeta Wohi Sikandar (1992) brought another Filmfare Best Film award. For Aamir Khan, his nephew, Nasir Hussain was a formative figure: the eight-year-old appeared as young Ratan in the title song of Yaadon Ki Baaraat, and fifteen years later he launched Aamir as a romantic lead. He also wrote dialogue for Akele Hum Akele Tum (1995). He died in Mumbai on 13 March 2002.</t>
        </is>
      </c>
      <c r="T14" s="5" t="inlineStr">
        <is>
          <t>SOURCE-075; SOURCE-004; SOURCE-007; SOURCE-021; SOURCE-031</t>
        </is>
      </c>
      <c r="U14" s="5" t="inlineStr">
        <is>
          <t>Medium</t>
        </is>
      </c>
    </row>
    <row r="15" ht="109" customHeight="1">
      <c r="A15" s="15" t="inlineStr">
        <is>
          <t>PERSON-014</t>
        </is>
      </c>
      <c r="B15" s="5" t="inlineStr">
        <is>
          <t>Neeraj Vora</t>
        </is>
      </c>
      <c r="C15" s="5" t="inlineStr">
        <is>
          <t>Writer; song composer; director; actor</t>
        </is>
      </c>
      <c r="D15" s="17" t="n">
        <v>1963</v>
      </c>
      <c r="E15" s="17" t="n">
        <v>2017</v>
      </c>
      <c r="F15" s="5" t="inlineStr">
        <is>
          <t>1984–2016</t>
        </is>
      </c>
      <c r="G15" s="5" t="inlineStr">
        <is>
          <t>Hindi cinema</t>
        </is>
      </c>
      <c r="H15" s="5" t="inlineStr">
        <is>
          <t>A Gujarati writer, director, actor and composer, born in Bhuj and raised in Mumbai, the son of the classical musician Vinayak Rai Vora; he came up through Gujarati theatre and television.</t>
        </is>
      </c>
      <c r="I15" s="5" t="inlineStr">
        <is>
          <t>Worked on Ketan Mehta's Holi (1984), Aamir Khan's first adult screen role; made his mark as a writer on Rangeela (1995).</t>
        </is>
      </c>
      <c r="J15" s="5" t="inlineStr">
        <is>
          <t>With Khan: Pehla Nasha (1993), Baazi (1995), Rangeela (1995), Mela (2000); he also acted opposite Khan in Mann (1999). Wider work: Hera Pheri, Phir Hera Pheri (director), Garam Masala, Bhool Bhulaiyaa.</t>
        </is>
      </c>
      <c r="K15" s="19" t="inlineStr">
        <is>
          <t>Comic dialogue and screenplay.</t>
        </is>
      </c>
      <c r="L15" s="19" t="n"/>
      <c r="M15" s="5" t="n"/>
      <c r="N15" s="19" t="inlineStr">
        <is>
          <t>One of the principal comedy writers of 2000s Hindi cinema.</t>
        </is>
      </c>
      <c r="O15" s="19" t="inlineStr">
        <is>
          <t>One of Khan's more regular writers of the 1990s: Pehla Nasha (where Khan appears as himself, and Vora also composed songs), the action film Baazi, Ram Gopal Varma's blockbuster Rangeela, in which Khan plays the Bombay street hustler Munna, and Mela. His article says Khan cast him as an actor in Mann.</t>
        </is>
      </c>
      <c r="P15" s="17" t="n">
        <v>4</v>
      </c>
      <c r="Q15" s="5" t="inlineStr">
        <is>
          <t>FILM-020; FILM-022; FILM-024; FILM-032</t>
        </is>
      </c>
      <c r="R15" s="5" t="inlineStr">
        <is>
          <t>Rangeela (1995)</t>
        </is>
      </c>
      <c r="S15" s="5" t="inlineStr">
        <is>
          <t>Neeraj Vora worked on Ketan Mehta's Holi (1984), the film in which the teenage Aamir Khan made his first adult screen appearance, and later wrote four Khan films. The most important is Rangeela (1995), Ram Gopal Varma's musical about a street-smart ticket seller (Khan) who loses the girl he loves (Urmila Matondkar) to a film star, a blockbuster with an A. R. Rahman score; Vora also stepped in to play a small role when an actor was absent. He also wrote Ashutosh Gowariker's Pehla Nasha and Baazi and Dharmesh Darshan's Mela, and Khan cast him as an actor in Mann (1999). Vora went on to write the Hera Pheri films and direct Phir Hera Pheri, and died on 14 December 2017 after a long coma.</t>
        </is>
      </c>
      <c r="T15" s="5" t="inlineStr">
        <is>
          <t>SOURCE-123; SOURCE-026; SOURCE-028; SOURCE-030; SOURCE-038</t>
        </is>
      </c>
      <c r="U15" s="5" t="inlineStr">
        <is>
          <t>Medium</t>
        </is>
      </c>
    </row>
    <row r="16" ht="124" customHeight="1">
      <c r="A16" s="15" t="inlineStr">
        <is>
          <t>PERSON-015</t>
        </is>
      </c>
      <c r="B16" s="5" t="inlineStr">
        <is>
          <t>Ritesh Sidhwani</t>
        </is>
      </c>
      <c r="C16" s="5" t="inlineStr">
        <is>
          <t>Producer (Excel Entertainment)</t>
        </is>
      </c>
      <c r="D16" s="17" t="n">
        <v>1973</v>
      </c>
      <c r="E16" s="18" t="n"/>
      <c r="F16" s="5" t="inlineStr">
        <is>
          <t>2001–present</t>
        </is>
      </c>
      <c r="G16" s="5" t="inlineStr">
        <is>
          <t>Hindi cinema</t>
        </is>
      </c>
      <c r="H16" s="5" t="inlineStr">
        <is>
          <t>A Mumbai-born producer from a Sindhi family who co-founded Excel Entertainment with Farhan Akhtar.</t>
        </is>
      </c>
      <c r="I16" s="5" t="inlineStr">
        <is>
          <t>Dil Chahta Hai (2001), Excel's first production, which won a National Film Award.</t>
        </is>
      </c>
      <c r="J16" s="5" t="inlineStr">
        <is>
          <t>With Khan: Dil Chahta Hai (2001), Luck by Chance (2009), Talaash (2012), Dil Dhadakne Do (2015). Wider work: Don, Fukrey, Gully Boy; the series Inside Edge, Mirzapur, Made in Heaven.</t>
        </is>
      </c>
      <c r="K16" s="19" t="inlineStr">
        <is>
          <t>Urban, writer-led films; later streaming series.</t>
        </is>
      </c>
      <c r="L16" s="19" t="n"/>
      <c r="M16" s="5" t="inlineStr">
        <is>
          <t>National Film Award for Dil Chahta Hai; BAFTA for Boong (2025).</t>
        </is>
      </c>
      <c r="N16" s="19" t="n"/>
      <c r="O16" s="19" t="inlineStr">
        <is>
          <t>Produced four films with Khan, starting with Dil Chahta Hai, the coming-of-age comedy about three friends that launched Excel. Luck by Chance has Khan as himself; Reema Kagti's thriller Talaash, with Khan as a grieving police inspector, was a hit; and Khan voices the narrator dog Pluto in Dil Dhadakne Do.</t>
        </is>
      </c>
      <c r="P16" s="17" t="n">
        <v>4</v>
      </c>
      <c r="Q16" s="5" t="inlineStr">
        <is>
          <t>FILM-034; FILM-040; FILM-044; FILM-048</t>
        </is>
      </c>
      <c r="R16" s="5" t="inlineStr">
        <is>
          <t>Dil Chahta Hai (2001)</t>
        </is>
      </c>
      <c r="S16" s="5" t="inlineStr">
        <is>
          <t>Ritesh Sidhwani and Farhan Akhtar founded Excel Entertainment with Dil Chahta Hai (2001), in which Aamir Khan, Saif Ali Khan and Akshaye Khanna play three friends in modern, affluent Bombay; it won a National Award and changed the look of the Hindi urban film. Excel went on to produce Zoya Akhtar's Luck by Chance (2009), with a Khan cameo as himself, Reema Kagti's Talaash (2012), a supernatural police thriller starring Khan, and Dil Dhadakne Do (2015), which Khan narrates in the voice of the family dog. Sidhwani later expanded Excel into streaming with Inside Edge and Mirzapur and won a BAFTA in 2025.</t>
        </is>
      </c>
      <c r="T16" s="5" t="inlineStr">
        <is>
          <t>SOURCE-124; SOURCE-040; SOURCE-046; SOURCE-050; SOURCE-054</t>
        </is>
      </c>
      <c r="U16" s="5" t="inlineStr">
        <is>
          <t>Medium</t>
        </is>
      </c>
    </row>
    <row r="17" ht="109" customHeight="1">
      <c r="A17" s="15" t="inlineStr">
        <is>
          <t>PERSON-016</t>
        </is>
      </c>
      <c r="B17" s="5" t="inlineStr">
        <is>
          <t>Robin Bhatt</t>
        </is>
      </c>
      <c r="C17" s="5" t="inlineStr">
        <is>
          <t>Screenwriter</t>
        </is>
      </c>
      <c r="D17" s="17" t="n">
        <v>1946</v>
      </c>
      <c r="E17" s="18" t="n"/>
      <c r="F17" s="5" t="inlineStr">
        <is>
          <t>1990–present</t>
        </is>
      </c>
      <c r="G17" s="5" t="inlineStr">
        <is>
          <t>Hindi</t>
        </is>
      </c>
      <c r="H17" s="5" t="inlineStr">
        <is>
          <t>Son of director Nanabhai Bhatt and Hemlata Bhatt; elder half-brother of Mahesh and Mukesh Bhatt.</t>
        </is>
      </c>
      <c r="I17" s="5" t="inlineStr">
        <is>
          <t>Aashiqui (1990).</t>
        </is>
      </c>
      <c r="J17" s="5" t="inlineStr">
        <is>
          <t>Aashiqui (1990); Dil Hai Ke Manta Nahin (1991); Hum Hain Rahi Pyar Ke (1993); Baazigar (1993); Raja Hindustani (1996); Mela (2000); Koi Mil Gaya (2003); Krrish (2006); Omkara (2006); Krrish 3 (2013)</t>
        </is>
      </c>
      <c r="K17" s="19" t="inlineStr">
        <is>
          <t>Mainstream romance, family drama and later science-fiction franchises</t>
        </is>
      </c>
      <c r="L17" s="19" t="n"/>
      <c r="M17" s="5" t="inlineStr">
        <is>
          <t>Filmfare Best Screenplay (Baazigar, 1994); nominations for Omkara, Koi Mil Gaya and Krrish; Lifetime Achievement Award, Jaipur International Film Festival (2019)</t>
        </is>
      </c>
      <c r="N17" s="19" t="inlineStr">
        <is>
          <t>A prolific writer of about 66 films whose credits span the 1990s romance boom and the Krrish franchise.</t>
        </is>
      </c>
      <c r="O17" s="19" t="inlineStr">
        <is>
          <t>Wrote four Aamir Khan films and shared the screenplay credit on Hum Hain Rahi Pyar Ke with him.</t>
        </is>
      </c>
      <c r="P17" s="17" t="n">
        <v>4</v>
      </c>
      <c r="Q17" s="5" t="inlineStr">
        <is>
          <t>FILM-013; FILM-019; FILM-026; FILM-032</t>
        </is>
      </c>
      <c r="R17" s="5" t="inlineStr">
        <is>
          <t>Raja Hindustani (1996)</t>
        </is>
      </c>
      <c r="S17" s="5" t="inlineStr">
        <is>
          <t>Robin Bhatt, born in 1946, is the son of director Nanabhai Bhatt and elder half-brother of Mahesh and Mukesh Bhatt. He began writing with Aashiqui (1990) and has about 66 film credits. His work with Aamir Khan runs through the actor's most commercial romantic phase: he co-wrote Dil Hai Ke Manta Nahin (1991), wrote the story and co-wrote the screenplay and dialogue of Hum Hain Rahi Pyar Ke (1993) with Aamir, wrote the screenplay of Raja Hindustani (1996), which won him a Screen Award, and co-wrote the screenplay of Mela (2000). He won the Filmfare Best Screenplay award for Baazigar (1994) and was nominated for Koi Mil Gaya, Krrish and Omkara.</t>
        </is>
      </c>
      <c r="T17" s="5" t="inlineStr">
        <is>
          <t>SOURCE-087; SOURCE-018; SOURCE-025; SOURCE-032; SOURCE-038</t>
        </is>
      </c>
      <c r="U17" s="5" t="inlineStr">
        <is>
          <t>Medium</t>
        </is>
      </c>
    </row>
    <row r="18" ht="184" customHeight="1">
      <c r="A18" s="15" t="inlineStr">
        <is>
          <t>PERSON-017</t>
        </is>
      </c>
      <c r="B18" s="5" t="inlineStr">
        <is>
          <t>Zoya Akhtar</t>
        </is>
      </c>
      <c r="C18" s="5" t="inlineStr">
        <is>
          <t>Director; writer</t>
        </is>
      </c>
      <c r="D18" s="17" t="n">
        <v>1972</v>
      </c>
      <c r="E18" s="18" t="n"/>
      <c r="F18" s="5" t="inlineStr">
        <is>
          <t>2009–present</t>
        </is>
      </c>
      <c r="G18" s="5" t="inlineStr">
        <is>
          <t>Hindi; streaming series</t>
        </is>
      </c>
      <c r="H18" s="5" t="inlineStr">
        <is>
          <t>Daughter of Javed Akhtar and Honey Irani; trained at NYU's Tisch School of the Arts and assisted Mira Nair, Tony Gerber and Dev Benegal.</t>
        </is>
      </c>
      <c r="I18" s="5" t="inlineStr">
        <is>
          <t>Luck by Chance (2009), which won the Filmfare Best Debut Director award.</t>
        </is>
      </c>
      <c r="J18" s="5" t="inlineStr">
        <is>
          <t>Luck by Chance (2009); Zindagi Na Milegi Dobara (2011); Talaash (2012, co-writer); Bombay Talkies (2013, segment); Dil Dhadakne Do (2015); Gully Boy (2019); Made in Heaven (2019–2023); The Archies (2023)</t>
        </is>
      </c>
      <c r="K18" s="19" t="inlineStr">
        <is>
          <t>Privileged families and friendships under strain; the film industry; class and aspiration</t>
        </is>
      </c>
      <c r="L18" s="19" t="inlineStr">
        <is>
          <t>Observational ensemble drama with wry humour, often co-written with Reema Kagti.</t>
        </is>
      </c>
      <c r="M18" s="5" t="inlineStr">
        <is>
          <t>Four Filmfare Awards including Best Debut Director (Luck by Chance) and Best Director (Zindagi Na Milegi Dobara; Gully Boy); member of the Academy of Motion Picture Arts and Sciences</t>
        </is>
      </c>
      <c r="N18" s="19" t="inlineStr">
        <is>
          <t>One of the most influential contemporary Hindi filmmakers; Gully Boy was India's Academy Award entry.</t>
        </is>
      </c>
      <c r="O18" s="19" t="inlineStr">
        <is>
          <t>Four credits with Aamir Khan: his cameo in her debut, their co-written Talaash, the anthology whose song features him, and his narration in Dil Dhadakne Do.</t>
        </is>
      </c>
      <c r="P18" s="17" t="n">
        <v>4</v>
      </c>
      <c r="Q18" s="5" t="inlineStr">
        <is>
          <t>FILM-040; FILM-044; FILM-045; FILM-048</t>
        </is>
      </c>
      <c r="R18" s="5" t="inlineStr">
        <is>
          <t>Talaash (2012)</t>
        </is>
      </c>
      <c r="S18" s="5" t="inlineStr">
        <is>
          <t>Zoya Akhtar was born in Mumbai in 1972 to Javed Akhtar and Honey Irani and is the sister of Farhan Akhtar. After a filmmaking diploma from NYU's Tisch School of the Arts she assisted Mira Nair, Tony Gerber and Dev Benegal. Her debut, Luck by Chance (2009), a critically acclaimed look at newcomers in Bollywood, features Aamir Khan among the industry figures playing themselves and won her the Filmfare Best Debut Director award. Zindagi Na Milegi Dobara (2011) brought her the Filmfare Best Director award. With her regular writing partner Reema Kagti she co-wrote the story and screenplay of Talaash (2012), a neo-noir ghost story with Aamir Khan as a grieving police inspector. She directed the 'Sheila Ki Jawaani' segment of the centenary anthology Bombay Talkies (2013), whose song 'Apna Bombay Talkies' features Aamir among many stars, and directed Dil Dhadakne Do (2015), in which Aamir voices Pluto, the dog who narrates the Mehra family's cruise. Gully Boy (2019) won her a second Filmfare Best Director award and was India's Academy Award entry. With Kagti she founded Tiger Baby Films in 2015 and created the series Made in Heaven, and she later directed The Archies. She is a member of the Academy.</t>
        </is>
      </c>
      <c r="T18" s="5" t="inlineStr">
        <is>
          <t>SOURCE-108; SOURCE-046; SOURCE-050; SOURCE-051; SOURCE-054</t>
        </is>
      </c>
      <c r="U18" s="5" t="inlineStr">
        <is>
          <t>Medium</t>
        </is>
      </c>
    </row>
    <row r="19" ht="184" customHeight="1">
      <c r="A19" s="15" t="inlineStr">
        <is>
          <t>PERSON-018</t>
        </is>
      </c>
      <c r="B19" s="5" t="inlineStr">
        <is>
          <t>Ashutosh Gowariker</t>
        </is>
      </c>
      <c r="C19" s="5" t="inlineStr">
        <is>
          <t>Director; writer; actor</t>
        </is>
      </c>
      <c r="D19" s="17" t="n">
        <v>1964</v>
      </c>
      <c r="E19" s="18" t="n"/>
      <c r="F19" s="5" t="inlineStr">
        <is>
          <t>1984–present</t>
        </is>
      </c>
      <c r="G19" s="5" t="inlineStr">
        <is>
          <t>Hindi</t>
        </is>
      </c>
      <c r="H19" s="5" t="inlineStr">
        <is>
          <t>Born in Kolhapur; began as an actor in Holi (1984), where he met Aamir Khan, and worked in television and films such as Naam, Goonj and Kabhi Haan Kabhi Naa.</t>
        </is>
      </c>
      <c r="I19" s="5" t="inlineStr">
        <is>
          <t>Directorial debut Pehla Nasha (1993); Baazi (1995) followed; both failed commercially. Breakthrough with Lagaan (2001).</t>
        </is>
      </c>
      <c r="J19" s="5" t="inlineStr">
        <is>
          <t>Pehla Nasha (1993); Baazi (1995); Lagaan (2001); Swades (2004); Jodhaa Akbar (2008); Panipat (2019)</t>
        </is>
      </c>
      <c r="K19" s="19" t="inlineStr">
        <is>
          <t>Epic period and historical drama; rural India and national identity</t>
        </is>
      </c>
      <c r="L19" s="19" t="inlineStr">
        <is>
          <t>Long-form epics with large ensembles and music by A. R. Rahman.</t>
        </is>
      </c>
      <c r="M19" s="5" t="inlineStr">
        <is>
          <t>Academy Award nomination (Lagaan, as the film's director); Filmfare Best Film and Best Director (Lagaan; Jodhaa Akbar); National Film Awards; Academy voting member</t>
        </is>
      </c>
      <c r="N19" s="19" t="inlineStr">
        <is>
          <t>Lagaan is India's third and, as of 2025, most recent nominee for the Academy Award for Best Foreign Language Film.</t>
        </is>
      </c>
      <c r="O19" s="19" t="inlineStr">
        <is>
          <t>Friends since acting together in Holi; Gowariker directed Aamir in three films, and Aamir produced Lagaan.</t>
        </is>
      </c>
      <c r="P19" s="17" t="n">
        <v>3</v>
      </c>
      <c r="Q19" s="5" t="inlineStr">
        <is>
          <t>FILM-020; FILM-022; FILM-033</t>
        </is>
      </c>
      <c r="R19" s="5" t="inlineStr">
        <is>
          <t>Lagaan (2001)</t>
        </is>
      </c>
      <c r="S19" s="5" t="inlineStr">
        <is>
          <t>Ashutosh Gowariker was born in Kolhapur in 1964 and began as an actor, making his debut in Ketan Mehta's Holi (1984), where he met Aamir Khan, the start of a long professional relationship. He continued acting in television and in films such as Naam, Goonj, Chamatkar and Kabhi Haan Kabhi Naa. His first two films as director both involved Aamir: the thriller Pehla Nasha (1993), a Body Double remake in which Aamir, Shah Rukh Khan and Saif Ali Khan appear as themselves, and the action film Baazi (1995), with Aamir as a framed police inspector; both failed commercially, and critics called Baazi a collage of Die Hard and Rambo. The partnership was vindicated by Lagaan (2001), which Aamir produced and starred in. The period cricket epic won the Filmfare Best Film and Best Director awards and eight National Film Awards, and was nominated for the Academy Award for Best Foreign Language Film. Gowariker went on to direct Swades with Shah Rukh Khan, the historical romance Jodhaa Akbar, which won the Filmfare Best Film and Best Director awards and was cited by the British Film Institute among the great Bollywood films of the century, and Panipat. He is a voting member of the Academy.</t>
        </is>
      </c>
      <c r="T19" s="5" t="inlineStr">
        <is>
          <t>SOURCE-091; SOURCE-026; SOURCE-028; SOURCE-039; SOURCE-071</t>
        </is>
      </c>
      <c r="U19" s="5" t="inlineStr">
        <is>
          <t>Medium</t>
        </is>
      </c>
    </row>
    <row r="20" ht="184" customHeight="1">
      <c r="A20" s="15" t="inlineStr">
        <is>
          <t>PERSON-019</t>
        </is>
      </c>
      <c r="B20" s="5" t="inlineStr">
        <is>
          <t>Indra Kumar</t>
        </is>
      </c>
      <c r="C20" s="5" t="inlineStr">
        <is>
          <t>Director; producer (Maruti International)</t>
        </is>
      </c>
      <c r="D20" s="18" t="n"/>
      <c r="E20" s="18" t="n"/>
      <c r="F20" s="5" t="inlineStr">
        <is>
          <t>1985–present (producer); 1990–present (director)</t>
        </is>
      </c>
      <c r="G20" s="5" t="inlineStr">
        <is>
          <t>Hindi</t>
        </is>
      </c>
      <c r="H20" s="5" t="inlineStr">
        <is>
          <t>Worked as a producer before directing, with Mohabbat (1985) and Kasam (1988).</t>
        </is>
      </c>
      <c r="I20" s="5" t="inlineStr">
        <is>
          <t>Dil (1990), a major commercial success and the year's highest-grossing Hindi film.</t>
        </is>
      </c>
      <c r="J20" s="5" t="inlineStr">
        <is>
          <t>Dil (1990); Beta (1992); Raja (1995); Ishq (1997); Mann (1999); Masti (2004); Dhamaal series (2007–2019); Total Dhamaal (2019)</t>
        </is>
      </c>
      <c r="K20" s="19" t="inlineStr">
        <is>
          <t>Family melodrama and romance in the 1990s; broad ensemble comedy later</t>
        </is>
      </c>
      <c r="L20" s="19" t="inlineStr">
        <is>
          <t>Crowd-pleasing melodrama built around hit soundtracks, later shifting to comedy franchises.</t>
        </is>
      </c>
      <c r="M20" s="5" t="inlineStr">
        <is>
          <t>Five Filmfare nominations, including Best Director for Beta and Raja</t>
        </is>
      </c>
      <c r="N20" s="19" t="inlineStr">
        <is>
          <t>Delivered major romantic hits in the early 1990s and later popularised long-running Hindi comedy franchises.</t>
        </is>
      </c>
      <c r="O20" s="19" t="inlineStr">
        <is>
          <t>Directed three Aamir Khan films, beginning with Dil, the actor's biggest early hit after QSQT.</t>
        </is>
      </c>
      <c r="P20" s="17" t="n">
        <v>3</v>
      </c>
      <c r="Q20" s="5" t="inlineStr">
        <is>
          <t>FILM-009; FILM-027; FILM-030</t>
        </is>
      </c>
      <c r="R20" s="5" t="inlineStr">
        <is>
          <t>Dil (1990)</t>
        </is>
      </c>
      <c r="S20" s="5" t="inlineStr">
        <is>
          <t>Indra Kumar began as a producer with Mohabbat (1985) and Kasam (1988) before directing his first film, Dil (1990), under his banner Maruti International with Ashok Thakeria. Starring Aamir Khan and Madhuri Dixit as rival students who marry against their fathers' wishes, Dil became the highest-grossing Hindi film of the year, won Madhuri Dixit her first Filmfare Best Actress award and brought Aamir a Best Actor nomination. Indra Kumar consolidated his reputation with Beta (1992) and Raja (1995), both of which earned him Filmfare Best Director nominations. He reunited with Aamir on Ishq (1997), a broad romantic comedy pairing Aamir with Juhi Chawla and Ajay Devgn with Kajol against two scheming fathers; it was the third-highest-grossing Hindi film of 1997. Their third film, Mann (1999), a remake of An Affair to Remember with Manisha Koirala, is recorded inconsistently: the film's own Wikipedia article calls it profitable, while his biography calls it a commercial failure. After 2000 he moved decisively to ensemble comedy with Masti (2004) and the Dhamaal franchise, whose Total Dhamaal (2019) became his highest-grossing release. His three films with Aamir Khan span the class-conflict romance, the masala romantic comedy and the tearjerker.</t>
        </is>
      </c>
      <c r="T20" s="5" t="inlineStr">
        <is>
          <t>SOURCE-083; SOURCE-014; SOURCE-033; SOURCE-037</t>
        </is>
      </c>
      <c r="U20" s="5" t="inlineStr">
        <is>
          <t>Medium</t>
        </is>
      </c>
    </row>
    <row r="21" ht="184" customHeight="1">
      <c r="A21" s="15" t="inlineStr">
        <is>
          <t>PERSON-020</t>
        </is>
      </c>
      <c r="B21" s="5" t="inlineStr">
        <is>
          <t>Mansoor Khan</t>
        </is>
      </c>
      <c r="C21" s="5" t="inlineStr">
        <is>
          <t>Director; producer</t>
        </is>
      </c>
      <c r="D21" s="17" t="n">
        <v>1958</v>
      </c>
      <c r="E21" s="18" t="n"/>
      <c r="F21" s="5" t="inlineStr">
        <is>
          <t>1988–2008</t>
        </is>
      </c>
      <c r="G21" s="5" t="inlineStr">
        <is>
          <t>Hindi</t>
        </is>
      </c>
      <c r="H21" s="5" t="inlineStr">
        <is>
          <t>Son of Nasir Hussain; educated at IIT Bombay, Cornell University and MIT.</t>
        </is>
      </c>
      <c r="I21" s="5" t="inlineStr">
        <is>
          <t>Qayamat Se Qayamat Tak (1988), which won the National Film Award for Best Popular Film and the Filmfare Best Director award.</t>
        </is>
      </c>
      <c r="J21" s="5" t="inlineStr">
        <is>
          <t>Qayamat Se Qayamat Tak (1988); Jo Jeeta Wohi Sikandar (1992); Akele Hum Akele Tum (1995); Josh (2000); Jaane Tu... Ya Jaane Na (2008, co-producer)</t>
        </is>
      </c>
      <c r="K21" s="19" t="inlineStr">
        <is>
          <t>Youthful romance, coming of age, marriage and ambition</t>
        </is>
      </c>
      <c r="L21" s="19" t="inlineStr">
        <is>
          <t>Musical romances and Indian reworkings of Western films such as Breaking Away, Kramer vs. Kramer and West Side Story.</t>
        </is>
      </c>
      <c r="M21" s="5" t="inlineStr">
        <is>
          <t>National Film Award for Best Popular Film and Filmfare Best Director (Qayamat Se Qayamat Tak)</t>
        </is>
      </c>
      <c r="N21" s="19" t="inlineStr">
        <is>
          <t>His debut is credited with bringing back the musical romantic genre in Hindi cinema.</t>
        </is>
      </c>
      <c r="O21" s="19" t="inlineStr">
        <is>
          <t>Cousin. Directed Aamir Khan's breakthrough and two further films, and co-produced Jaane Tu... Ya Jaane Na with him.</t>
        </is>
      </c>
      <c r="P21" s="17" t="n">
        <v>3</v>
      </c>
      <c r="Q21" s="5" t="inlineStr">
        <is>
          <t>FILM-004; FILM-015; FILM-025</t>
        </is>
      </c>
      <c r="R21" s="5" t="inlineStr">
        <is>
          <t>Qayamat Se Qayamat Tak (1988)</t>
        </is>
      </c>
      <c r="S21" s="5" t="inlineStr">
        <is>
          <t>Mansoor Khan, born in 1958, is the son of filmmaker Nasir Hussain and a cousin of Aamir Khan. He studied at IIT Bombay, Cornell University and MIT before entering the family business. His directorial debut, Qayamat Se Qayamat Tak (1988), a tragic Romeo and Juliet-style romance produced and written by his father, launched Aamir Khan and Juhi Chawla. It is credited with reviving the musical romantic genre and won the National Film Award for Best Popular Film and the Filmfare Best Director award. He reunited with Aamir on Jo Jeeta Wohi Sikandar (1992), a campus cycling drama whose resemblance to Breaking Away was pointed out after release, and on Akele Hum Akele Tum (1995), a musical marriage drama loosely based on Kramer vs. Kramer. His last film as director, Josh (2000), drew on West Side Story; in 2008 he co-produced Jaane Tu... Ya Jaane Na with Aamir Khan. Across three films with Aamir, Mansoor Khan's work traces the actor's early persona from doomed teenage lover to underdog student to proud young husband. He later left the industry and settled in Coonoor, Tamil Nadu, to farm, and has published The Third Curve (2013), on the world economy, and One: The Story of the Ultimate Myth (2023).</t>
        </is>
      </c>
      <c r="T21" s="5" t="inlineStr">
        <is>
          <t>SOURCE-079; SOURCE-007; SOURCE-021; SOURCE-031</t>
        </is>
      </c>
      <c r="U21" s="5" t="inlineStr">
        <is>
          <t>Medium</t>
        </is>
      </c>
    </row>
    <row r="22" ht="94" customHeight="1">
      <c r="A22" s="15" t="inlineStr">
        <is>
          <t>PERSON-021</t>
        </is>
      </c>
      <c r="B22" s="5" t="inlineStr">
        <is>
          <t>Nasir Hussain Films</t>
        </is>
      </c>
      <c r="C22" s="5" t="inlineStr">
        <is>
          <t>Production banner</t>
        </is>
      </c>
      <c r="D22" s="18" t="n"/>
      <c r="E22" s="18" t="n"/>
      <c r="F22" s="5" t="n"/>
      <c r="G22" s="5" t="inlineStr">
        <is>
          <t>Hindi cinema</t>
        </is>
      </c>
      <c r="H22" s="5" t="inlineStr">
        <is>
          <t>The production company of the writer-director Nasir Hussain, Aamir Khan's uncle. It has no article of its own; this profile uses the article on Hussain.</t>
        </is>
      </c>
      <c r="I22" s="5" t="n"/>
      <c r="J22" s="5" t="inlineStr">
        <is>
          <t>With Khan: Yaadon Ki Baaraat (1973), Qayamat Se Qayamat Tak (1988), Jo Jeeta Wohi Sikandar (1992). Wider work: Teesri Manzil, Caravan, Hum Kisise Kum Naheen.</t>
        </is>
      </c>
      <c r="K22" s="19" t="inlineStr">
        <is>
          <t>Musical romance and masala entertainment.</t>
        </is>
      </c>
      <c r="L22" s="19" t="n"/>
      <c r="M22" s="5" t="n"/>
      <c r="N22" s="19" t="inlineStr">
        <is>
          <t>Hussain's films set the template for the 1970s masala film and the 1990s musical romance.</t>
        </is>
      </c>
      <c r="O22" s="19" t="inlineStr">
        <is>
          <t>The family banner that started Khan's career: his first screen appearance as a child in Yaadon Ki Baaraat; his lead debut in Qayamat Se Qayamat Tak, a blockbuster directed by his cousin Mansoor Khan; and the college sports drama Jo Jeeta Wohi Sikandar.</t>
        </is>
      </c>
      <c r="P22" s="17" t="n">
        <v>3</v>
      </c>
      <c r="Q22" s="5" t="inlineStr">
        <is>
          <t>FILM-001; FILM-004; FILM-015</t>
        </is>
      </c>
      <c r="R22" s="5" t="inlineStr">
        <is>
          <t>Qayamat Se Qayamat Tak (1988)</t>
        </is>
      </c>
      <c r="S22" s="5" t="inlineStr">
        <is>
          <t>Nasir Hussain Films was the company of Nasir Hussain, the writer-director of Tumsa Nahin Dekha, Teesri Manzil and Caravan, whose Yaadon Ki Baaraat (1973) helped create the masala film and whose production Qayamat Se Qayamat Tak (1988) defined the musical romance of the following decade. Hussain was the elder brother of Tahir Hussain, Aamir Khan's father, and his banner is where Khan began: as a child in Yaadon Ki Baaraat, then as the lead of Qayamat Se Qayamat Tak, directed by Hussain's son Mansoor Khan, and in Jo Jeeta Wohi Sikandar (1992). This row cites Hussain's article because the company has none.</t>
        </is>
      </c>
      <c r="T22" s="5" t="inlineStr">
        <is>
          <t>SOURCE-075; SOURCE-004; SOURCE-007; SOURCE-021</t>
        </is>
      </c>
      <c r="U22" s="5" t="inlineStr">
        <is>
          <t>Medium</t>
        </is>
      </c>
    </row>
    <row r="23" ht="169" customHeight="1">
      <c r="A23" s="15" t="inlineStr">
        <is>
          <t>PERSON-022</t>
        </is>
      </c>
      <c r="B23" s="5" t="inlineStr">
        <is>
          <t>Pritam</t>
        </is>
      </c>
      <c r="C23" s="5" t="inlineStr">
        <is>
          <t>Music director (song composer)</t>
        </is>
      </c>
      <c r="D23" s="17" t="n">
        <v>1971</v>
      </c>
      <c r="E23" s="18" t="n"/>
      <c r="F23" s="5" t="inlineStr">
        <is>
          <t>2001–present</t>
        </is>
      </c>
      <c r="G23" s="5" t="inlineStr">
        <is>
          <t>Hindi</t>
        </is>
      </c>
      <c r="H23" s="5" t="inlineStr">
        <is>
          <t>Pritam Chakraborty studied sound recording at FTII and composed advertising jingles and television title tracks.</t>
        </is>
      </c>
      <c r="I23" s="5" t="inlineStr">
        <is>
          <t>Co-composed Tere Liye (2001) with Jeet Gannguli; solo debut Stumped (2003); breakthrough with Dhoom (2004).</t>
        </is>
      </c>
      <c r="J23" s="5" t="inlineStr">
        <is>
          <t>Dhoom (2004); Gangster (2006); Jab We Met (2007); Life in a... Metro (2007); Barfi! (2012); Dhoom 3 (2013); Ae Dil Hai Mushkil (2016); Dangal (2016); Laal Singh Chaddha (2022); Brahmastra: Part One – Shiva (2022); Animal (2023)</t>
        </is>
      </c>
      <c r="K23" s="19" t="inlineStr">
        <is>
          <t>Chart-topping romantic and anthem songs for big-budget films</t>
        </is>
      </c>
      <c r="L23" s="19" t="inlineStr">
        <is>
          <t>Fusion of Indian classical influences with rock, Sufi and contemporary pop; has acknowledged early plagiarism mistakes.</t>
        </is>
      </c>
      <c r="M23" s="5" t="inlineStr">
        <is>
          <t>National Film Award for Best Music Direction (70th National Film Awards); six Filmfare Best Music Director awards</t>
        </is>
      </c>
      <c r="N23" s="19" t="inlineStr">
        <is>
          <t>One of contemporary Bollywood's most prolific and commercially successful composers, with more than 125 film scores.</t>
        </is>
      </c>
      <c r="O23" s="19" t="inlineStr">
        <is>
          <t>Composed the songs for three of Aamir Khan's biggest productions of the 2010s–2020s.</t>
        </is>
      </c>
      <c r="P23" s="17" t="n">
        <v>3</v>
      </c>
      <c r="Q23" s="5" t="inlineStr">
        <is>
          <t>FILM-046; FILM-049; FILM-053</t>
        </is>
      </c>
      <c r="R23" s="5" t="inlineStr">
        <is>
          <t>Dangal (2016)</t>
        </is>
      </c>
      <c r="S23" s="5" t="inlineStr">
        <is>
          <t>Pritam Chakraborty, born in 1971, studied sound recording at FTII and wrote jingles for brands such as Santro and McDonald's and television title tracks before co-composing Tere Liye (2001) with Jeet Gannguli. His breakthrough was Yash Raj's Dhoom (2004), whose title track became popular internationally, followed by Gangster, Jab We Met and Barfi!. His style fuses Indian classical colours with rock, Sufi and contemporary pop, and he has acknowledged that he made plagiarism mistakes early in his career. With Aamir Khan he composed the songs for Dhoom 3 (2013), extending the franchise's sound, and for Dangal (2016), whose earthy, lyric-driven songs by Amitabh Bhattacharya, such as 'Haanikaarak Bapu' and 'Dhaakad', won Screen and Mirchi awards. He then composed Laal Singh Chaddha (2022); its songs, including 'Tere Hawaale', earned several Filmfare nominations although the film failed. Pritam has won six Filmfare Best Music Director awards and a National Film Award at the 70th National Film Awards. Across three films he became the principal song composer of Aamir Khan's large-scale later productions.</t>
        </is>
      </c>
      <c r="T23" s="5" t="inlineStr">
        <is>
          <t>SOURCE-118; SOURCE-052; SOURCE-055; SOURCE-059</t>
        </is>
      </c>
      <c r="U23" s="5" t="inlineStr">
        <is>
          <t>Medium</t>
        </is>
      </c>
    </row>
    <row r="24" ht="154" customHeight="1">
      <c r="A24" s="15" t="inlineStr">
        <is>
          <t>PERSON-023</t>
        </is>
      </c>
      <c r="B24" s="5" t="inlineStr">
        <is>
          <t>Ram Sampath</t>
        </is>
      </c>
      <c r="C24" s="5" t="inlineStr">
        <is>
          <t>Music director (songs and background score)</t>
        </is>
      </c>
      <c r="D24" s="17" t="n">
        <v>1977</v>
      </c>
      <c r="E24" s="18" t="n"/>
      <c r="F24" s="5" t="inlineStr">
        <is>
          <t>1997–2017; 2023–present</t>
        </is>
      </c>
      <c r="G24" s="5" t="inlineStr">
        <is>
          <t>Hindi</t>
        </is>
      </c>
      <c r="H24" s="5" t="inlineStr">
        <is>
          <t>Composed advertising jingles in Mumbai before moving into pop albums and film music.</t>
        </is>
      </c>
      <c r="I24" s="5" t="inlineStr">
        <is>
          <t>Film work includes Khakee (2004); breakthrough with Delhi Belly (2011).</t>
        </is>
      </c>
      <c r="J24" s="5" t="inlineStr">
        <is>
          <t>Khakee (2004); Delhi Belly (2011); Talaash (2012); Satyamev Jayate (2012, television); Raees (2017); Laapataa Ladies (2024); Sitaare Zameen Par (2025, background score)</t>
        </is>
      </c>
      <c r="K24" s="19" t="inlineStr">
        <is>
          <t>Contemporary rock-inflected soundtracks and socially themed music</t>
        </is>
      </c>
      <c r="L24" s="19" t="inlineStr">
        <is>
          <t>Versatile composer moving between advertising, pop and film with contemporary rock elements.</t>
        </is>
      </c>
      <c r="M24" s="5" t="inlineStr">
        <is>
          <t>Filmfare Best Music Director and Best Background Score (Laapataa Ladies, 2025)</t>
        </is>
      </c>
      <c r="N24" s="19" t="inlineStr">
        <is>
          <t>Won a landmark 2008 plagiarism case over Krazzy 4, an important precedent for composers' rights in India.</t>
        </is>
      </c>
      <c r="O24" s="19" t="inlineStr">
        <is>
          <t>Aamir Khan Productions' regular composer: Delhi Belly, Talaash, the Satyamev Jayate television show and the Sitaare Zameen Par score.</t>
        </is>
      </c>
      <c r="P24" s="17" t="n">
        <v>3</v>
      </c>
      <c r="Q24" s="5" t="inlineStr">
        <is>
          <t>FILM-043; FILM-044; FILM-055</t>
        </is>
      </c>
      <c r="R24" s="5" t="inlineStr">
        <is>
          <t>Talaash (2012)</t>
        </is>
      </c>
      <c r="S24" s="5" t="inlineStr">
        <is>
          <t>Ram Sampath, born in 1977, began in Mumbai's advertising industry and moved into pop albums and films, including Khakee (2004). In 2008 he won a plagiarism case against the makers of Krazzy 4, a significant precedent for composers in India. His breakthrough came with Delhi Belly (2011), produced by Aamir Khan Productions, whose 'Bhaag D.K. Bose' became an internet sensation and controversy; Aamir appears in the film's closing-credits song. He scored Talaash (2012), the Aamir Khan Productions and Excel thriller starring Aamir, with lyrics by Javed Akhtar, and composed the music of Aamir's television series Satyamev Jayate, including its title track. After a break he returned with Laapataa Ladies, directed by Kiran Rao, which won him the Filmfare awards for Best Music Director and Best Background Score, and composed the background score for Sitaare Zameen Par (2025), whose songs are by Shankar–Ehsaan–Loy. His career is closely tied to Aamir Khan's production company in the 2010s and 2020s.</t>
        </is>
      </c>
      <c r="T24" s="5" t="inlineStr">
        <is>
          <t>SOURCE-114; SOURCE-049; SOURCE-050; SOURCE-061</t>
        </is>
      </c>
      <c r="U24" s="5" t="inlineStr">
        <is>
          <t>Medium</t>
        </is>
      </c>
    </row>
    <row r="25" ht="79" customHeight="1">
      <c r="A25" s="15" t="inlineStr">
        <is>
          <t>PERSON-024</t>
        </is>
      </c>
      <c r="B25" s="5" t="inlineStr">
        <is>
          <t>Surinder Sodhi</t>
        </is>
      </c>
      <c r="C25" s="5" t="inlineStr">
        <is>
          <t>Background-score composer</t>
        </is>
      </c>
      <c r="D25" s="18" t="n"/>
      <c r="E25" s="18" t="n"/>
      <c r="F25" s="5" t="n"/>
      <c r="G25" s="5" t="inlineStr">
        <is>
          <t>Hindi cinema</t>
        </is>
      </c>
      <c r="H25" s="5" t="inlineStr">
        <is>
          <t>An Indian film-score composer, often credited as Surendra Sodhi.</t>
        </is>
      </c>
      <c r="I25" s="5" t="n"/>
      <c r="J25" s="5" t="inlineStr">
        <is>
          <t>With Khan: Raja Hindustani (1996), Ishq (1997), Mela (2000). Wider work: Deewana, Soldier, Baadshah, Hera Pheri, 23rd March 1931: Shaheed, Special 26.</t>
        </is>
      </c>
      <c r="K25" s="19" t="inlineStr">
        <is>
          <t>Background scores for commercial films.</t>
        </is>
      </c>
      <c r="L25" s="19" t="n"/>
      <c r="M25" s="5" t="n"/>
      <c r="N25" s="19" t="n"/>
      <c r="O25" s="19" t="inlineStr">
        <is>
          <t>Background scores for three Khan films: Dharmesh Darshan's Raja Hindustani, an all-time blockbuster; Indra Kumar's Ishq, a success; and Darshan's Mela.</t>
        </is>
      </c>
      <c r="P25" s="17" t="n">
        <v>3</v>
      </c>
      <c r="Q25" s="5" t="inlineStr">
        <is>
          <t>FILM-026; FILM-027; FILM-032</t>
        </is>
      </c>
      <c r="R25" s="5" t="inlineStr">
        <is>
          <t>Raja Hindustani (1996)</t>
        </is>
      </c>
      <c r="S25" s="5" t="inlineStr">
        <is>
          <t>Surinder Sodhi is a background-score composer for mainstream Hindi films, credited on Deewana, Soldier, Baadshah, Hera Pheri and Special 26. He scored three Aamir Khan films: Raja Hindustani (1996), the romance between a taxi driver and a rich girl that was one of the biggest hits of the decade; Ishq (1997), a comedy co-starring Ajay Devgn, Juhi Chawla and Kajol; and Mela (2000), Dharmesh Darshan's action film with Khan and his brother Faisal. His Wikipedia article is short.</t>
        </is>
      </c>
      <c r="T25" s="5" t="inlineStr">
        <is>
          <t>SOURCE-125; SOURCE-032; SOURCE-033; SOURCE-038</t>
        </is>
      </c>
      <c r="U25" s="5" t="inlineStr">
        <is>
          <t>Low</t>
        </is>
      </c>
    </row>
    <row r="26" ht="169" customHeight="1">
      <c r="A26" s="15" t="inlineStr">
        <is>
          <t>PERSON-025</t>
        </is>
      </c>
      <c r="B26" s="5" t="inlineStr">
        <is>
          <t>Tahir Hussain</t>
        </is>
      </c>
      <c r="C26" s="5" t="inlineStr">
        <is>
          <t>Producer; director; screenwriter (Tahir Hussain Enterprises)</t>
        </is>
      </c>
      <c r="D26" s="17" t="n">
        <v>1938</v>
      </c>
      <c r="E26" s="17" t="n">
        <v>2010</v>
      </c>
      <c r="F26" s="5" t="inlineStr">
        <is>
          <t>1971–1993</t>
        </is>
      </c>
      <c r="G26" s="5" t="inlineStr">
        <is>
          <t>Hindi</t>
        </is>
      </c>
      <c r="H26" s="5" t="inlineStr">
        <is>
          <t>Born in Shahabad to a schoolteacher from a Pashtun zamindar family; younger brother and protégé of Nasir Hussain, who directed his first production.</t>
        </is>
      </c>
      <c r="I26" s="5" t="inlineStr">
        <is>
          <t>Producer of Caravan (1971); directorial debut Tum Mere Ho (1990).</t>
        </is>
      </c>
      <c r="J26" s="5" t="inlineStr">
        <is>
          <t>Caravan (1971); Anamika; Madhosh (1974); Zakhmee (1975); Tum Mere Ho (1990); Hum Hain Rahi Pyar Ke (1993)</t>
        </is>
      </c>
      <c r="K26" s="19" t="inlineStr">
        <is>
          <t>Mainstream romance and family entertainment</t>
        </is>
      </c>
      <c r="L26" s="19" t="n"/>
      <c r="M26" s="5" t="inlineStr">
        <is>
          <t>Filmfare Best Film and a National Film Award Special Mention (as producer) for Hum Hain Rahi Pyar Ke</t>
        </is>
      </c>
      <c r="N26" s="19" t="inlineStr">
        <is>
          <t>A mainstream producer of the 1970s–1990s best known as father of Aamir Khan and Faisal Khan.</t>
        </is>
      </c>
      <c r="O26" s="19" t="inlineStr">
        <is>
          <t>Father. Produced Madhosh, directed Tum Mere Ho and produced Hum Hain Rahi Pyar Ke, which Aamir co-wrote.</t>
        </is>
      </c>
      <c r="P26" s="17" t="n">
        <v>3</v>
      </c>
      <c r="Q26" s="5" t="inlineStr">
        <is>
          <t>FILM-002; FILM-008; FILM-019</t>
        </is>
      </c>
      <c r="R26" s="5" t="inlineStr">
        <is>
          <t>Hum Hain Rahi Pyar Ke (1993)</t>
        </is>
      </c>
      <c r="S26" s="5" t="inlineStr">
        <is>
          <t>Mohammad Tahir Hussain Khan was born in 1938 in Shahabad. His elder brother, the filmmaker Nasir Hussain, brought him into the industry by directing his first production, Caravan (1971), which became a big hit. As a producer he went on to make Anamika, Madhosh and Zakhmee, the last of which gave the composer Bappi Lahiri early recognition. He was the father of Nikhat Khan, Farhat Khan, Aamir Khan and Faisal Khan, and his productions intersect with Aamir Khan's career at three points. Madhosh (1974) features the child Aamir as the younger version of its lead. Tahir Hussain made his directorial debut with Tum Mere Ho (1990), a snake-charmer fantasy starring Aamir and Juhi Chawla that failed at the box office but later gained a so-bad-it's-good following. His biggest success with his son was Hum Hain Rahi Pyar Ke (1993), directed by Mahesh Bhatt and co-written by Aamir; it won the Filmfare Best Film award and a National Film Award Special Mention shared by producer and director. He died in 2010. Much of this profile comes from a search-result summary rather than a fetched page, so dates and titles carry lower confidence.</t>
        </is>
      </c>
      <c r="T26" s="5" t="inlineStr">
        <is>
          <t>SOURCE-077; SOURCE-005; SOURCE-012; SOURCE-025; SOURCE-068; SOURCE-082</t>
        </is>
      </c>
      <c r="U26" s="5" t="inlineStr">
        <is>
          <t>Low</t>
        </is>
      </c>
    </row>
    <row r="27" ht="139" customHeight="1">
      <c r="A27" s="15" t="inlineStr">
        <is>
          <t>PERSON-026</t>
        </is>
      </c>
      <c r="B27" s="5" t="inlineStr">
        <is>
          <t>Yash Raj Films</t>
        </is>
      </c>
      <c r="C27" s="5" t="inlineStr">
        <is>
          <t>Production banner</t>
        </is>
      </c>
      <c r="D27" s="18" t="n"/>
      <c r="E27" s="18" t="n"/>
      <c r="F27" s="5" t="inlineStr">
        <is>
          <t>Founded 1970</t>
        </is>
      </c>
      <c r="G27" s="5" t="inlineStr">
        <is>
          <t>Hindi</t>
        </is>
      </c>
      <c r="H27" s="5" t="inlineStr">
        <is>
          <t>Founded by director Yash Chopra; led by Aditya Chopra, vice-chairman from 2010 and chairman after Yash Chopra's death in October 2012.</t>
        </is>
      </c>
      <c r="I27" s="5" t="inlineStr">
        <is>
          <t>Founded 1970.</t>
        </is>
      </c>
      <c r="J27" s="5" t="inlineStr">
        <is>
          <t>Dilwale Dulhania Le Jayenge (1995); Fanaa (2006); Ek Tha Tiger (2012); Dhoom 3 (2013); Thugs of Hindostan (2018)</t>
        </is>
      </c>
      <c r="K27" s="19" t="inlineStr">
        <is>
          <t>Romance, spectacle and action franchises</t>
        </is>
      </c>
      <c r="L27" s="19" t="n"/>
      <c r="M27" s="5" t="inlineStr">
        <is>
          <t>Ranked by Filmfare in 2006 as one of India's most powerful production companies</t>
        </is>
      </c>
      <c r="N27" s="19" t="inlineStr">
        <is>
          <t>One of Hindi cinema's dominant studios, known for landmark romances and, later, the Dhoom and spy franchises; also distributes other producers' films.</t>
        </is>
      </c>
      <c r="O27" s="19" t="inlineStr">
        <is>
          <t>Produced three Aamir Khan films; Yash Chopra had earlier directed him in Parampara (1993), a non-YRF production.</t>
        </is>
      </c>
      <c r="P27" s="17" t="n">
        <v>3</v>
      </c>
      <c r="Q27" s="5" t="inlineStr">
        <is>
          <t>FILM-037; FILM-046; FILM-051</t>
        </is>
      </c>
      <c r="R27" s="5" t="inlineStr">
        <is>
          <t>Dhoom 3 (2013)</t>
        </is>
      </c>
      <c r="S27" s="5" t="inlineStr">
        <is>
          <t>Yash Raj Films was founded in 1970 by director Yash Chopra and is led by his son Aditya Chopra, vice-chairman from 2010 and chairman after Yash Chopra's death in October 2012. The studio is known for landmark romances such as Dilwale Dulhania Le Jayenge and for action franchises including Dhoom and the spy universe begun with Ek Tha Tiger. Aamir Khan's association began before he worked for the banner: Yash Chopra directed him in Parampara (1993), produced by Firoz Nadiadwala. For YRF itself, Aditya and Yash Chopra produced Fanaa (2006), the first film shot at YRF Studios and a major success. Aditya Chopra then cast Aamir as the twin circus-performer thieves of Dhoom 3 (2013), which became the first Indian film to gross ₹500 crore worldwide, and as the con man Firangi in the period epic Thugs of Hindostan (2018), which set a record opening before collapsing commercially.</t>
        </is>
      </c>
      <c r="T27" s="5" t="inlineStr">
        <is>
          <t>SOURCE-106; SOURCE-024; SOURCE-043; SOURCE-052; SOURCE-057</t>
        </is>
      </c>
      <c r="U27" s="5" t="inlineStr">
        <is>
          <t>Medium</t>
        </is>
      </c>
    </row>
    <row r="28" ht="124" customHeight="1">
      <c r="A28" s="15" t="inlineStr">
        <is>
          <t>PERSON-027</t>
        </is>
      </c>
      <c r="B28" s="5" t="inlineStr">
        <is>
          <t>Abhijat Joshi</t>
        </is>
      </c>
      <c r="C28" s="5" t="inlineStr">
        <is>
          <t>Screenwriter</t>
        </is>
      </c>
      <c r="D28" s="17" t="n">
        <v>1969</v>
      </c>
      <c r="E28" s="18" t="n"/>
      <c r="F28" s="5" t="inlineStr">
        <is>
          <t>1998–2023</t>
        </is>
      </c>
      <c r="G28" s="5" t="inlineStr">
        <is>
          <t>Hindi</t>
        </is>
      </c>
      <c r="H28" s="5" t="inlineStr">
        <is>
          <t>Playwright and professor of English at Otterbein University, Ohio, since 2003.</t>
        </is>
      </c>
      <c r="I28" s="5" t="inlineStr">
        <is>
          <t>Kareeb (1998) and Mission Kashmir (2000) for Vidhu Vinod Chopra.</t>
        </is>
      </c>
      <c r="J28" s="5" t="inlineStr">
        <is>
          <t>Mission Kashmir (2000); Lage Raho Munna Bhai (2006); 3 Idiots (2009); PK (2014); Sanju (2018); Shikara (2020); Dunki (2023)</t>
        </is>
      </c>
      <c r="K28" s="19" t="inlineStr">
        <is>
          <t>Moral questions dramatised through comedy and emotion</t>
        </is>
      </c>
      <c r="L28" s="19" t="n"/>
      <c r="M28" s="5" t="inlineStr">
        <is>
          <t>National Film Award for Best Screenplay (Lage Raho Munna Bhai); Filmfare story, screenplay and dialogue awards (2007, 2010, 2015)</t>
        </is>
      </c>
      <c r="N28" s="19" t="inlineStr">
        <is>
          <t>Rajkumar Hirani's principal co-writer; their partnership holds records for IIFA Best Dialogue.</t>
        </is>
      </c>
      <c r="O28" s="19" t="inlineStr">
        <is>
          <t>Co-wrote both Hirani films starring Aamir Khan, winning Filmfare writing awards for each.</t>
        </is>
      </c>
      <c r="P28" s="17" t="n">
        <v>2</v>
      </c>
      <c r="Q28" s="5" t="inlineStr">
        <is>
          <t>FILM-041; FILM-047</t>
        </is>
      </c>
      <c r="R28" s="5" t="inlineStr">
        <is>
          <t>3 Idiots (2009)</t>
        </is>
      </c>
      <c r="S28" s="5" t="inlineStr">
        <is>
          <t>Abhijat Joshi, born in 1969, is a playwright and has taught English at Otterbein University in Ohio since 2003, writing Hindi films alongside his academic career. His screen credits began with Kareeb (1998) and Mission Kashmir (2000) for Vidhu Vinod Chopra, and include Eklavya: The Royal Guard, Broken Horses, Wazir and Shikara. He is best known as Rajkumar Hirani's co-writer: Lage Raho Munna Bhai won him the National Film Award for Best Screenplay, and their dialogue collaborations hold records at the IIFA Awards. With Hirani he co-wrote 3 Idiots (2009), sharing the Filmfare awards for Best Story, Screenplay and Dialogue, and PK (2014), sharing the Best Screenplay award; he is also credited on Nanban (2012), the Tamil remake of 3 Idiots. The partnership continued with Sanju (2018) and Dunki (2023).</t>
        </is>
      </c>
      <c r="T28" s="5" t="inlineStr">
        <is>
          <t>SOURCE-112; SOURCE-047; SOURCE-053; SOURCE-073; SOURCE-109</t>
        </is>
      </c>
      <c r="U28" s="5" t="inlineStr">
        <is>
          <t>Medium</t>
        </is>
      </c>
    </row>
    <row r="29" ht="169" customHeight="1">
      <c r="A29" s="15" t="inlineStr">
        <is>
          <t>PERSON-028</t>
        </is>
      </c>
      <c r="B29" s="5" t="inlineStr">
        <is>
          <t>Advait Chandan</t>
        </is>
      </c>
      <c r="C29" s="5" t="inlineStr">
        <is>
          <t>Director; writer</t>
        </is>
      </c>
      <c r="D29" s="18" t="n"/>
      <c r="E29" s="18" t="n"/>
      <c r="F29" s="5" t="inlineStr">
        <is>
          <t>2017–present</t>
        </is>
      </c>
      <c r="G29" s="5" t="inlineStr">
        <is>
          <t>Hindi</t>
        </is>
      </c>
      <c r="H29" s="5" t="inlineStr">
        <is>
          <t>Began in 2007 as third assistant director and assistant production manager on Taare Zameen Par; assistant, casting director and post-production supervisor on Dhobi Ghat.</t>
        </is>
      </c>
      <c r="I29" s="5" t="inlineStr">
        <is>
          <t>Secret Superstar (2017), which he wrote and directed.</t>
        </is>
      </c>
      <c r="J29" s="5" t="inlineStr">
        <is>
          <t>Secret Superstar (2017); Laal Singh Chaddha (2022); Loveyapa (2025)</t>
        </is>
      </c>
      <c r="K29" s="19" t="inlineStr">
        <is>
          <t>Ordinary people achieving the extraordinary; family and devotion</t>
        </is>
      </c>
      <c r="L29" s="19" t="n"/>
      <c r="M29" s="5" t="inlineStr">
        <is>
          <t>Zee Cine Most Promising Director (Secret Superstar); Filmfare Best Director and Best Screenplay nominations</t>
        </is>
      </c>
      <c r="N29" s="19" t="inlineStr">
        <is>
          <t>His debut became one of the most profitable Indian films, driven by its success in China.</t>
        </is>
      </c>
      <c r="O29" s="19" t="inlineStr">
        <is>
          <t>Trained on Aamir Khan's productions and directed him in two films, one a major success and one a major failure.</t>
        </is>
      </c>
      <c r="P29" s="17" t="n">
        <v>2</v>
      </c>
      <c r="Q29" s="5" t="inlineStr">
        <is>
          <t>FILM-050; FILM-053</t>
        </is>
      </c>
      <c r="R29" s="5" t="inlineStr">
        <is>
          <t>Secret Superstar (2017)</t>
        </is>
      </c>
      <c r="S29" s="5" t="inlineStr">
        <is>
          <t>Advait Chandan came up inside Aamir Khan's production world. In 2007 he was third assistant director and assistant production manager on Taare Zameen Par, and on Kiran Rao's Dhobi Ghat he worked as an assistant, casting director and post-production supervisor. His biography's career section is flagged as needing more citations. Aamir Khan Productions and Zee Studios backed his writing-directing debut, Secret Superstar (2017), about a teenage girl who sings anonymously on YouTube to escape an abusive father; Aamir played Shakti Kumar, a vain music director who becomes her mentor, earning a Filmfare supporting nomination. The film became the highest-grossing Hindi film of 2017 and one of the most profitable Indian films, largely through its release in China. It won Chandan the Zee Cine Most Promising Director award and Filmfare nominations for direction and screenplay. He then directed Laal Singh Chaddha (2022), Atul Kulkarni's Indian adaptation of Forrest Gump with Aamir in the title role. Hit by a boycott campaign and mixed reviews, it lost heavily at the box office. Chandan's next film was Loveyapa (2025).</t>
        </is>
      </c>
      <c r="T29" s="5" t="inlineStr">
        <is>
          <t>SOURCE-120; SOURCE-044; SOURCE-048; SOURCE-056; SOURCE-059</t>
        </is>
      </c>
      <c r="U29" s="5" t="inlineStr">
        <is>
          <t>Medium</t>
        </is>
      </c>
    </row>
    <row r="30" ht="64" customHeight="1">
      <c r="A30" s="15" t="inlineStr">
        <is>
          <t>PERSON-029</t>
        </is>
      </c>
      <c r="B30" s="5" t="inlineStr">
        <is>
          <t>Ajay–Atul</t>
        </is>
      </c>
      <c r="C30" s="5" t="inlineStr">
        <is>
          <t>Song composer (composing duo)</t>
        </is>
      </c>
      <c r="D30" s="18" t="n"/>
      <c r="E30" s="18" t="n"/>
      <c r="F30" s="5" t="inlineStr">
        <is>
          <t>2000–present</t>
        </is>
      </c>
      <c r="G30" s="5" t="inlineStr">
        <is>
          <t>Marathi cinema; Hindi cinema</t>
        </is>
      </c>
      <c r="H30" s="5" t="inlineStr">
        <is>
          <t>A composing duo of the brothers Ajay and Atul Gogavale, working mainly in Marathi and Hindi films.</t>
        </is>
      </c>
      <c r="I30" s="5" t="inlineStr">
        <is>
          <t>The devotional album Vishwa Vinayak.</t>
        </is>
      </c>
      <c r="J30" s="5" t="inlineStr">
        <is>
          <t>With Khan: PK (2014), Thugs of Hindostan (2018). Wider work: Natarang, Sairat, Agneepath (2012), Dhadak.</t>
        </is>
      </c>
      <c r="K30" s="19" t="inlineStr">
        <is>
          <t>Orchestral, folk-inflected songs.</t>
        </is>
      </c>
      <c r="L30" s="19" t="n"/>
      <c r="M30" s="5" t="inlineStr">
        <is>
          <t>A National Film Award, four Filmfare Awards Marathi.</t>
        </is>
      </c>
      <c r="N30" s="19" t="n"/>
      <c r="O30" s="19" t="inlineStr">
        <is>
          <t>Two films: they contributed songs to Rajkumar Hirani's PK, an all-time blockbuster, and composed the songs of Thugs of Hindostan.</t>
        </is>
      </c>
      <c r="P30" s="17" t="n">
        <v>2</v>
      </c>
      <c r="Q30" s="5" t="inlineStr">
        <is>
          <t>FILM-047; FILM-051</t>
        </is>
      </c>
      <c r="R30" s="5" t="inlineStr">
        <is>
          <t>PK (2014)</t>
        </is>
      </c>
      <c r="S30" s="5" t="inlineStr">
        <is>
          <t>Ajay–Atul, the brothers Ajay and Atul Gogavale, are the leading composers of modern Marathi cinema (Natarang, Sairat) and have scored Hindi films including Agneepath and Dhadak. They contributed music to PK (2014), Rajkumar Hirani's satire with Aamir Khan as an alien, and composed the songs for Thugs of Hindostan (2018), Yash Raj Films' period adventure with Khan and Amitabh Bachchan, which failed commercially.</t>
        </is>
      </c>
      <c r="T30" s="5" t="inlineStr">
        <is>
          <t>SOURCE-126; SOURCE-053; SOURCE-057</t>
        </is>
      </c>
      <c r="U30" s="5" t="inlineStr">
        <is>
          <t>Medium</t>
        </is>
      </c>
    </row>
    <row r="31" ht="94" customHeight="1">
      <c r="A31" s="15" t="inlineStr">
        <is>
          <t>PERSON-030</t>
        </is>
      </c>
      <c r="B31" s="5" t="inlineStr">
        <is>
          <t>Ali Morani</t>
        </is>
      </c>
      <c r="C31" s="5" t="inlineStr">
        <is>
          <t>Producer</t>
        </is>
      </c>
      <c r="D31" s="18" t="n"/>
      <c r="E31" s="18" t="n"/>
      <c r="F31" s="5" t="n"/>
      <c r="G31" s="5" t="inlineStr">
        <is>
          <t>Hindi cinema</t>
        </is>
      </c>
      <c r="H31" s="5" t="inlineStr">
        <is>
          <t>A producer credited on 2 films in this filmography, with no Wikipedia article of their own.</t>
        </is>
      </c>
      <c r="I31" s="5" t="n"/>
      <c r="J31" s="5" t="inlineStr">
        <is>
          <t>With Khan: Damini (1993) and Raja Hindustani (1996).</t>
        </is>
      </c>
      <c r="K31" s="19" t="n"/>
      <c r="L31" s="19" t="n"/>
      <c r="M31" s="5" t="n"/>
      <c r="N31" s="19" t="n"/>
      <c r="O31" s="19" t="inlineStr">
        <is>
          <t>2 films with Khan, credited as producer: Damini (1993), directed by Rajkumar Santoshi, with Khan in a self appearance. Raja Hindustani (1996), directed by Dharmesh Darshan, with Khan in the lead as Raja Hindustani; verdict: All-time blockbuster.</t>
        </is>
      </c>
      <c r="P31" s="17" t="n">
        <v>2</v>
      </c>
      <c r="Q31" s="5" t="inlineStr">
        <is>
          <t>FILM-017; FILM-026</t>
        </is>
      </c>
      <c r="R31" s="5" t="inlineStr">
        <is>
          <t>Raja Hindustani (1996)</t>
        </is>
      </c>
      <c r="S31" s="5" t="inlineStr">
        <is>
          <t>Ali Morani is credited as producer on Damini (1993) and Raja Hindustani (1996). No Wikipedia article or other independent biography was located; this row is built from the film credits alone.</t>
        </is>
      </c>
      <c r="T31" s="5" t="inlineStr">
        <is>
          <t>SOURCE-023; SOURCE-032</t>
        </is>
      </c>
      <c r="U31" s="5" t="inlineStr">
        <is>
          <t>Low</t>
        </is>
      </c>
    </row>
    <row r="32" ht="169" customHeight="1">
      <c r="A32" s="15" t="inlineStr">
        <is>
          <t>PERSON-031</t>
        </is>
      </c>
      <c r="B32" s="5" t="inlineStr">
        <is>
          <t>Amit Trivedi</t>
        </is>
      </c>
      <c r="C32" s="5" t="inlineStr">
        <is>
          <t>Music director (song composer)</t>
        </is>
      </c>
      <c r="D32" s="17" t="n">
        <v>1979</v>
      </c>
      <c r="E32" s="18" t="n"/>
      <c r="F32" s="5" t="inlineStr">
        <is>
          <t>2001–present</t>
        </is>
      </c>
      <c r="G32" s="5" t="inlineStr">
        <is>
          <t>Hindi</t>
        </is>
      </c>
      <c r="H32" s="5" t="inlineStr">
        <is>
          <t>Born in Mumbai; formed Om the Fusion Band in college and composed for theatre, television, Marathi films and advertising.</t>
        </is>
      </c>
      <c r="I32" s="5" t="inlineStr">
        <is>
          <t>Aamir (2008); breakthrough with Dev.D (2009).</t>
        </is>
      </c>
      <c r="J32" s="5" t="inlineStr">
        <is>
          <t>Dev.D (2009); Wake Up Sid (2009); Udaan (2010); Lootera (2013); Bombay Talkies (2013); Queen (2014); Udta Punjab (2016); Secret Superstar (2017); Andhadhun (2018)</t>
        </is>
      </c>
      <c r="K32" s="19" t="inlineStr">
        <is>
          <t>Indie-pop soundtracks for new-wave Hindi films</t>
        </is>
      </c>
      <c r="L32" s="19" t="inlineStr">
        <is>
          <t>Inventive indie-pop blending electronic and traditional sounds.</t>
        </is>
      </c>
      <c r="M32" s="5" t="inlineStr">
        <is>
          <t>National Film Award for Best Music Direction (Dev.D); Filmfare R. D. Burman Award (2010)</t>
        </is>
      </c>
      <c r="N32" s="19" t="inlineStr">
        <is>
          <t>A defining composer of the independent-minded Hindi cinema of the 2010s.</t>
        </is>
      </c>
      <c r="O32" s="19" t="inlineStr">
        <is>
          <t>Composed Bombay Talkies, including the song in which Aamir Khan appears, and Secret Superstar.</t>
        </is>
      </c>
      <c r="P32" s="17" t="n">
        <v>2</v>
      </c>
      <c r="Q32" s="5" t="inlineStr">
        <is>
          <t>FILM-045; FILM-050</t>
        </is>
      </c>
      <c r="R32" s="5" t="inlineStr">
        <is>
          <t>Secret Superstar (2017)</t>
        </is>
      </c>
      <c r="S32" s="5" t="inlineStr">
        <is>
          <t>Amit Trivedi, born in Mumbai in 1979, formed Om the Fusion Band in college and composed for Hindi and Gujarati theatre, television, Marathi films and advertising jingles for brands such as McDonald's and Airtel before his film debut with Aamir (2008). Dev.D (2009) was his breakthrough, winning the National Film Award for Best Music Direction, and he received Filmfare's R. D. Burman Award for New Music Talent in 2010. He composed and scored Wake Up Sid, wrote all the songs and the background score of Udaan, and became a leading composer of the 2010s Hindi new wave with Lootera, Queen and Andhadhun, for which he wrote nine songs. His indie-pop sound combines electronic textures with traditional elements. He composed the anthology Bombay Talkies (2013), whose song 'Apna Bombay Talkies' brings together many stars including Aamir Khan, and Advait Chandan's Secret Superstar (2017), produced by Aamir Khan Productions. Written for a teenage singer, its songs made Meghna Mishra a Filmfare winner and brought Trivedi the second of three consecutive Filmfare nominations, for Udta Punjab, Secret Superstar and Manmarziyaan.</t>
        </is>
      </c>
      <c r="T32" s="5" t="inlineStr">
        <is>
          <t>SOURCE-116; SOURCE-051; SOURCE-056</t>
        </is>
      </c>
      <c r="U32" s="5" t="inlineStr">
        <is>
          <t>Medium</t>
        </is>
      </c>
    </row>
    <row r="33" ht="79" customHeight="1">
      <c r="A33" s="15" t="inlineStr">
        <is>
          <t>PERSON-032</t>
        </is>
      </c>
      <c r="B33" s="5" t="inlineStr">
        <is>
          <t>Anurag Kashyap</t>
        </is>
      </c>
      <c r="C33" s="5" t="inlineStr">
        <is>
          <t>Writer; Director (anthology segment)</t>
        </is>
      </c>
      <c r="D33" s="18" t="n"/>
      <c r="E33" s="18" t="n"/>
      <c r="F33" s="5" t="inlineStr">
        <is>
          <t>1997–present</t>
        </is>
      </c>
      <c r="G33" s="5" t="inlineStr">
        <is>
          <t>Hindi cinema</t>
        </is>
      </c>
      <c r="H33" s="5" t="inlineStr">
        <is>
          <t>A Hindi-film director and actor who rose as a co-writer for Ram Gopal Varma and became the leading figure of independent Hindi cinema.</t>
        </is>
      </c>
      <c r="I33" s="5" t="inlineStr">
        <is>
          <t>Co-writer of Satya (1998); directorial debut Paanch (unreleased).</t>
        </is>
      </c>
      <c r="J33" s="5" t="inlineStr">
        <is>
          <t>With Khan: Talaash (2012, writer), Bombay Talkies (2013, segment director). Wider work: Black Friday, Dev.D, Gangs of Wasseypur.</t>
        </is>
      </c>
      <c r="K33" s="19" t="inlineStr">
        <is>
          <t>Crime and urban violence.</t>
        </is>
      </c>
      <c r="L33" s="19" t="n"/>
      <c r="M33" s="5" t="inlineStr">
        <is>
          <t>Four Filmfare Awards; Knight of the Order of Arts and Letters.</t>
        </is>
      </c>
      <c r="N33" s="19" t="n"/>
      <c r="O33" s="19" t="inlineStr">
        <is>
          <t>Two films: he co-wrote the dialogue of Reema Kagti's Talaash, with Khan as a police inspector, a hit; and directed a segment of Bombay Talkies, in which Khan appears as himself.</t>
        </is>
      </c>
      <c r="P33" s="17" t="n">
        <v>2</v>
      </c>
      <c r="Q33" s="5" t="inlineStr">
        <is>
          <t>FILM-044; FILM-045</t>
        </is>
      </c>
      <c r="R33" s="5" t="inlineStr">
        <is>
          <t>Talaash: The Answer Lies Within (2012)</t>
        </is>
      </c>
      <c r="S33" s="5" t="inlineStr">
        <is>
          <t>Anurag Kashyap broke through as co-writer of Satya (1998) and became the central figure of the Hindi indie wave with Black Friday, Dev.D and Gangs of Wasseypur. He contributed dialogue to Talaash (2012), Reema Kagti's thriller starring Aamir Khan as a policeman investigating a film star's death while mourning his son, and directed one segment of Bombay Talkies (2013), the centenary anthology in which Khan makes a self appearance. His birth year is given inconsistently in his article (1972 and 1970) and is left blank.</t>
        </is>
      </c>
      <c r="T33" s="5" t="inlineStr">
        <is>
          <t>SOURCE-127; SOURCE-050; SOURCE-051</t>
        </is>
      </c>
      <c r="U33" s="5" t="inlineStr">
        <is>
          <t>Medium</t>
        </is>
      </c>
    </row>
    <row r="34" ht="109" customHeight="1">
      <c r="A34" s="15" t="inlineStr">
        <is>
          <t>PERSON-033</t>
        </is>
      </c>
      <c r="B34" s="5" t="inlineStr">
        <is>
          <t>Aparna Purohit</t>
        </is>
      </c>
      <c r="C34" s="5" t="inlineStr">
        <is>
          <t>Producer</t>
        </is>
      </c>
      <c r="D34" s="18" t="n"/>
      <c r="E34" s="18" t="n"/>
      <c r="F34" s="5" t="n"/>
      <c r="G34" s="5" t="inlineStr">
        <is>
          <t>Hindi cinema</t>
        </is>
      </c>
      <c r="H34" s="5" t="inlineStr">
        <is>
          <t>A producer credited on 2 films in this filmography, with no Wikipedia article of their own.</t>
        </is>
      </c>
      <c r="I34" s="5" t="n"/>
      <c r="J34" s="5" t="inlineStr">
        <is>
          <t>With Khan: Sitaare Zameen Par (2025) and Happy Patel: Khatarnak Jasoos (2026).</t>
        </is>
      </c>
      <c r="K34" s="19" t="n"/>
      <c r="L34" s="19" t="n"/>
      <c r="M34" s="5" t="n"/>
      <c r="N34" s="19" t="n"/>
      <c r="O34" s="19" t="inlineStr">
        <is>
          <t>2 films with Khan, credited as producer: Sitaare Zameen Par (2025), directed by R. S. Prasanna, with Khan in the lead as Gulshan Arora; verdict: Hit. Happy Patel: Khatarnak Jasoos (2026), directed by Vir Das and Kavi Shastri, with Khan in a cameo as Jimmy Mario.</t>
        </is>
      </c>
      <c r="P34" s="17" t="n">
        <v>2</v>
      </c>
      <c r="Q34" s="5" t="inlineStr">
        <is>
          <t>FILM-055; FILM-057</t>
        </is>
      </c>
      <c r="R34" s="5" t="inlineStr">
        <is>
          <t>Sitaare Zameen Par (2025)</t>
        </is>
      </c>
      <c r="S34" s="5" t="inlineStr">
        <is>
          <t>Aparna Purohit is credited as producer on Sitaare Zameen Par (2025) and Happy Patel: Khatarnak Jasoos (2026). No Wikipedia article or other independent biography was located; this row is built from the film credits alone.</t>
        </is>
      </c>
      <c r="T34" s="5" t="inlineStr">
        <is>
          <t>SOURCE-061; SOURCE-063</t>
        </is>
      </c>
      <c r="U34" s="5" t="inlineStr">
        <is>
          <t>Low</t>
        </is>
      </c>
    </row>
    <row r="35" ht="109" customHeight="1">
      <c r="A35" s="15" t="inlineStr">
        <is>
          <t>PERSON-034</t>
        </is>
      </c>
      <c r="B35" s="5" t="inlineStr">
        <is>
          <t>Ashok Thakeria</t>
        </is>
      </c>
      <c r="C35" s="5" t="inlineStr">
        <is>
          <t>Producer</t>
        </is>
      </c>
      <c r="D35" s="18" t="n"/>
      <c r="E35" s="18" t="n"/>
      <c r="F35" s="5" t="n"/>
      <c r="G35" s="5" t="inlineStr">
        <is>
          <t>Hindi cinema</t>
        </is>
      </c>
      <c r="H35" s="5" t="inlineStr">
        <is>
          <t>A producer credited on 2 films in this filmography, with no Wikipedia article of their own.</t>
        </is>
      </c>
      <c r="I35" s="5" t="n"/>
      <c r="J35" s="5" t="inlineStr">
        <is>
          <t>With Khan: Dil (1990) and Mann (1999).</t>
        </is>
      </c>
      <c r="K35" s="19" t="n"/>
      <c r="L35" s="19" t="n"/>
      <c r="M35" s="5" t="n"/>
      <c r="N35" s="19" t="n"/>
      <c r="O35" s="19" t="inlineStr">
        <is>
          <t>2 films with Khan, credited as producer: Dil (1990), directed by Indra Kumar, with Khan in the lead as Raja Prasad; verdict: Highest-grossing film of the year. Mann (1999), directed by Indra Kumar, with Khan in the lead as Dev Karan Singh; verdict: Profitable.</t>
        </is>
      </c>
      <c r="P35" s="17" t="n">
        <v>2</v>
      </c>
      <c r="Q35" s="5" t="inlineStr">
        <is>
          <t>FILM-009; FILM-030</t>
        </is>
      </c>
      <c r="R35" s="5" t="inlineStr">
        <is>
          <t>Dil (1990)</t>
        </is>
      </c>
      <c r="S35" s="5" t="inlineStr">
        <is>
          <t>Ashok Thakeria is credited as producer on Dil (1990) and Mann (1999). No Wikipedia article or other independent biography was located; this row is built from the film credits alone.</t>
        </is>
      </c>
      <c r="T35" s="5" t="inlineStr">
        <is>
          <t>SOURCE-014; SOURCE-037</t>
        </is>
      </c>
      <c r="U35" s="5" t="inlineStr">
        <is>
          <t>Low</t>
        </is>
      </c>
    </row>
    <row r="36" ht="109" customHeight="1">
      <c r="A36" s="15" t="inlineStr">
        <is>
          <t>PERSON-035</t>
        </is>
      </c>
      <c r="B36" s="5" t="inlineStr">
        <is>
          <t>Atul Raninga</t>
        </is>
      </c>
      <c r="C36" s="5" t="inlineStr">
        <is>
          <t>Background-score composer</t>
        </is>
      </c>
      <c r="D36" s="18" t="n"/>
      <c r="E36" s="18" t="n"/>
      <c r="F36" s="5" t="n"/>
      <c r="G36" s="5" t="inlineStr">
        <is>
          <t>Hindi cinema</t>
        </is>
      </c>
      <c r="H36" s="5" t="inlineStr">
        <is>
          <t>A background-score composer credited on 2 films in this filmography, with no Wikipedia article of their own.</t>
        </is>
      </c>
      <c r="I36" s="5" t="n"/>
      <c r="J36" s="5" t="inlineStr">
        <is>
          <t>With Khan: 3 Idiots (2009) and PK (2014).</t>
        </is>
      </c>
      <c r="K36" s="19" t="n"/>
      <c r="L36" s="19" t="n"/>
      <c r="M36" s="5" t="n"/>
      <c r="N36" s="19" t="n"/>
      <c r="O36" s="19" t="inlineStr">
        <is>
          <t>2 films with Khan, credited as background-score composer: 3 Idiots (2009), directed by Rajkumar Hirani, with Khan in the lead as Ranchhoddas "Rancho" Shamaldas Chanchad; verdict: All-time blockbuster. PK (2014), directed by Rajkumar Hirani, with Khan in the lead as PK; verdict: All-time blockbuster.</t>
        </is>
      </c>
      <c r="P36" s="17" t="n">
        <v>2</v>
      </c>
      <c r="Q36" s="5" t="inlineStr">
        <is>
          <t>FILM-041; FILM-047</t>
        </is>
      </c>
      <c r="R36" s="5" t="inlineStr">
        <is>
          <t>3 Idiots (2009)</t>
        </is>
      </c>
      <c r="S36" s="5" t="inlineStr">
        <is>
          <t>Atul Raninga is credited as background-score composer on 3 Idiots (2009) and PK (2014). No Wikipedia article or other independent biography was located; this row is built from the film credits alone.</t>
        </is>
      </c>
      <c r="T36" s="5" t="inlineStr">
        <is>
          <t>SOURCE-047; SOURCE-053</t>
        </is>
      </c>
      <c r="U36" s="5" t="inlineStr">
        <is>
          <t>Low</t>
        </is>
      </c>
    </row>
    <row r="37" ht="94" customHeight="1">
      <c r="A37" s="15" t="inlineStr">
        <is>
          <t>PERSON-036</t>
        </is>
      </c>
      <c r="B37" s="5" t="inlineStr">
        <is>
          <t>Bunty Soorma</t>
        </is>
      </c>
      <c r="C37" s="5" t="inlineStr">
        <is>
          <t>Producer</t>
        </is>
      </c>
      <c r="D37" s="18" t="n"/>
      <c r="E37" s="18" t="n"/>
      <c r="F37" s="5" t="n"/>
      <c r="G37" s="5" t="inlineStr">
        <is>
          <t>Hindi cinema</t>
        </is>
      </c>
      <c r="H37" s="5" t="inlineStr">
        <is>
          <t>A producer credited on 2 films in this filmography, with no Wikipedia article of their own.</t>
        </is>
      </c>
      <c r="I37" s="5" t="n"/>
      <c r="J37" s="5" t="inlineStr">
        <is>
          <t>With Khan: Damini (1993) and Raja Hindustani (1996).</t>
        </is>
      </c>
      <c r="K37" s="19" t="n"/>
      <c r="L37" s="19" t="n"/>
      <c r="M37" s="5" t="n"/>
      <c r="N37" s="19" t="n"/>
      <c r="O37" s="19" t="inlineStr">
        <is>
          <t>2 films with Khan, credited as producer: Damini (1993), directed by Rajkumar Santoshi, with Khan in a self appearance. Raja Hindustani (1996), directed by Dharmesh Darshan, with Khan in the lead as Raja Hindustani; verdict: All-time blockbuster.</t>
        </is>
      </c>
      <c r="P37" s="17" t="n">
        <v>2</v>
      </c>
      <c r="Q37" s="5" t="inlineStr">
        <is>
          <t>FILM-017; FILM-026</t>
        </is>
      </c>
      <c r="R37" s="5" t="inlineStr">
        <is>
          <t>Raja Hindustani (1996)</t>
        </is>
      </c>
      <c r="S37" s="5" t="inlineStr">
        <is>
          <t>Bunty Soorma is credited as producer on Damini (1993) and Raja Hindustani (1996). No Wikipedia article or other independent biography was located; this row is built from the film credits alone.</t>
        </is>
      </c>
      <c r="T37" s="5" t="inlineStr">
        <is>
          <t>SOURCE-023; SOURCE-032</t>
        </is>
      </c>
      <c r="U37" s="5" t="inlineStr">
        <is>
          <t>Low</t>
        </is>
      </c>
    </row>
    <row r="38" ht="94" customHeight="1">
      <c r="A38" s="15" t="inlineStr">
        <is>
          <t>PERSON-037</t>
        </is>
      </c>
      <c r="B38" s="5" t="inlineStr">
        <is>
          <t>Cineyug Films</t>
        </is>
      </c>
      <c r="C38" s="5" t="inlineStr">
        <is>
          <t>Production banner</t>
        </is>
      </c>
      <c r="D38" s="18" t="n"/>
      <c r="E38" s="18" t="n"/>
      <c r="F38" s="5" t="n"/>
      <c r="G38" s="5" t="inlineStr">
        <is>
          <t>Hindi cinema</t>
        </is>
      </c>
      <c r="H38" s="5" t="inlineStr">
        <is>
          <t>A production banner credited on 2 films in this filmography, with no Wikipedia article of its own.</t>
        </is>
      </c>
      <c r="I38" s="5" t="n"/>
      <c r="J38" s="5" t="inlineStr">
        <is>
          <t>With Khan: Damini (1993) and Raja Hindustani (1996).</t>
        </is>
      </c>
      <c r="K38" s="19" t="n"/>
      <c r="L38" s="19" t="n"/>
      <c r="M38" s="5" t="n"/>
      <c r="N38" s="19" t="n"/>
      <c r="O38" s="19" t="inlineStr">
        <is>
          <t>2 films with Khan, credited as production banner: Damini (1993), directed by Rajkumar Santoshi, with Khan in a self appearance. Raja Hindustani (1996), directed by Dharmesh Darshan, with Khan in the lead as Raja Hindustani; verdict: All-time blockbuster.</t>
        </is>
      </c>
      <c r="P38" s="17" t="n">
        <v>2</v>
      </c>
      <c r="Q38" s="5" t="inlineStr">
        <is>
          <t>FILM-017; FILM-026</t>
        </is>
      </c>
      <c r="R38" s="5" t="inlineStr">
        <is>
          <t>Raja Hindustani (1996)</t>
        </is>
      </c>
      <c r="S38" s="5" t="inlineStr">
        <is>
          <t>Cineyug Films is credited as production banner on Damini (1993) and Raja Hindustani (1996). No Wikipedia article or other independent biography was located for the company; this row is built from the film credits alone.</t>
        </is>
      </c>
      <c r="T38" s="5" t="inlineStr">
        <is>
          <t>SOURCE-023; SOURCE-032</t>
        </is>
      </c>
      <c r="U38" s="5" t="inlineStr">
        <is>
          <t>Low</t>
        </is>
      </c>
    </row>
    <row r="39" ht="154" customHeight="1">
      <c r="A39" s="15" t="inlineStr">
        <is>
          <t>PERSON-038</t>
        </is>
      </c>
      <c r="B39" s="5" t="inlineStr">
        <is>
          <t>Dharmesh Darshan</t>
        </is>
      </c>
      <c r="C39" s="5" t="inlineStr">
        <is>
          <t>Director; writer</t>
        </is>
      </c>
      <c r="D39" s="17" t="n">
        <v>1967</v>
      </c>
      <c r="E39" s="18" t="n"/>
      <c r="F39" s="5" t="inlineStr">
        <is>
          <t>1993–2006</t>
        </is>
      </c>
      <c r="G39" s="5" t="inlineStr">
        <is>
          <t>Hindi</t>
        </is>
      </c>
      <c r="H39" s="5" t="inlineStr">
        <is>
          <t>Brother of producer Suneel Darshan; nephew of Mahesh and Mukesh Bhatt.</t>
        </is>
      </c>
      <c r="I39" s="5" t="inlineStr">
        <is>
          <t>Lootere (1993), an action romance with Sunny Deol and Juhi Chawla; breakthrough with Raja Hindustani (1996).</t>
        </is>
      </c>
      <c r="J39" s="5" t="inlineStr">
        <is>
          <t>Lootere (1993); Raja Hindustani (1996); Mela (2000); Dhadkan (2000); Haan Maine Bhi Pyaar Kiya (2002); Bewafaa (2005); Aap Ki Khatir (2006)</t>
        </is>
      </c>
      <c r="K39" s="19" t="inlineStr">
        <is>
          <t>Romantic melodrama, class and family obstacles</t>
        </is>
      </c>
      <c r="L39" s="19" t="inlineStr">
        <is>
          <t>Mainstream romance, often drawn from earlier Indian or international films.</t>
        </is>
      </c>
      <c r="M39" s="5" t="inlineStr">
        <is>
          <t>Screen Award for Best Director (Raja Hindustani, 1997); two Filmfare nominations</t>
        </is>
      </c>
      <c r="N39" s="19" t="inlineStr">
        <is>
          <t>One of the youngest successful directors of his generation, alongside Sooraj Barjatya and Karan Johar.</t>
        </is>
      </c>
      <c r="O39" s="19" t="inlineStr">
        <is>
          <t>Directed Aamir Khan's biggest 1990s romantic hit and the poorly received Mela.</t>
        </is>
      </c>
      <c r="P39" s="17" t="n">
        <v>2</v>
      </c>
      <c r="Q39" s="5" t="inlineStr">
        <is>
          <t>FILM-026; FILM-032</t>
        </is>
      </c>
      <c r="R39" s="5" t="inlineStr">
        <is>
          <t>Raja Hindustani (1996)</t>
        </is>
      </c>
      <c r="S39" s="5" t="inlineStr">
        <is>
          <t>Dharmesh Darshan, born in 1967, is the brother of producer Suneel Darshan and a nephew of Mahesh and Mukesh Bhatt. He debuted with Lootere (1993) and, at under thirty, had a major blockbuster with Raja Hindustani (1996). Inspired by Jab Jab Phool Khile, it cast Aamir Khan as a proud small-town taxi driver who marries a rich woman, played by Karisma Kapoor, and is separated from her by her scheming stepmother. It grossed ₹76.34 crore worldwide, the highest of 1996, and won five Filmfare awards, including Aamir's first Best Actor award, plus a Screen Award for Best Director for Darshan. He reunited with Aamir on Mela (2000), a masala adventure co-starring Aamir's brother Faisal Khan and Twinkle Khanna, co-written from a story by Suneel Darshan. His biography calls it a major commercial disaster with highly negative reviews, though Rediff called Aamir its saving grace. The same year he had a hit with Dhadkan. Later films included Haan Maine Bhi Pyaar Kiya, Bewafaa, which did well overseas, and Aap Ki Khatir (2006), after which he stopped directing.</t>
        </is>
      </c>
      <c r="T39" s="5" t="inlineStr">
        <is>
          <t>SOURCE-095; SOURCE-032; SOURCE-038</t>
        </is>
      </c>
      <c r="U39" s="5" t="inlineStr">
        <is>
          <t>Medium</t>
        </is>
      </c>
    </row>
    <row r="40" ht="94" customHeight="1">
      <c r="A40" s="15" t="inlineStr">
        <is>
          <t>PERSON-039</t>
        </is>
      </c>
      <c r="B40" s="5" t="inlineStr">
        <is>
          <t>Dilip Shukla</t>
        </is>
      </c>
      <c r="C40" s="5" t="inlineStr">
        <is>
          <t>Writer</t>
        </is>
      </c>
      <c r="D40" s="18" t="n"/>
      <c r="E40" s="18" t="n"/>
      <c r="F40" s="5" t="n"/>
      <c r="G40" s="5" t="inlineStr">
        <is>
          <t>Hindi cinema</t>
        </is>
      </c>
      <c r="H40" s="5" t="inlineStr">
        <is>
          <t>A writer credited on 2 films in this filmography, with no Wikipedia article of their own.</t>
        </is>
      </c>
      <c r="I40" s="5" t="n"/>
      <c r="J40" s="5" t="inlineStr">
        <is>
          <t>With Khan: Damini (1993) and Andaz Apna Apna (1994).</t>
        </is>
      </c>
      <c r="K40" s="19" t="n"/>
      <c r="L40" s="19" t="n"/>
      <c r="M40" s="5" t="n"/>
      <c r="N40" s="19" t="n"/>
      <c r="O40" s="19" t="inlineStr">
        <is>
          <t>2 films with Khan, credited as writer: Damini (1993), directed by Rajkumar Santoshi, with Khan in a self appearance. Andaz Apna Apna (1994), directed by Rajkumar Santoshi, with Khan in the lead as Amar Manohar; verdict: Commercially unsuccessful.</t>
        </is>
      </c>
      <c r="P40" s="17" t="n">
        <v>2</v>
      </c>
      <c r="Q40" s="5" t="inlineStr">
        <is>
          <t>FILM-017; FILM-021</t>
        </is>
      </c>
      <c r="R40" s="5" t="inlineStr">
        <is>
          <t>Andaz Apna Apna (1994)</t>
        </is>
      </c>
      <c r="S40" s="5" t="inlineStr">
        <is>
          <t>Dilip Shukla is credited as writer on Damini (1993) and Andaz Apna Apna (1994). No Wikipedia article or other independent biography was located; this row is built from the film credits alone.</t>
        </is>
      </c>
      <c r="T40" s="5" t="inlineStr">
        <is>
          <t>SOURCE-023; SOURCE-027</t>
        </is>
      </c>
      <c r="U40" s="5" t="inlineStr">
        <is>
          <t>Low</t>
        </is>
      </c>
    </row>
    <row r="41" ht="79" customHeight="1">
      <c r="A41" s="15" t="inlineStr">
        <is>
          <t>PERSON-040</t>
        </is>
      </c>
      <c r="B41" s="5" t="inlineStr">
        <is>
          <t>Jhamu Sughand</t>
        </is>
      </c>
      <c r="C41" s="5" t="inlineStr">
        <is>
          <t>Producer</t>
        </is>
      </c>
      <c r="D41" s="17" t="n">
        <v>1951</v>
      </c>
      <c r="E41" s="17" t="n">
        <v>2008</v>
      </c>
      <c r="F41" s="5" t="n"/>
      <c r="G41" s="5" t="inlineStr">
        <is>
          <t>Hindi cinema</t>
        </is>
      </c>
      <c r="H41" s="5" t="inlineStr">
        <is>
          <t>A film financier, producer and distributor from Deolali who started in his family's cloth business, ran a film-merchandise printing press in Mumbai from 1979 and moved into distribution in 1988.</t>
        </is>
      </c>
      <c r="I41" s="5" t="inlineStr">
        <is>
          <t>First acclaim as distributor of Mani Ratnam's Bombay (1995).</t>
        </is>
      </c>
      <c r="J41" s="5" t="inlineStr">
        <is>
          <t>With Khan: Rangeela (1995), Lagaan (2001), as co-producer. Wider work: Satya, Hum Dil De Chuke Sanam, Aks, Astitva, Kaalpurush.</t>
        </is>
      </c>
      <c r="K41" s="19" t="inlineStr">
        <is>
          <t>Financing both mainstream and parallel films.</t>
        </is>
      </c>
      <c r="L41" s="19" t="n"/>
      <c r="M41" s="5" t="inlineStr">
        <is>
          <t>National Film Awards for Astitva (Best Marathi Film) and Kaalpurush (Best Feature Film).</t>
        </is>
      </c>
      <c r="N41" s="19" t="n"/>
      <c r="O41" s="19" t="inlineStr">
        <is>
          <t>Co-produced two of Khan's landmark films: Rangeela, a blockbuster, and Lagaan, the first production of Aamir Khan Productions, which was nominated for the Academy Award for Best Foreign Language Film.</t>
        </is>
      </c>
      <c r="P41" s="17" t="n">
        <v>2</v>
      </c>
      <c r="Q41" s="5" t="inlineStr">
        <is>
          <t>FILM-024; FILM-033</t>
        </is>
      </c>
      <c r="R41" s="5" t="inlineStr">
        <is>
          <t>Lagaan (2001)</t>
        </is>
      </c>
      <c r="S41" s="5" t="inlineStr">
        <is>
          <t>Jhamu Sughand distributed more than a hundred films after moving into distribution in 1988 and became a producer known for backing ambitious projects: Satya, Hum Dil De Chuke Sanam, the National Award winners Astitva and Kaalpurush, and two key Aamir Khan films. He co-produced Ram Gopal Varma's Rangeela (1995) and Ashutosh Gowariker's Lagaan (2001), the cricket epic that Khan produced and starred in, which was nominated for the Academy Award. Sughand died on 26 May 2008.</t>
        </is>
      </c>
      <c r="T41" s="5" t="inlineStr">
        <is>
          <t>SOURCE-128; SOURCE-030; SOURCE-039</t>
        </is>
      </c>
      <c r="U41" s="5" t="inlineStr">
        <is>
          <t>Medium</t>
        </is>
      </c>
    </row>
    <row r="42" ht="94" customHeight="1">
      <c r="A42" s="15" t="inlineStr">
        <is>
          <t>PERSON-041</t>
        </is>
      </c>
      <c r="B42" s="5" t="inlineStr">
        <is>
          <t>Kamlesh Pandey</t>
        </is>
      </c>
      <c r="C42" s="5" t="inlineStr">
        <is>
          <t>Writer</t>
        </is>
      </c>
      <c r="D42" s="18" t="n"/>
      <c r="E42" s="18" t="n"/>
      <c r="F42" s="5" t="n"/>
      <c r="G42" s="5" t="inlineStr">
        <is>
          <t>Hindi cinema</t>
        </is>
      </c>
      <c r="H42" s="5" t="inlineStr">
        <is>
          <t>A screenwriter and dialogue writer from Ballia, Uttar Pradesh, with more than 40 films, who was head of programming at Zee TV from 1992 to 1995 and teaches screenwriting at Whistling Woods.</t>
        </is>
      </c>
      <c r="I42" s="5" t="inlineStr">
        <is>
          <t>Film writing from 1987; television: Karamchand.</t>
        </is>
      </c>
      <c r="J42" s="5" t="inlineStr">
        <is>
          <t>With Khan: Dil (1990), Rang De Basanti (2006). Wider work: Tezaab, Saudagar.</t>
        </is>
      </c>
      <c r="K42" s="19" t="inlineStr">
        <is>
          <t>High-drama mainstream dialogue; later political drama.</t>
        </is>
      </c>
      <c r="L42" s="19" t="n"/>
      <c r="M42" s="5" t="inlineStr">
        <is>
          <t>Filmfare Award for Tezaab; Screen Award for Saudagar; IIFA Award for Rang De Basanti.</t>
        </is>
      </c>
      <c r="N42" s="19" t="n"/>
      <c r="O42" s="19" t="inlineStr">
        <is>
          <t>Two films sixteen years apart: Indra Kumar's Dil, the highest-grossing film of 1990, and Rakeysh Omprakash Mehra's Rang De Basanti, which he co-wrote and which became one of Khan's most influential films.</t>
        </is>
      </c>
      <c r="P42" s="17" t="n">
        <v>2</v>
      </c>
      <c r="Q42" s="5" t="inlineStr">
        <is>
          <t>FILM-009; FILM-036</t>
        </is>
      </c>
      <c r="R42" s="5" t="inlineStr">
        <is>
          <t>Rang De Basanti (2006)</t>
        </is>
      </c>
      <c r="S42" s="5" t="inlineStr">
        <is>
          <t>Kamlesh Pandey wrote dialogue for a run of big 1980s and 1990s hits, including Tezaab, Saudagar and Dil (1990), Indra Kumar's romance in which Aamir Khan and Madhuri Dixit play the children of feuding fathers; it was the year's top grosser. At Zee TV he revived Antakshari and launched a slate of early satellite shows. He co-wrote the story and screenplay of Rang De Basanti (2006), Rakeysh Omprakash Mehra's drama in which Khan's carefree student DJ is radicalised while acting in a film about Bhagat Singh; it won Pandey an IIFA Award and was India's Academy Award submission.</t>
        </is>
      </c>
      <c r="T42" s="5" t="inlineStr">
        <is>
          <t>SOURCE-129; SOURCE-014; SOURCE-042</t>
        </is>
      </c>
      <c r="U42" s="5" t="inlineStr">
        <is>
          <t>Medium</t>
        </is>
      </c>
    </row>
    <row r="43" ht="109" customHeight="1">
      <c r="A43" s="15" t="inlineStr">
        <is>
          <t>PERSON-042</t>
        </is>
      </c>
      <c r="B43" s="5" t="inlineStr">
        <is>
          <t>Karim Morani</t>
        </is>
      </c>
      <c r="C43" s="5" t="inlineStr">
        <is>
          <t>Producer; production banner</t>
        </is>
      </c>
      <c r="D43" s="18" t="n"/>
      <c r="E43" s="18" t="n"/>
      <c r="F43" s="5" t="inlineStr">
        <is>
          <t>1985–2015</t>
        </is>
      </c>
      <c r="G43" s="5" t="inlineStr">
        <is>
          <t>Hindi</t>
        </is>
      </c>
      <c r="H43" s="5" t="inlineStr">
        <is>
          <t>Co-owns Cineyug, a film production and event-management company, with his brother Aly Morani.</t>
        </is>
      </c>
      <c r="I43" s="5" t="inlineStr">
        <is>
          <t>Arjun (1985).</t>
        </is>
      </c>
      <c r="J43" s="5" t="inlineStr">
        <is>
          <t>Arjun (1985); Vardi (1989); Yodha (1991); Damini (1993); Raja Hindustani (1996); Dum (2003); Ra.One (2011); Chennai Express (2013); Happy New Year (2014); Dilwale (2015)</t>
        </is>
      </c>
      <c r="K43" s="19" t="inlineStr">
        <is>
          <t>Star-driven mainstream entertainers</t>
        </is>
      </c>
      <c r="L43" s="19" t="n"/>
      <c r="M43" s="5" t="inlineStr">
        <is>
          <t>Filmfare Best Film (Raja Hindustani, credited to Cineyug)</t>
        </is>
      </c>
      <c r="N43" s="19" t="inlineStr">
        <is>
          <t>Producer and co-producer of several major commercial hits over three decades.</t>
        </is>
      </c>
      <c r="O43" s="19" t="inlineStr">
        <is>
          <t>Cineyug produced Damini, with Aamir Khan's cameo, and Raja Hindustani, his biggest romantic hit of the 1990s.</t>
        </is>
      </c>
      <c r="P43" s="17" t="n">
        <v>2</v>
      </c>
      <c r="Q43" s="5" t="inlineStr">
        <is>
          <t>FILM-017; FILM-026</t>
        </is>
      </c>
      <c r="R43" s="5" t="inlineStr">
        <is>
          <t>Raja Hindustani (1996)</t>
        </is>
      </c>
      <c r="S43" s="5" t="inlineStr">
        <is>
          <t>Karim Morani and his brother Aly Morani run Cineyug, which combines film production with event management. Its productions span Arjun (1985), Vardi, Yodha and Rajkumar Santoshi's Damini (1993), in which Aamir Khan makes a cameo, through to later hits such as Ra.One, Chennai Express, Happy New Year and Dilwale. Cineyug's most significant film with Aamir Khan was Raja Hindustani (1996), produced by Ali Morani, Karim Morani and Bunty Soorma and directed by Dharmesh Darshan. Declared an all-time blockbuster and the highest-grossing film of 1996, it won the Filmfare Best Film award, credited to Cineyug, and Aamir's first Filmfare Best Actor award.</t>
        </is>
      </c>
      <c r="T43" s="5" t="inlineStr">
        <is>
          <t>SOURCE-090; SOURCE-023; SOURCE-032</t>
        </is>
      </c>
      <c r="U43" s="5" t="inlineStr">
        <is>
          <t>Medium</t>
        </is>
      </c>
    </row>
    <row r="44" ht="184" customHeight="1">
      <c r="A44" s="15" t="inlineStr">
        <is>
          <t>PERSON-043</t>
        </is>
      </c>
      <c r="B44" s="5" t="inlineStr">
        <is>
          <t>Ketan Mehta</t>
        </is>
      </c>
      <c r="C44" s="5" t="inlineStr">
        <is>
          <t>Director</t>
        </is>
      </c>
      <c r="D44" s="17" t="n">
        <v>1952</v>
      </c>
      <c r="E44" s="18" t="n"/>
      <c r="F44" s="5" t="inlineStr">
        <is>
          <t>1975–present</t>
        </is>
      </c>
      <c r="G44" s="5" t="inlineStr">
        <is>
          <t>Hindi; Gujarati</t>
        </is>
      </c>
      <c r="H44" s="5" t="inlineStr">
        <is>
          <t>Born in Navsari, Gujarat; trained at the Film and Television Institute of India, then made documentaries for ISRO in Gujarat.</t>
        </is>
      </c>
      <c r="I44" s="5" t="inlineStr">
        <is>
          <t>Bhavni Bhavai (1980), a Gujarati film that won the National Film Award for Best Feature Film on National Integration.</t>
        </is>
      </c>
      <c r="J44" s="5" t="inlineStr">
        <is>
          <t>Bhavni Bhavai (1980); Holi (1984); Mirch Masala (1985); Maya Memsaab (1993); Sardar (1993); Mangal Pandey: The Rising (2005); Rang Rasiya (2014); Manjhi: The Mountain Man (2015)</t>
        </is>
      </c>
      <c r="K44" s="19" t="inlineStr">
        <is>
          <t>Comedy, satire, romance, violence and rebellion; social and political history</t>
        </is>
      </c>
      <c r="L44" s="19" t="inlineStr">
        <is>
          <t>Rooted in parallel cinema, moving later to larger historical and biographical productions.</t>
        </is>
      </c>
      <c r="M44" s="5" t="inlineStr">
        <is>
          <t>Two National Film Awards; Ordre des Arts et des Lettres (2010)</t>
        </is>
      </c>
      <c r="N44" s="19" t="inlineStr">
        <is>
          <t>A leading figure of Indian parallel cinema of the 1980s whose films addressed caste, gender and rebellion.</t>
        </is>
      </c>
      <c r="O44" s="19" t="inlineStr">
        <is>
          <t>Gave Aamir Khan his first adult screen role in Holi and directed his comeback film Mangal Pandey: The Rising two decades later.</t>
        </is>
      </c>
      <c r="P44" s="17" t="n">
        <v>2</v>
      </c>
      <c r="Q44" s="5" t="inlineStr">
        <is>
          <t>FILM-003; FILM-035</t>
        </is>
      </c>
      <c r="R44" s="5" t="inlineStr">
        <is>
          <t>Holi (1984)</t>
        </is>
      </c>
      <c r="S44" s="5" t="inlineStr">
        <is>
          <t>Ketan Mehta was born in 1952 in Navsari, Gujarat, and studied at the Film and Television Institute of India before making documentaries in Gujarat as a television producer for the Indian Space Research Organisation. His first feature, the Gujarati Bhavni Bhavai (1980), won the National Film Award for Best Feature Film on National Integration and established him in the parallel-cinema movement. Holi (1984), a largely improvised drama about a student revolt in a college hostel, followed; it gave Aamir Khan, credited as Aamir Hussain, his first adult role alongside Naseeruddin Shah, Om Puri and the future director Ashutosh Gowariker. Mirch Masala (1985) was nominated for the Golden Prize at the Moscow festival, and he went on to make Maya Memsaab and the biopic Sardar, which won a National Film Award. His interest in comedy, satire, romance, violence and rebellion carried into Mangal Pandey: The Rising (2005), a large historical production with Aamir Khan as the sepoy who helped spark the 1857 rebellion. The film marked Aamir's return after four years away, earned him a Filmfare nomination and drew political protests over its depiction of Pandey. Later films include Rang Rasiya and Manjhi: The Mountain Man. He is married to actress Deepa Sahi, a producer of Mangal Pandey.</t>
        </is>
      </c>
      <c r="T44" s="5" t="inlineStr">
        <is>
          <t>SOURCE-078; SOURCE-006; SOURCE-041</t>
        </is>
      </c>
      <c r="U44" s="5" t="inlineStr">
        <is>
          <t>Medium</t>
        </is>
      </c>
    </row>
    <row r="45" ht="184" customHeight="1">
      <c r="A45" s="15" t="inlineStr">
        <is>
          <t>PERSON-044</t>
        </is>
      </c>
      <c r="B45" s="5" t="inlineStr">
        <is>
          <t>Mahesh Bhatt</t>
        </is>
      </c>
      <c r="C45" s="5" t="inlineStr">
        <is>
          <t>Director; producer; screenwriter</t>
        </is>
      </c>
      <c r="D45" s="17" t="n">
        <v>1948</v>
      </c>
      <c r="E45" s="18" t="n"/>
      <c r="F45" s="5" t="inlineStr">
        <is>
          <t>1974–present (director until 1999)</t>
        </is>
      </c>
      <c r="G45" s="5" t="inlineStr">
        <is>
          <t>Hindi</t>
        </is>
      </c>
      <c r="H45" s="5" t="inlineStr">
        <is>
          <t>Son of director Nanabhai Bhatt and Shirin Mohammad Ali; assistant director to Raj Khosla.</t>
        </is>
      </c>
      <c r="I45" s="5" t="inlineStr">
        <is>
          <t>Manzilein Aur Bhi Hain (1974); breakthrough with Arth (1982); Saaransh (1984) was India's Academy Award submission.</t>
        </is>
      </c>
      <c r="J45" s="5" t="inlineStr">
        <is>
          <t>Arth (1982); Saaransh (1984); Aashiqui (1990); Dil Hai Ke Manta Nahin (1991); Sadak (1991); Sir (1993); Hum Hain Rahi Pyar Ke (1993); Tamanna (1997); Zakhm (1998)</t>
        </is>
      </c>
      <c r="K45" s="19" t="inlineStr">
        <is>
          <t>Autobiographical relationships, illegitimacy and infidelity; later commercial romance</t>
        </is>
      </c>
      <c r="L45" s="19" t="inlineStr">
        <is>
          <t>Unconventional narratives and bold themes, balanced in the 1990s with music-driven commercial films.</t>
        </is>
      </c>
      <c r="M45" s="5" t="inlineStr">
        <is>
          <t>Five National Film Awards (including for Hum Hain Rahi Pyar Ke, Tamanna and Zakhm); four Filmfare Awards</t>
        </is>
      </c>
      <c r="N45" s="19" t="inlineStr">
        <is>
          <t>One of the most prominent Hindi filmmakers of the 1980s and 1990s; co-founded Vishesh Films and mentored many actors.</t>
        </is>
      </c>
      <c r="O45" s="19" t="inlineStr">
        <is>
          <t>Directed two of Aamir Khan's most successful romantic comedies; Aamir co-wrote the second.</t>
        </is>
      </c>
      <c r="P45" s="17" t="n">
        <v>2</v>
      </c>
      <c r="Q45" s="5" t="inlineStr">
        <is>
          <t>FILM-013; FILM-019</t>
        </is>
      </c>
      <c r="R45" s="5" t="inlineStr">
        <is>
          <t>Hum Hain Rahi Pyar Ke (1993)</t>
        </is>
      </c>
      <c r="S45" s="5" t="inlineStr">
        <is>
          <t>Mahesh Bhatt was born in 1948 to director Nanabhai Bhatt and Shirin Mohammad Ali, and entered films as an assistant to Raj Khosla. He directed his first film, Manzilein Aur Bhi Hain, at 26, and made his name with the autobiographical Arth (1982) and Saaransh (1984), India's submission for the Academy Award. With his brother Mukesh he co-founded Vishesh Films in 1986–87, and in the 1990s he moved toward commercial romance with Aashiqui, Sadak and Dil Hai Ke Manta Nahin (1991). That film, a remake of It Happened One Night, cast Aamir Khan as a jobless journalist opposite Mahesh's daughter Pooja Bhatt; its success boosted her career and its soundtrack was widely praised. Two years later Bhatt directed Aamir in Hum Hain Rahi Pyar Ke (1993), a Houseboat-inspired family romance for which Aamir co-wrote the screenplay and dialogue with Robin Bhatt. It won the Filmfare Best Film award and Best Actress for Juhi Chawla, and a National Film Award Special Mention for Bhatt and producer Tahir Hussain. Bhatt stopped directing after Kartoos (1999), continuing as a writer and producer; Vishesh Films produced hits such as Raaz and Murder. He has won five National Film Awards and four Filmfare awards.</t>
        </is>
      </c>
      <c r="T45" s="5" t="inlineStr">
        <is>
          <t>SOURCE-084; SOURCE-018; SOURCE-025; SOURCE-068</t>
        </is>
      </c>
      <c r="U45" s="5" t="inlineStr">
        <is>
          <t>Medium</t>
        </is>
      </c>
    </row>
    <row r="46" ht="109" customHeight="1">
      <c r="A46" s="15" t="inlineStr">
        <is>
          <t>PERSON-045</t>
        </is>
      </c>
      <c r="B46" s="5" t="inlineStr">
        <is>
          <t>Maruti International</t>
        </is>
      </c>
      <c r="C46" s="5" t="inlineStr">
        <is>
          <t>Production banner</t>
        </is>
      </c>
      <c r="D46" s="18" t="n"/>
      <c r="E46" s="18" t="n"/>
      <c r="F46" s="5" t="n"/>
      <c r="G46" s="5" t="inlineStr">
        <is>
          <t>Hindi cinema</t>
        </is>
      </c>
      <c r="H46" s="5" t="inlineStr">
        <is>
          <t>A production banner credited on 2 films in this filmography, with no Wikipedia article of its own.</t>
        </is>
      </c>
      <c r="I46" s="5" t="n"/>
      <c r="J46" s="5" t="inlineStr">
        <is>
          <t>With Khan: Dil (1990) and Mann (1999).</t>
        </is>
      </c>
      <c r="K46" s="19" t="n"/>
      <c r="L46" s="19" t="n"/>
      <c r="M46" s="5" t="n"/>
      <c r="N46" s="19" t="n"/>
      <c r="O46" s="19" t="inlineStr">
        <is>
          <t>2 films with Khan, credited as production banner: Dil (1990), directed by Indra Kumar, with Khan in the lead as Raja Prasad; verdict: Highest-grossing film of the year. Mann (1999), directed by Indra Kumar, with Khan in the lead as Dev Karan Singh; verdict: Profitable.</t>
        </is>
      </c>
      <c r="P46" s="17" t="n">
        <v>2</v>
      </c>
      <c r="Q46" s="5" t="inlineStr">
        <is>
          <t>FILM-009; FILM-030</t>
        </is>
      </c>
      <c r="R46" s="5" t="inlineStr">
        <is>
          <t>Dil (1990)</t>
        </is>
      </c>
      <c r="S46" s="5" t="inlineStr">
        <is>
          <t>Maruti International is credited as production banner on Dil (1990) and Mann (1999). No Wikipedia article or other independent biography was located for the company; this row is built from the film credits alone.</t>
        </is>
      </c>
      <c r="T46" s="5" t="inlineStr">
        <is>
          <t>SOURCE-014; SOURCE-037</t>
        </is>
      </c>
      <c r="U46" s="5" t="inlineStr">
        <is>
          <t>Low</t>
        </is>
      </c>
    </row>
    <row r="47" ht="139" customHeight="1">
      <c r="A47" s="15" t="inlineStr">
        <is>
          <t>PERSON-046</t>
        </is>
      </c>
      <c r="B47" s="5" t="inlineStr">
        <is>
          <t>Mukesh Bhatt</t>
        </is>
      </c>
      <c r="C47" s="5" t="inlineStr">
        <is>
          <t>Producer; production banner</t>
        </is>
      </c>
      <c r="D47" s="17" t="n">
        <v>1952</v>
      </c>
      <c r="E47" s="18" t="n"/>
      <c r="F47" s="5" t="inlineStr">
        <is>
          <t>1990–present</t>
        </is>
      </c>
      <c r="G47" s="5" t="inlineStr">
        <is>
          <t>Hindi</t>
        </is>
      </c>
      <c r="H47" s="5" t="inlineStr">
        <is>
          <t>Son of director-producer Nanabhai Bhatt; younger brother of Mahesh Bhatt, with whom he co-founded Vishesh Films.</t>
        </is>
      </c>
      <c r="I47" s="5" t="inlineStr">
        <is>
          <t>Vishesh Films' early 1990s productions, including Dil Hai Ke Manta Nahin (1991).</t>
        </is>
      </c>
      <c r="J47" s="5" t="inlineStr">
        <is>
          <t>Dil Hai Ke Manta Nahin (1991); Ghulam (1998); Raaz (2002); Murder (2004); Jannat (2008); Aashiqui 2 (2013)</t>
        </is>
      </c>
      <c r="K47" s="19" t="inlineStr">
        <is>
          <t>Music-led romances, thrillers and horror franchises</t>
        </is>
      </c>
      <c r="L47" s="19" t="n"/>
      <c r="M47" s="5" t="inlineStr">
        <is>
          <t>Filmfare nominations (1992, 1999, 2003)</t>
        </is>
      </c>
      <c r="N47" s="19" t="inlineStr">
        <is>
          <t>Built Vishesh Films into a consistently profitable mid-budget studio; took sole control after the brothers split in 2021.</t>
        </is>
      </c>
      <c r="O47" s="19" t="inlineStr">
        <is>
          <t>Produced two Aamir Khan films a decade apart.</t>
        </is>
      </c>
      <c r="P47" s="17" t="n">
        <v>2</v>
      </c>
      <c r="Q47" s="5" t="inlineStr">
        <is>
          <t>FILM-013; FILM-028</t>
        </is>
      </c>
      <c r="R47" s="5" t="inlineStr">
        <is>
          <t>Ghulam (1998)</t>
        </is>
      </c>
      <c r="S47" s="5" t="inlineStr">
        <is>
          <t>Mukesh Bhatt, born in 1952, is the son of Nanabhai Bhatt and the younger brother of Mahesh Bhatt. The brothers founded Vishesh Films (1986 according to Mukesh Bhatt's article, 1987 according to Mahesh Bhatt's), and Mukesh ran the business side of a banner that went on to produce more than twenty hits. With T-Series founder Gulshan Kumar he produced Dil Hai Ke Manta Nahin (1991), Mahesh Bhatt's romantic comedy with Aamir Khan and Pooja Bhatt, which was nominated for Filmfare Best Film. He produced Ghulam (1998), directed by Vikram Bhatt and adapted from On the Waterfront, in which Aamir played a Mumbai boxer who stands up to a local gangster; it was a hit and its train-race sequence won Filmfare's Best Scene award. In the 2000s the banner became known for Raaz, Murder, Jannat and Aashiqui 2. After a professional split announced in May 2021, Mukesh Bhatt took sole control of Vishesh Films.</t>
        </is>
      </c>
      <c r="T47" s="5" t="inlineStr">
        <is>
          <t>SOURCE-085; SOURCE-084; SOURCE-018; SOURCE-034</t>
        </is>
      </c>
      <c r="U47" s="5" t="inlineStr">
        <is>
          <t>Medium</t>
        </is>
      </c>
    </row>
    <row r="48" ht="94" customHeight="1">
      <c r="A48" s="15" t="inlineStr">
        <is>
          <t>PERSON-047</t>
        </is>
      </c>
      <c r="B48" s="5" t="inlineStr">
        <is>
          <t>Nuzhat Khan</t>
        </is>
      </c>
      <c r="C48" s="5" t="inlineStr">
        <is>
          <t>Writer</t>
        </is>
      </c>
      <c r="D48" s="18" t="n"/>
      <c r="E48" s="18" t="n"/>
      <c r="F48" s="5" t="n"/>
      <c r="G48" s="5" t="inlineStr">
        <is>
          <t>Hindi cinema</t>
        </is>
      </c>
      <c r="H48" s="5" t="inlineStr">
        <is>
          <t>A writer credited on 2 films in this filmography, with no Wikipedia article of their own.</t>
        </is>
      </c>
      <c r="I48" s="5" t="n"/>
      <c r="J48" s="5" t="inlineStr">
        <is>
          <t>With Khan: Qayamat Se Qayamat Tak (1988) and Raakh (1989).</t>
        </is>
      </c>
      <c r="K48" s="19" t="n"/>
      <c r="L48" s="19" t="n"/>
      <c r="M48" s="5" t="n"/>
      <c r="N48" s="19" t="n"/>
      <c r="O48" s="19" t="inlineStr">
        <is>
          <t>2 films with Khan, credited as writer: Qayamat Se Qayamat Tak (1988), directed by Mansoor Khan, with Khan in the lead as Rajveer "Raj" Singh; verdict: Blockbuster. Raakh (1989), directed by Aditya Bhattacharya, with Khan in the lead as Amir Hussein.</t>
        </is>
      </c>
      <c r="P48" s="17" t="n">
        <v>2</v>
      </c>
      <c r="Q48" s="5" t="inlineStr">
        <is>
          <t>FILM-004; FILM-005</t>
        </is>
      </c>
      <c r="R48" s="5" t="inlineStr">
        <is>
          <t>Qayamat Se Qayamat Tak (1988)</t>
        </is>
      </c>
      <c r="S48" s="5" t="inlineStr">
        <is>
          <t>Nuzhat Khan is credited as writer on Qayamat Se Qayamat Tak (1988) and Raakh (1989). No Wikipedia article or other independent biography was located; this row is built from the film credits alone.</t>
        </is>
      </c>
      <c r="T48" s="5" t="inlineStr">
        <is>
          <t>SOURCE-007; SOURCE-008</t>
        </is>
      </c>
      <c r="U48" s="5" t="inlineStr">
        <is>
          <t>Low</t>
        </is>
      </c>
    </row>
    <row r="49" ht="94" customHeight="1">
      <c r="A49" s="15" t="inlineStr">
        <is>
          <t>PERSON-048</t>
        </is>
      </c>
      <c r="B49" s="5" t="inlineStr">
        <is>
          <t>Praful Parekh</t>
        </is>
      </c>
      <c r="C49" s="5" t="inlineStr">
        <is>
          <t>Writer</t>
        </is>
      </c>
      <c r="D49" s="18" t="n"/>
      <c r="E49" s="18" t="n"/>
      <c r="F49" s="5" t="n"/>
      <c r="G49" s="5" t="inlineStr">
        <is>
          <t>Hindi cinema</t>
        </is>
      </c>
      <c r="H49" s="5" t="inlineStr">
        <is>
          <t>A writer credited on 2 films in this filmography, with no Wikipedia article of their own.</t>
        </is>
      </c>
      <c r="I49" s="5" t="n"/>
      <c r="J49" s="5" t="inlineStr">
        <is>
          <t>With Khan: Dil (1990) and Ishq (1997).</t>
        </is>
      </c>
      <c r="K49" s="19" t="n"/>
      <c r="L49" s="19" t="n"/>
      <c r="M49" s="5" t="n"/>
      <c r="N49" s="19" t="n"/>
      <c r="O49" s="19" t="inlineStr">
        <is>
          <t>2 films with Khan, credited as writer: Dil (1990), directed by Indra Kumar, with Khan in the lead as Raja Prasad; verdict: Highest-grossing film of the year. Ishq (1997), directed by Indra Kumar, with Khan in a co-lead as Raja; verdict: Commercial success.</t>
        </is>
      </c>
      <c r="P49" s="17" t="n">
        <v>2</v>
      </c>
      <c r="Q49" s="5" t="inlineStr">
        <is>
          <t>FILM-009; FILM-027</t>
        </is>
      </c>
      <c r="R49" s="5" t="inlineStr">
        <is>
          <t>Ishq (1997)</t>
        </is>
      </c>
      <c r="S49" s="5" t="inlineStr">
        <is>
          <t>Praful Parekh is credited as writer on Dil (1990) and Ishq (1997). No Wikipedia article or other independent biography was located; this row is built from the film credits alone.</t>
        </is>
      </c>
      <c r="T49" s="5" t="inlineStr">
        <is>
          <t>SOURCE-014; SOURCE-033</t>
        </is>
      </c>
      <c r="U49" s="5" t="inlineStr">
        <is>
          <t>Low</t>
        </is>
      </c>
    </row>
    <row r="50" ht="169" customHeight="1">
      <c r="A50" s="15" t="inlineStr">
        <is>
          <t>PERSON-049</t>
        </is>
      </c>
      <c r="B50" s="5" t="inlineStr">
        <is>
          <t>R. D. Burman</t>
        </is>
      </c>
      <c r="C50" s="5" t="inlineStr">
        <is>
          <t>Music director</t>
        </is>
      </c>
      <c r="D50" s="17" t="n">
        <v>1939</v>
      </c>
      <c r="E50" s="17" t="n">
        <v>1994</v>
      </c>
      <c r="F50" s="5" t="inlineStr">
        <is>
          <t>1961–1994</t>
        </is>
      </c>
      <c r="G50" s="5" t="inlineStr">
        <is>
          <t>Hindi</t>
        </is>
      </c>
      <c r="H50" s="5" t="inlineStr">
        <is>
          <t>Son of composer S. D. Burman and Meera Dev Burman; married Asha Bhosle in 1980.</t>
        </is>
      </c>
      <c r="I50" s="5" t="inlineStr">
        <is>
          <t>Chhote Nawab (1961); breakthrough with Teesri Manzil (1966).</t>
        </is>
      </c>
      <c r="J50" s="5" t="inlineStr">
        <is>
          <t>Teesri Manzil (1966); Hare Rama Hare Krishna (1971); Yaadon Ki Baaraat (1973); Sholay (1975); Hum Kisise Kum Naheen (1977); 1942: A Love Story (1994)</t>
        </is>
      </c>
      <c r="K50" s="19" t="inlineStr">
        <is>
          <t>Youthful, dance-driven film music; experimental soundscapes</t>
        </is>
      </c>
      <c r="L50" s="19" t="inlineStr">
        <is>
          <t>Combined Western, Latin, Oriental and Arabic influences with Indian and Bengali folk elements; pioneered electronic rock and disco-rock fusion and experimental production techniques.</t>
        </is>
      </c>
      <c r="M50" s="5" t="inlineStr">
        <is>
          <t>Three Filmfare Best Music Director awards (1983, 1984, 1995 posthumously)</t>
        </is>
      </c>
      <c r="N50" s="19" t="inlineStr">
        <is>
          <t>One of the most innovative Hindi film composers, closely associated with Kishore Kumar, Lata Mangeshkar, Asha Bhosle and Mohammed Rafi.</t>
        </is>
      </c>
      <c r="O50" s="19" t="inlineStr">
        <is>
          <t>Composed both films in which Aamir Khan appeared as a child.</t>
        </is>
      </c>
      <c r="P50" s="17" t="n">
        <v>2</v>
      </c>
      <c r="Q50" s="5" t="inlineStr">
        <is>
          <t>FILM-001; FILM-002</t>
        </is>
      </c>
      <c r="R50" s="5" t="inlineStr">
        <is>
          <t>Yaadon Ki Baaraat (1973)</t>
        </is>
      </c>
      <c r="S50" s="5" t="inlineStr">
        <is>
          <t>Rahul Dev Burman, born in 1939, was the son of the composer S. D. Burman. He debuted as a music director with Chhote Nawab (1961) and broke through with Nasir Hussain's Teesri Manzil (1966), a major hit. Over the next two decades he became the defining sound of youthful Hindi cinema, writing scores for Hare Rama Hare Krishna, Yaadon Ki Baaraat, Sholay and Hum Kisise Kum Naheen, often with lyricists Majrooh Sultanpuri, Anand Bakshi and Gulzar and singers Kishore Kumar, Asha Bhosle, Lata Mangeshkar and Mohammed Rafi. His style drew on Western, Latin, Oriental and Arabic music, and he experimented with electronic rock, disco-rock fusion and unconventional recording methods. He married Asha Bhosle in 1980. He won three Filmfare Best Music Director awards, the last posthumously for 1942: A Love Story, released in the year of his death in 1994. His connection to Aamir Khan is limited to the child roles: he composed Yaadon Ki Baaraat, whose title song features eight-year-old Aamir as young Ratan, and Madhosh (1974), where Aamir played the younger Raj. Both films used Majrooh Sultanpuri's lyrics.</t>
        </is>
      </c>
      <c r="T50" s="5" t="inlineStr">
        <is>
          <t>SOURCE-076; SOURCE-004; SOURCE-005</t>
        </is>
      </c>
      <c r="U50" s="5" t="inlineStr">
        <is>
          <t>Medium</t>
        </is>
      </c>
    </row>
    <row r="51" ht="94" customHeight="1">
      <c r="A51" s="15" t="inlineStr">
        <is>
          <t>PERSON-050</t>
        </is>
      </c>
      <c r="B51" s="5" t="inlineStr">
        <is>
          <t>Rajeev Kaul</t>
        </is>
      </c>
      <c r="C51" s="5" t="inlineStr">
        <is>
          <t>Writer</t>
        </is>
      </c>
      <c r="D51" s="18" t="n"/>
      <c r="E51" s="18" t="n"/>
      <c r="F51" s="5" t="n"/>
      <c r="G51" s="5" t="inlineStr">
        <is>
          <t>Hindi cinema</t>
        </is>
      </c>
      <c r="H51" s="5" t="inlineStr">
        <is>
          <t>A writer credited on 2 films in this filmography, with no Wikipedia article of their own.</t>
        </is>
      </c>
      <c r="I51" s="5" t="n"/>
      <c r="J51" s="5" t="inlineStr">
        <is>
          <t>With Khan: Dil (1990) and Ishq (1997).</t>
        </is>
      </c>
      <c r="K51" s="19" t="n"/>
      <c r="L51" s="19" t="n"/>
      <c r="M51" s="5" t="n"/>
      <c r="N51" s="19" t="n"/>
      <c r="O51" s="19" t="inlineStr">
        <is>
          <t>2 films with Khan, credited as writer: Dil (1990), directed by Indra Kumar, with Khan in the lead as Raja Prasad; verdict: Highest-grossing film of the year. Ishq (1997), directed by Indra Kumar, with Khan in a co-lead as Raja; verdict: Commercial success.</t>
        </is>
      </c>
      <c r="P51" s="17" t="n">
        <v>2</v>
      </c>
      <c r="Q51" s="5" t="inlineStr">
        <is>
          <t>FILM-009; FILM-027</t>
        </is>
      </c>
      <c r="R51" s="5" t="inlineStr">
        <is>
          <t>Ishq (1997)</t>
        </is>
      </c>
      <c r="S51" s="5" t="inlineStr">
        <is>
          <t>Rajeev Kaul is credited as writer on Dil (1990) and Ishq (1997). No Wikipedia article or other independent biography was located; this row is built from the film credits alone.</t>
        </is>
      </c>
      <c r="T51" s="5" t="inlineStr">
        <is>
          <t>SOURCE-014; SOURCE-033</t>
        </is>
      </c>
      <c r="U51" s="5" t="inlineStr">
        <is>
          <t>Low</t>
        </is>
      </c>
    </row>
    <row r="52" ht="184" customHeight="1">
      <c r="A52" s="15" t="inlineStr">
        <is>
          <t>PERSON-051</t>
        </is>
      </c>
      <c r="B52" s="5" t="inlineStr">
        <is>
          <t>Rajkumar Hirani</t>
        </is>
      </c>
      <c r="C52" s="5" t="inlineStr">
        <is>
          <t>Director; writer; editor</t>
        </is>
      </c>
      <c r="D52" s="17" t="n">
        <v>1962</v>
      </c>
      <c r="E52" s="18" t="n"/>
      <c r="F52" s="5" t="inlineStr">
        <is>
          <t>1991–present</t>
        </is>
      </c>
      <c r="G52" s="5" t="inlineStr">
        <is>
          <t>Hindi</t>
        </is>
      </c>
      <c r="H52" s="5" t="inlineStr">
        <is>
          <t>Studied film editing at FTII on a scholarship; directed and produced advertising films; edited Mission Kashmir (2000) and promos for Vidhu Vinod Chopra.</t>
        </is>
      </c>
      <c r="I52" s="5" t="inlineStr">
        <is>
          <t>Munna Bhai M.B.B.S. (2003), which won the National Film Award for Best Popular Film.</t>
        </is>
      </c>
      <c r="J52" s="5" t="inlineStr">
        <is>
          <t>Munna Bhai M.B.B.S. (2003); Lage Raho Munna Bhai (2006); 3 Idiots (2009); PK (2014); Sanju (2018); Dunki (2023)</t>
        </is>
      </c>
      <c r="K52" s="19" t="inlineStr">
        <is>
          <t>Social critique through comedy: medicine, Gandhian values, education, religious exploitation, immigration</t>
        </is>
      </c>
      <c r="L52" s="19" t="inlineStr">
        <is>
          <t>Warm, humane comedy with emotional climaxes; edits his own films; long partnership with writer Abhijat Joshi.</t>
        </is>
      </c>
      <c r="M52" s="5" t="inlineStr">
        <is>
          <t>Four National Film Awards for Best Popular Film; 11 Filmfare Awards including Best Film and Best Director (3 Idiots)</t>
        </is>
      </c>
      <c r="N52" s="19" t="inlineStr">
        <is>
          <t>One of Hindi cinema's most successful directors; 3 Idiots and PK each became the highest-grossing Indian film on release.</t>
        </is>
      </c>
      <c r="O52" s="19" t="inlineStr">
        <is>
          <t>Directed Aamir Khan in two record-breaking films; a Lala Amarnath biopic was reported as a possible third collaboration.</t>
        </is>
      </c>
      <c r="P52" s="17" t="n">
        <v>2</v>
      </c>
      <c r="Q52" s="5" t="inlineStr">
        <is>
          <t>FILM-041; FILM-047</t>
        </is>
      </c>
      <c r="R52" s="5" t="inlineStr">
        <is>
          <t>3 Idiots (2009)</t>
        </is>
      </c>
      <c r="S52" s="5" t="inlineStr">
        <is>
          <t>Rajkumar Hirani, born in 1962, studied film editing at FTII and built a career in advertising before editing Vidhu Vinod Chopra's Mission Kashmir (2000). Chopra produced his directorial debut, Munna Bhai M.B.B.S. (2003), which won the National Film Award for Best Popular Film, and its sequel Lage Raho Munna Bhai (2006). Hirani edits all his own films and writes with Abhijat Joshi, blending social commentary with comedy and emotion. His first film with Aamir Khan, 3 Idiots (2009), loosely adapted from Chetan Bhagat's Five Point Someone, cast Aamir as Rancho, a brilliant student who defies an education system built on rote learning. It became the highest-grossing Indian film at the time, won six Filmfare awards including Best Director for Hirani, and influenced debates about education in India, China and South Korea. They reunited on PK (2014), a satire in which Aamir plays an alien questioning religious intermediaries; it drew protests from Hindu nationalist groups but became the first Indian film to gross more than ₹700 crore worldwide. Hirani later made Sanju and Dunki, and his partnership with Chopra ended after Sanju. His biography reports that a biopic of cricketer Lala Amarnath with Aamir Khan considered for the lead was in development as of 2025.</t>
        </is>
      </c>
      <c r="T52" s="5" t="inlineStr">
        <is>
          <t>SOURCE-109; SOURCE-047; SOURCE-053; SOURCE-073</t>
        </is>
      </c>
      <c r="U52" s="5" t="inlineStr">
        <is>
          <t>Medium</t>
        </is>
      </c>
    </row>
    <row r="53" ht="184" customHeight="1">
      <c r="A53" s="15" t="inlineStr">
        <is>
          <t>PERSON-052</t>
        </is>
      </c>
      <c r="B53" s="5" t="inlineStr">
        <is>
          <t>Rajkumar Santoshi</t>
        </is>
      </c>
      <c r="C53" s="5" t="inlineStr">
        <is>
          <t>Director; screenwriter</t>
        </is>
      </c>
      <c r="D53" s="17" t="n">
        <v>1956</v>
      </c>
      <c r="E53" s="18" t="n"/>
      <c r="F53" s="5" t="inlineStr">
        <is>
          <t>1982–present</t>
        </is>
      </c>
      <c r="G53" s="5" t="inlineStr">
        <is>
          <t>Hindi</t>
        </is>
      </c>
      <c r="H53" s="5" t="inlineStr">
        <is>
          <t>Son of filmmaker P. L. Santoshi; assistant director to Govind Nihalani on Vijeta (1982) and Ardh Satya (1983).</t>
        </is>
      </c>
      <c r="I53" s="5" t="inlineStr">
        <is>
          <t>Ghayal (1990), a blockbuster and critical success.</t>
        </is>
      </c>
      <c r="J53" s="5" t="inlineStr">
        <is>
          <t>Ghayal (1990); Damini (1993); Andaz Apna Apna (1994); Barsaat (1995); Ghatak (1996); Pukar (2000); The Legend of Bhagat Singh (2002); Khakee (2004); Ajab Prem Ki Ghazab Kahani (2009)</t>
        </is>
      </c>
      <c r="K53" s="19" t="inlineStr">
        <is>
          <t>Women's rights (Damini, Lajja), national integration (Pukar), activism (Halla Bol); also broad comedy</t>
        </is>
      </c>
      <c r="L53" s="19" t="inlineStr">
        <is>
          <t>Socially conscious action and courtroom drama, with a single foray into absurdist comedy that became a cult classic.</t>
        </is>
      </c>
      <c r="M53" s="5" t="inlineStr">
        <is>
          <t>Three National Film Awards; six Filmfare Awards for direction, screenplay, dialogue and story</t>
        </is>
      </c>
      <c r="N53" s="19" t="inlineStr">
        <is>
          <t>Credited with early mainstream feminist films addressing rape as a social issue.</t>
        </is>
      </c>
      <c r="O53" s="19" t="inlineStr">
        <is>
          <t>Directed Aamir Khan in the cult comedy Andaz Apna Apna, gave him a cameo in Damini, and directed Aamir Khan Productions' Lahore 1947, in which Aamir did not act.</t>
        </is>
      </c>
      <c r="P53" s="17" t="n">
        <v>2</v>
      </c>
      <c r="Q53" s="5" t="inlineStr">
        <is>
          <t>FILM-017; FILM-021</t>
        </is>
      </c>
      <c r="R53" s="5" t="inlineStr">
        <is>
          <t>Andaz Apna Apna (1994)</t>
        </is>
      </c>
      <c r="S53" s="5" t="inlineStr">
        <is>
          <t>Rajkumar Santoshi, born in 1956, is the son of filmmaker P. L. Santoshi and trained as an assistant to Govind Nihalani on Vijeta and Ardh Satya. His debut, Ghayal (1990), was a blockbuster and critical success, and Damini (1993), a legal drama regarded as a cult feminist film, is widely considered his best. Aamir Khan appears as himself in a song in Damini, promoting their next project. That project, Andaz Apna Apna (1994), paired Aamir with Salman Khan as rival fortune-hunters in an absurdist comedy of mistaken identities. It flopped on release and was nominated for four Filmfare awards, then became a cult classic, voted the second-best Bollywood comedy in an Indian Express poll and re-released in a 4K restoration in 2025. Santoshi went on to Barsaat, Ghatak, Pukar, The Legend of Bhagat Singh, Khakee and Ajab Prem Ki Ghazab Kahani, and has won three National Film Awards and six Filmfare awards. His films are known for socially conscious narratives about women's rights, national integration and activism. He later directed Lahore 1947, produced by Aamir Khan Productions and starring Sunny Deol; it was released in August 2026 as Batwara 1947, with Aamir credited as producer rather than performer.</t>
        </is>
      </c>
      <c r="T53" s="5" t="inlineStr">
        <is>
          <t>SOURCE-089; SOURCE-023; SOURCE-027; SOURCE-064</t>
        </is>
      </c>
      <c r="U53" s="5" t="inlineStr">
        <is>
          <t>Medium</t>
        </is>
      </c>
    </row>
    <row r="54" ht="169" customHeight="1">
      <c r="A54" s="15" t="inlineStr">
        <is>
          <t>PERSON-053</t>
        </is>
      </c>
      <c r="B54" s="5" t="inlineStr">
        <is>
          <t>Reema Kagti</t>
        </is>
      </c>
      <c r="C54" s="5" t="inlineStr">
        <is>
          <t>Director; screenwriter</t>
        </is>
      </c>
      <c r="D54" s="18" t="n"/>
      <c r="E54" s="18" t="n"/>
      <c r="F54" s="5" t="inlineStr">
        <is>
          <t>2007–present</t>
        </is>
      </c>
      <c r="G54" s="5" t="inlineStr">
        <is>
          <t>Hindi; streaming series</t>
        </is>
      </c>
      <c r="H54" s="5" t="inlineStr">
        <is>
          <t>Assistant director on Lagaan, Dil Chahta Hai and Lakshya; associated with Excel Entertainment since its inception.</t>
        </is>
      </c>
      <c r="I54" s="5" t="inlineStr">
        <is>
          <t>Honeymoon Travels Pvt. Ltd. (2007).</t>
        </is>
      </c>
      <c r="J54" s="5" t="inlineStr">
        <is>
          <t>Honeymoon Travels Pvt. Ltd. (2007); Zindagi Na Milegi Dobara (2011, co-writer); Talaash (2012); Dil Dhadakne Do (2015, co-writer); Gold (2018); Gully Boy (2019, co-writer); Made in Heaven (2019–); Dahaad (2023)</t>
        </is>
      </c>
      <c r="K54" s="19" t="inlineStr">
        <is>
          <t>Genre films with character depth; female-led crime and social drama in series</t>
        </is>
      </c>
      <c r="L54" s="19" t="n"/>
      <c r="M54" s="5" t="inlineStr">
        <is>
          <t>Filmfare, IIFA and Zee Cine screenwriting awards</t>
        </is>
      </c>
      <c r="N54" s="19" t="inlineStr">
        <is>
          <t>A leading woman director and writer; co-founded Tiger Baby Films with Zoya Akhtar in 2015.</t>
        </is>
      </c>
      <c r="O54" s="19" t="inlineStr">
        <is>
          <t>Assistant director on two of his 2001 films; later directed and co-wrote Talaash and co-wrote Dil Dhadakne Do.</t>
        </is>
      </c>
      <c r="P54" s="17" t="n">
        <v>2</v>
      </c>
      <c r="Q54" s="5" t="inlineStr">
        <is>
          <t>FILM-044; FILM-048</t>
        </is>
      </c>
      <c r="R54" s="5" t="inlineStr">
        <is>
          <t>Talaash (2012)</t>
        </is>
      </c>
      <c r="S54" s="5" t="inlineStr">
        <is>
          <t>Reema Kagti learned filmmaking as an assistant director on three of the key films of 2001–2004: Ashutosh Gowariker's Lagaan and Farhan Akhtar's Dil Chahta Hai, both starring Aamir Khan, and Lakshya. She has been associated with Excel Entertainment since its founding and made her directorial debut with Honeymoon Travels Pvt. Ltd. (2007). With Zoya Akhtar she became one of Hindi cinema's most successful screenwriting partnerships, co-writing Zindagi Na Milegi Dobara, Dil Dhadakne Do, in which Aamir voices the narrating dog, and Gully Boy. Her second feature, Talaash (2012), co-written with Akhtar and co-produced by Excel and Aamir Khan Productions, cast Aamir as a Mumbai police inspector grieving his drowned son while investigating a star's death that leads to a ghost story. It was critically acclaimed and a hit, though some critics found the twist derivative. Kagti went on to direct Gold (2018), co-found Tiger Baby Films with Zoya Akhtar in 2015 and create the series Made in Heaven and Dahaad. Her work with Aamir Khan runs from the sets of his 2001 films to one of his most interior later performances.</t>
        </is>
      </c>
      <c r="T54" s="5" t="inlineStr">
        <is>
          <t>SOURCE-115; SOURCE-050; SOURCE-054</t>
        </is>
      </c>
      <c r="U54" s="5" t="inlineStr">
        <is>
          <t>Medium</t>
        </is>
      </c>
    </row>
    <row r="55" ht="124" customHeight="1">
      <c r="A55" s="15" t="inlineStr">
        <is>
          <t>PERSON-054</t>
        </is>
      </c>
      <c r="B55" s="5" t="inlineStr">
        <is>
          <t>Ronnie Screwvala</t>
        </is>
      </c>
      <c r="C55" s="5" t="inlineStr">
        <is>
          <t>Producer; production banner</t>
        </is>
      </c>
      <c r="D55" s="17" t="n">
        <v>1956</v>
      </c>
      <c r="E55" s="18" t="n"/>
      <c r="F55" s="5" t="inlineStr">
        <is>
          <t>1981–present</t>
        </is>
      </c>
      <c r="G55" s="5" t="inlineStr">
        <is>
          <t>Hindi; media</t>
        </is>
      </c>
      <c r="H55" s="5" t="inlineStr">
        <is>
          <t>Ronnie Screwvala pioneered cable television in India in 1981 and founded UTV Software Communications, whose film arm was UTV Motion Pictures.</t>
        </is>
      </c>
      <c r="I55" s="5" t="inlineStr">
        <is>
          <t>UTV Motion Pictures productions from the early 2000s.</t>
        </is>
      </c>
      <c r="J55" s="5" t="inlineStr">
        <is>
          <t>Lakshya (2004); Swades (2004); Rang De Basanti (2006); Jodhaa Akbar (2008); Delhi Belly (2011); Barfi! (2012); later, as RSVP Movies, Kedarnath (2018) and Uri: The Surgical Strike (2019)</t>
        </is>
      </c>
      <c r="K55" s="19" t="inlineStr">
        <is>
          <t>Ambitious mainstream and crossover films</t>
        </is>
      </c>
      <c r="L55" s="19" t="n"/>
      <c r="M55" s="5" t="inlineStr">
        <is>
          <t>National Film Award for Best Popular Film (Rang De Basanti); Filmfare Best Film (Rang De Basanti; Jodhaa Akbar; Barfi!)</t>
        </is>
      </c>
      <c r="N55" s="19" t="inlineStr">
        <is>
          <t>Built one of India's first corporate studios, sold to Disney in 2012 at an enterprise value of US$1.4 billion.</t>
        </is>
      </c>
      <c r="O55" s="19" t="inlineStr">
        <is>
          <t>Co-produced Rang De Basanti and Delhi Belly; UTV also distributed Dangal.</t>
        </is>
      </c>
      <c r="P55" s="17" t="n">
        <v>2</v>
      </c>
      <c r="Q55" s="5" t="inlineStr">
        <is>
          <t>FILM-036; FILM-043</t>
        </is>
      </c>
      <c r="R55" s="5" t="inlineStr">
        <is>
          <t>Rang De Basanti (2006)</t>
        </is>
      </c>
      <c r="S55" s="5" t="inlineStr">
        <is>
          <t>Ronnie Screwvala, born in 1956, pioneered cable television in India in 1981 and built UTV Software Communications into a media group with partners including News Corp, Fox, Disney and Bloomberg. Its film arm, UTV Motion Pictures, produced prestige and commercial hits including Lakshya, Swades, Jodhaa Akbar and Barfi!. With Aamir Khan it co-produced Rang De Basanti (2006) with director Rakeysh Omprakash Mehra; Screwvala shared its Filmfare Best Film award, National Film Award for Best Popular Film and BAFTA nomination. UTV also co-produced Delhi Belly (2011) with Aamir Khan Productions, and UTV Motion Pictures distributed Dangal in 2016. Screwvala sold UTV to Disney in 2012 and later founded RSVP Movies, which made Kedarnath and Uri: The Surgical Strike.</t>
        </is>
      </c>
      <c r="T55" s="5" t="inlineStr">
        <is>
          <t>SOURCE-104; SOURCE-042; SOURCE-049; SOURCE-055</t>
        </is>
      </c>
      <c r="U55" s="5" t="inlineStr">
        <is>
          <t>Medium</t>
        </is>
      </c>
    </row>
    <row r="56" ht="79" customHeight="1">
      <c r="A56" s="15" t="inlineStr">
        <is>
          <t>PERSON-055</t>
        </is>
      </c>
      <c r="B56" s="5" t="inlineStr">
        <is>
          <t>Sanjay Chhel</t>
        </is>
      </c>
      <c r="C56" s="5" t="inlineStr">
        <is>
          <t>Writer</t>
        </is>
      </c>
      <c r="D56" s="17" t="n">
        <v>1967</v>
      </c>
      <c r="E56" s="18" t="n"/>
      <c r="F56" s="5" t="inlineStr">
        <is>
          <t>1990s–present</t>
        </is>
      </c>
      <c r="G56" s="5" t="inlineStr">
        <is>
          <t>Hindi cinema</t>
        </is>
      </c>
      <c r="H56" s="5" t="inlineStr">
        <is>
          <t>A Gujarati-born writer, lyricist and director, son of the art director Chhel Vayeda, who wrote for Gujarati theatre and more than 30 television serials.</t>
        </is>
      </c>
      <c r="I56" s="5" t="inlineStr">
        <is>
          <t>Pehla Nasha (1993) as writer; Khoobsurat (1999) as director.</t>
        </is>
      </c>
      <c r="J56" s="5" t="inlineStr">
        <is>
          <t>With Khan: Pehla Nasha (1993), Rangeela (1995). Wider work: Kachche Dhaage, Phir Bhi Dil Hai Hindustani, Kismat Konnection; directed Kyaa Dil Ne Kahaa.</t>
        </is>
      </c>
      <c r="K56" s="19" t="inlineStr">
        <is>
          <t>Light comedy and romance; Gujarati columns.</t>
        </is>
      </c>
      <c r="L56" s="19" t="n"/>
      <c r="M56" s="5" t="n"/>
      <c r="N56" s="19" t="n"/>
      <c r="O56" s="19" t="inlineStr">
        <is>
          <t>Two credits: Pehla Nasha, in which Khan appears as himself, and the dialogue of Rangeela, a blockbuster with Khan as the street-smart Munna.</t>
        </is>
      </c>
      <c r="P56" s="17" t="n">
        <v>2</v>
      </c>
      <c r="Q56" s="5" t="inlineStr">
        <is>
          <t>FILM-020; FILM-024</t>
        </is>
      </c>
      <c r="R56" s="5" t="inlineStr">
        <is>
          <t>Rangeela (1995)</t>
        </is>
      </c>
      <c r="S56" s="5" t="inlineStr">
        <is>
          <t>Sanjay Chhel wrote one-act plays in Gujarati and television serials such as Nukkad before his first film, Pehla Nasha (1993), which includes a cameo by Aamir Khan as himself. He then wrote for Ram Gopal Varma's Rangeela (1995), whose colloquial Bombay dialogue for Khan's character Munna was part of its appeal; the film was a blockbuster. Chhel went on to write Kachche Dhaage and Phir Bhi Dil Hai Hindustani and to direct Khoobsurat and Kyaa Dil Ne Kahaa.</t>
        </is>
      </c>
      <c r="T56" s="5" t="inlineStr">
        <is>
          <t>SOURCE-130; SOURCE-026; SOURCE-030</t>
        </is>
      </c>
      <c r="U56" s="5" t="inlineStr">
        <is>
          <t>Medium</t>
        </is>
      </c>
    </row>
    <row r="57" ht="109" customHeight="1">
      <c r="A57" s="15" t="inlineStr">
        <is>
          <t>PERSON-056</t>
        </is>
      </c>
      <c r="B57" s="5" t="inlineStr">
        <is>
          <t>Sanjay Wandrekar</t>
        </is>
      </c>
      <c r="C57" s="5" t="inlineStr">
        <is>
          <t>Background-score composer</t>
        </is>
      </c>
      <c r="D57" s="18" t="n"/>
      <c r="E57" s="18" t="n"/>
      <c r="F57" s="5" t="n"/>
      <c r="G57" s="5" t="inlineStr">
        <is>
          <t>Hindi cinema</t>
        </is>
      </c>
      <c r="H57" s="5" t="inlineStr">
        <is>
          <t>A background-score composer credited on 2 films in this filmography, with no Wikipedia article of their own.</t>
        </is>
      </c>
      <c r="I57" s="5" t="n"/>
      <c r="J57" s="5" t="inlineStr">
        <is>
          <t>With Khan: 3 Idiots (2009) and PK (2014).</t>
        </is>
      </c>
      <c r="K57" s="19" t="n"/>
      <c r="L57" s="19" t="n"/>
      <c r="M57" s="5" t="n"/>
      <c r="N57" s="19" t="n"/>
      <c r="O57" s="19" t="inlineStr">
        <is>
          <t>2 films with Khan, credited as background-score composer: 3 Idiots (2009), directed by Rajkumar Hirani, with Khan in the lead as Ranchhoddas "Rancho" Shamaldas Chanchad; verdict: All-time blockbuster. PK (2014), directed by Rajkumar Hirani, with Khan in the lead as PK; verdict: All-time blockbuster.</t>
        </is>
      </c>
      <c r="P57" s="17" t="n">
        <v>2</v>
      </c>
      <c r="Q57" s="5" t="inlineStr">
        <is>
          <t>FILM-041; FILM-047</t>
        </is>
      </c>
      <c r="R57" s="5" t="inlineStr">
        <is>
          <t>3 Idiots (2009)</t>
        </is>
      </c>
      <c r="S57" s="5" t="inlineStr">
        <is>
          <t>Sanjay Wandrekar is credited as background-score composer on 3 Idiots (2009) and PK (2014). No Wikipedia article or other independent biography was located; this row is built from the film credits alone.</t>
        </is>
      </c>
      <c r="T57" s="5" t="inlineStr">
        <is>
          <t>SOURCE-047; SOURCE-053</t>
        </is>
      </c>
      <c r="U57" s="5" t="inlineStr">
        <is>
          <t>Low</t>
        </is>
      </c>
    </row>
    <row r="58" ht="169" customHeight="1">
      <c r="A58" s="15" t="inlineStr">
        <is>
          <t>PERSON-057</t>
        </is>
      </c>
      <c r="B58" s="5" t="inlineStr">
        <is>
          <t>Shantanu Moitra</t>
        </is>
      </c>
      <c r="C58" s="5" t="inlineStr">
        <is>
          <t>Music director (songs and background score)</t>
        </is>
      </c>
      <c r="D58" s="17" t="n">
        <v>1968</v>
      </c>
      <c r="E58" s="18" t="n"/>
      <c r="F58" s="5" t="inlineStr">
        <is>
          <t>1995–present</t>
        </is>
      </c>
      <c r="G58" s="5" t="inlineStr">
        <is>
          <t>Hindi; Bengali</t>
        </is>
      </c>
      <c r="H58" s="5" t="inlineStr">
        <is>
          <t>Composed advertising jingles, including the Uncle Chipps campaign, and Indipop albums with Shubha Mudgal; moved to Mumbai in 2002 for Hazaaron Khwaishein Aisi.</t>
        </is>
      </c>
      <c r="I58" s="5" t="inlineStr">
        <is>
          <t>Breakthrough with Parineeta (2005), which won the Filmfare R. D. Burman Award.</t>
        </is>
      </c>
      <c r="J58" s="5" t="inlineStr">
        <is>
          <t>Hazaaron Khwaishein Aisi (2005); Parineeta (2005); Lage Raho Munna Bhai (2006); 3 Idiots (2009); Madras Cafe (2013); PK (2014); Pink (2016); October (2018)</t>
        </is>
      </c>
      <c r="K58" s="19" t="inlineStr">
        <is>
          <t>Emotionally resonant, character-driven scores</t>
        </is>
      </c>
      <c r="L58" s="19" t="inlineStr">
        <is>
          <t>A pianist's melodic sensibility, moving easily between songs and understated background scores.</t>
        </is>
      </c>
      <c r="M58" s="5" t="inlineStr">
        <is>
          <t>National Film Award for Best Music Direction (Background Score) (Na Bangaaru Talli, 2013); Filmfare Best Background Score (Sardar Udham, 2022); IIFA Best Background Score (3 Idiots)</t>
        </is>
      </c>
      <c r="N58" s="19" t="inlineStr">
        <is>
          <t>Hirani's regular composer and a key figure in elevating the background score in contemporary Hindi cinema.</t>
        </is>
      </c>
      <c r="O58" s="19" t="inlineStr">
        <is>
          <t>Composed the music for both Hirani films starring Aamir Khan.</t>
        </is>
      </c>
      <c r="P58" s="17" t="n">
        <v>2</v>
      </c>
      <c r="Q58" s="5" t="inlineStr">
        <is>
          <t>FILM-041; FILM-047</t>
        </is>
      </c>
      <c r="R58" s="5" t="inlineStr">
        <is>
          <t>3 Idiots (2009)</t>
        </is>
      </c>
      <c r="S58" s="5" t="inlineStr">
        <is>
          <t>Shantanu Moitra, born in 1968, began in advertising, writing jingles such as the Uncle Chipps campaign, and composed Indipop albums including Ab Ke Saawan with singer Shubha Mudgal. He moved to Mumbai in 2002 to score Hazaaron Khwaishein Aisi, and his songs for Parineeta (2005) won the Filmfare R. D. Burman Award for New Music Talent. His association with Rajkumar Hirani began with Lage Raho Munna Bhai (2006) and continued with 3 Idiots (2009), for which he composed the songs and co-composed the background score. With Swanand Kirkire's lyrics, songs such as 'Zoobi Doobi' and 'All Izz Well' became hugely popular, and the score won the IIFA award. He was one of three song composers on PK (2014), whose background score was by Sanjay Wandrekar and Atul Raninga. Beyond these films, Moitra scored Madras Cafe, Pink and October, won the National Film Award for the background score of the Telugu Na Bangaaru Talli and the Filmfare Best Background Score award for Sardar Udham. His restrained, melody-driven work kept the emotional register of Aamir Khan's two biggest comedies warm rather than broad.</t>
        </is>
      </c>
      <c r="T58" s="5" t="inlineStr">
        <is>
          <t>SOURCE-111; SOURCE-047; SOURCE-053</t>
        </is>
      </c>
      <c r="U58" s="5" t="inlineStr">
        <is>
          <t>Medium</t>
        </is>
      </c>
    </row>
    <row r="59" ht="109" customHeight="1">
      <c r="A59" s="15" t="inlineStr">
        <is>
          <t>PERSON-058</t>
        </is>
      </c>
      <c r="B59" s="5" t="inlineStr">
        <is>
          <t>T-Series</t>
        </is>
      </c>
      <c r="C59" s="5" t="inlineStr">
        <is>
          <t>Production banner (T-Series)</t>
        </is>
      </c>
      <c r="D59" s="18" t="n"/>
      <c r="E59" s="18" t="n"/>
      <c r="F59" s="5" t="n"/>
      <c r="G59" s="5" t="inlineStr">
        <is>
          <t>Hindi cinema</t>
        </is>
      </c>
      <c r="H59" s="5" t="inlineStr">
        <is>
          <t>India's largest music label, Super Cassettes Industries, founded by Gulshan Kumar in 1983, which has produced more than 100 films.</t>
        </is>
      </c>
      <c r="I59" s="5" t="inlineStr">
        <is>
          <t>Breakthrough as a label with the soundtrack of Qayamat Se Qayamat Tak (1988), Khan's debut, which sold over 8 million units.</t>
        </is>
      </c>
      <c r="J59" s="5" t="inlineStr">
        <is>
          <t>With Khan: Dil Hai Ke Manta Nahin (1991), Koi Jaane Na (2021). Wider work: Aashiqui, Aashiqui 2, Animal.</t>
        </is>
      </c>
      <c r="K59" s="19" t="inlineStr">
        <is>
          <t>Music-led mainstream films.</t>
        </is>
      </c>
      <c r="L59" s="19" t="n"/>
      <c r="M59" s="5" t="n"/>
      <c r="N59" s="19" t="inlineStr">
        <is>
          <t>Owns the most-viewed YouTube channel.</t>
        </is>
      </c>
      <c r="O59" s="19" t="inlineStr">
        <is>
          <t>T-Series' rise as a label began with the soundtrack of Khan's debut, Qayamat Se Qayamat Tak. As a production banner it is credited on Mahesh Bhatt's Dil Hai Ke Manta Nahin, a successful remake of It Happened One Night with Khan and Pooja Bhatt, and on Koi Jaane Na, in which Khan appears in a song.</t>
        </is>
      </c>
      <c r="P59" s="17" t="n">
        <v>2</v>
      </c>
      <c r="Q59" s="5" t="inlineStr">
        <is>
          <t>FILM-013; FILM-052</t>
        </is>
      </c>
      <c r="R59" s="5" t="inlineStr">
        <is>
          <t>Dil Hai Ke Manta Nahin (1991)</t>
        </is>
      </c>
      <c r="S59" s="5" t="inlineStr">
        <is>
          <t>T-Series began by selling cover versions on cassette and became India's dominant music company after the soundtrack of Qayamat Se Qayamat Tak (1988), Aamir Khan's first lead film, sold more than eight million copies. Under Gulshan Kumar and later Bhushan Kumar it moved into production. It is credited as a banner on Dil Hai Ke Manta Nahin (1991), Mahesh Bhatt's road romance with Khan as a journalist and Pooja Bhatt as a runaway heiress, and on Koi Jaane Na (2021), Amin Hajee's thriller in which Khan appears in a song.</t>
        </is>
      </c>
      <c r="T59" s="5" t="inlineStr">
        <is>
          <t>SOURCE-131; SOURCE-018; SOURCE-058</t>
        </is>
      </c>
      <c r="U59" s="5" t="inlineStr">
        <is>
          <t>Medium</t>
        </is>
      </c>
    </row>
    <row r="60" ht="94" customHeight="1">
      <c r="A60" s="15" t="inlineStr">
        <is>
          <t>PERSON-059</t>
        </is>
      </c>
      <c r="B60" s="5" t="inlineStr">
        <is>
          <t>Tahir Hussain Enterprises</t>
        </is>
      </c>
      <c r="C60" s="5" t="inlineStr">
        <is>
          <t>Production banner</t>
        </is>
      </c>
      <c r="D60" s="18" t="n"/>
      <c r="E60" s="18" t="n"/>
      <c r="F60" s="5" t="n"/>
      <c r="G60" s="5" t="inlineStr">
        <is>
          <t>Hindi cinema</t>
        </is>
      </c>
      <c r="H60" s="5" t="inlineStr">
        <is>
          <t>A production banner credited on 2 films in this filmography, with no Wikipedia article of its own.</t>
        </is>
      </c>
      <c r="I60" s="5" t="n"/>
      <c r="J60" s="5" t="inlineStr">
        <is>
          <t>With Khan: Tum Mere Ho (1990) and Hum Hain Rahi Pyar Ke (1993).</t>
        </is>
      </c>
      <c r="K60" s="19" t="n"/>
      <c r="L60" s="19" t="n"/>
      <c r="M60" s="5" t="n"/>
      <c r="N60" s="19" t="n"/>
      <c r="O60" s="19" t="inlineStr">
        <is>
          <t>2 films with Khan, credited as production banner: Tum Mere Ho (1990), directed by Tahir Hussain, with Khan in the lead as Shiva; verdict: Disaster. Hum Hain Rahi Pyar Ke (1993), directed by Mahesh Bhatt, with Khan in the lead as Rahul Malhotra.</t>
        </is>
      </c>
      <c r="P60" s="17" t="n">
        <v>2</v>
      </c>
      <c r="Q60" s="5" t="inlineStr">
        <is>
          <t>FILM-008; FILM-019</t>
        </is>
      </c>
      <c r="R60" s="5" t="inlineStr">
        <is>
          <t>Tum Mere Ho (1990)</t>
        </is>
      </c>
      <c r="S60" s="5" t="inlineStr">
        <is>
          <t>Tahir Hussain Enterprises is credited as production banner on Tum Mere Ho (1990) and Hum Hain Rahi Pyar Ke (1993). No Wikipedia article or other independent biography was located for the company; this row is built from the film credits alone.</t>
        </is>
      </c>
      <c r="T60" s="5" t="inlineStr">
        <is>
          <t>SOURCE-012; SOURCE-025</t>
        </is>
      </c>
      <c r="U60" s="5" t="inlineStr">
        <is>
          <t>Low</t>
        </is>
      </c>
    </row>
    <row r="61" ht="79" customHeight="1">
      <c r="A61" s="15" t="inlineStr">
        <is>
          <t>PERSON-060</t>
        </is>
      </c>
      <c r="B61" s="5" t="inlineStr">
        <is>
          <t>UTV Motion Pictures</t>
        </is>
      </c>
      <c r="C61" s="5" t="inlineStr">
        <is>
          <t>Production banner</t>
        </is>
      </c>
      <c r="D61" s="18" t="n"/>
      <c r="E61" s="18" t="n"/>
      <c r="F61" s="5" t="n"/>
      <c r="G61" s="5" t="inlineStr">
        <is>
          <t>Hindi cinema</t>
        </is>
      </c>
      <c r="H61" s="5" t="inlineStr">
        <is>
          <t>The film unit of UTV Software Communications, founded by Ronnie and Zarina Screwvala in 1996, later Disney UTV; one of India's leading studios until it closed in 2017.</t>
        </is>
      </c>
      <c r="I61" s="5" t="n"/>
      <c r="J61" s="5" t="inlineStr">
        <is>
          <t>With Khan: Rang De Basanti (2006), Delhi Belly (2011). Wider work: Swades, Jodhaa Akbar, Barfi!, Chennai Express, Haider.</t>
        </is>
      </c>
      <c r="K61" s="19" t="inlineStr">
        <is>
          <t>Studio-model production of ambitious mainstream films.</t>
        </is>
      </c>
      <c r="L61" s="19" t="n"/>
      <c r="M61" s="5" t="n"/>
      <c r="N61" s="19" t="n"/>
      <c r="O61" s="19" t="inlineStr">
        <is>
          <t>Co-produced two Khan films: Rang De Basanti, a major success, and Delhi Belly, Aamir Khan Productions' adult comedy, in which Khan appears in a cameo; it was a super hit.</t>
        </is>
      </c>
      <c r="P61" s="17" t="n">
        <v>2</v>
      </c>
      <c r="Q61" s="5" t="inlineStr">
        <is>
          <t>FILM-036; FILM-043</t>
        </is>
      </c>
      <c r="R61" s="5" t="inlineStr">
        <is>
          <t>Rang De Basanti (2006)</t>
        </is>
      </c>
      <c r="S61" s="5" t="inlineStr">
        <is>
          <t>UTV Motion Pictures grew from UTV's distribution arm into one of South Asia's largest studios, partnering with Fox, Disney and Sony, before closing in 2017 after Jagga Jasoos. It co-produced Rang De Basanti (2006), Rakeysh Omprakash Mehra's drama with Aamir Khan as a Delhi student who plays Chandrashekhar Azad in a documentary and is drawn into protest, and Delhi Belly (2011), the profane comedy that Khan produced and appears in briefly. Both were major commercial successes.</t>
        </is>
      </c>
      <c r="T61" s="5" t="inlineStr">
        <is>
          <t>SOURCE-132; SOURCE-042; SOURCE-049</t>
        </is>
      </c>
      <c r="U61" s="5" t="inlineStr">
        <is>
          <t>Medium</t>
        </is>
      </c>
    </row>
    <row r="62" ht="79" customHeight="1">
      <c r="A62" s="15" t="inlineStr">
        <is>
          <t>PERSON-061</t>
        </is>
      </c>
      <c r="B62" s="5" t="inlineStr">
        <is>
          <t>Venus Movies</t>
        </is>
      </c>
      <c r="C62" s="5" t="inlineStr">
        <is>
          <t>Production banner (Venus Records &amp; Tapes)</t>
        </is>
      </c>
      <c r="D62" s="18" t="n"/>
      <c r="E62" s="18" t="n"/>
      <c r="F62" s="5" t="n"/>
      <c r="G62" s="5" t="inlineStr">
        <is>
          <t>Hindi cinema</t>
        </is>
      </c>
      <c r="H62" s="5" t="inlineStr">
        <is>
          <t>The film banner of Venus Records &amp; Tapes, founded by Ganesh and Ratan Jain; the music company was renamed Ishtar Music after Believe Digital acquired it in 2021. It has no article under this name; this profile uses the Ishtar Music article.</t>
        </is>
      </c>
      <c r="I62" s="5" t="n"/>
      <c r="J62" s="5" t="inlineStr">
        <is>
          <t>With Khan: Akele Hum Akele Tum (1995), Mela (2000). Venus also produced Baazigar, Khiladi and Josh.</t>
        </is>
      </c>
      <c r="K62" s="19" t="inlineStr">
        <is>
          <t>Music-led commercial films.</t>
        </is>
      </c>
      <c r="L62" s="19" t="n"/>
      <c r="M62" s="5" t="n"/>
      <c r="N62" s="19" t="n"/>
      <c r="O62" s="19" t="inlineStr">
        <is>
          <t>Two films: Mansoor Khan's Akele Hum Akele Tum, a successful remake of Kramer vs. Kramer with Khan and Manisha Koirala, and Dharmesh Darshan's Mela.</t>
        </is>
      </c>
      <c r="P62" s="17" t="n">
        <v>2</v>
      </c>
      <c r="Q62" s="5" t="inlineStr">
        <is>
          <t>FILM-025; FILM-032</t>
        </is>
      </c>
      <c r="R62" s="5" t="inlineStr">
        <is>
          <t>Akele Hum Akele Tum (1995)</t>
        </is>
      </c>
      <c r="S62" s="5" t="inlineStr">
        <is>
          <t>Venus was one of the main 1990s Hindi film producers, run by the Jain brothers from a cassette business founded in the 1980s; the music company became Ishtar Music after its 2021 sale to Believe Digital. Its Aamir Khan films are Akele Hum Akele Tum (1995), Mansoor Khan's Kramer vs. Kramer adaptation in which Khan plays a struggling singer raising his son after his wife leaves, and Mela (2000), Dharmesh Darshan's action film.</t>
        </is>
      </c>
      <c r="T62" s="5" t="inlineStr">
        <is>
          <t>SOURCE-133; SOURCE-031; SOURCE-038</t>
        </is>
      </c>
      <c r="U62" s="5" t="inlineStr">
        <is>
          <t>Low</t>
        </is>
      </c>
    </row>
    <row r="63" ht="109" customHeight="1">
      <c r="A63" s="15" t="inlineStr">
        <is>
          <t>PERSON-062</t>
        </is>
      </c>
      <c r="B63" s="5" t="inlineStr">
        <is>
          <t>Vidhu Vinod Chopra</t>
        </is>
      </c>
      <c r="C63" s="5" t="inlineStr">
        <is>
          <t>Producer; director</t>
        </is>
      </c>
      <c r="D63" s="17" t="n">
        <v>1952</v>
      </c>
      <c r="E63" s="18" t="n"/>
      <c r="F63" s="5" t="inlineStr">
        <is>
          <t>1976–present</t>
        </is>
      </c>
      <c r="G63" s="5" t="inlineStr">
        <is>
          <t>Hindi</t>
        </is>
      </c>
      <c r="H63" s="5" t="inlineStr">
        <is>
          <t>Born in Srinagar; studied direction at FTII; his documentary An Encounter with Faces (1978) was nominated for an Academy Award.</t>
        </is>
      </c>
      <c r="I63" s="5" t="inlineStr">
        <is>
          <t>Founded Vinod Chopra Films in 1985; directed Parinda (1989).</t>
        </is>
      </c>
      <c r="J63" s="5" t="inlineStr">
        <is>
          <t>Parinda (1989); 1942: A Love Story (1994); Mission Kashmir (2000); Munna Bhai M.B.B.S. (2003); Parineeta (2005); Lage Raho Munna Bhai (2006); 3 Idiots (2009); PK (2014); Sanju (2018); 12th Fail (2023)</t>
        </is>
      </c>
      <c r="K63" s="19" t="inlineStr">
        <is>
          <t>Crime and romance as director; socially minded comedy as producer</t>
        </is>
      </c>
      <c r="L63" s="19" t="n"/>
      <c r="M63" s="5" t="inlineStr">
        <is>
          <t>Five National Film Awards; ten Filmfare Awards; Academy Award nomination for documentary short</t>
        </is>
      </c>
      <c r="N63" s="19" t="inlineStr">
        <is>
          <t>Producer of Rajkumar Hirani's record-breaking comedies.</t>
        </is>
      </c>
      <c r="O63" s="19" t="inlineStr">
        <is>
          <t>Produced 3 Idiots and co-produced PK; credited on the 3 Idiots Filmfare screenplay award.</t>
        </is>
      </c>
      <c r="P63" s="17" t="n">
        <v>2</v>
      </c>
      <c r="Q63" s="5" t="inlineStr">
        <is>
          <t>FILM-041; FILM-047</t>
        </is>
      </c>
      <c r="R63" s="5" t="inlineStr">
        <is>
          <t>3 Idiots (2009)</t>
        </is>
      </c>
      <c r="S63" s="5" t="inlineStr">
        <is>
          <t>Vidhu Vinod Chopra was born in Srinagar in 1952 and studied at FTII, where his student short Murder at Monkey Hill won a National Film Award; his documentary An Encounter with Faces (1978) was nominated for an Academy Award. He founded Vinod Chopra Films in 1985 and directed Parinda, 1942: A Love Story and Mission Kashmir. As a producer he backed all five of Rajkumar Hirani's films through Sanju. For Aamir Khan he produced 3 Idiots (2009), sharing its Filmfare Best Screenplay credit and the National Film Award for Best Popular Film, and co-produced PK (2014) with Rajkumar Hirani Films. He has won five National Film Awards and ten Filmfare awards.</t>
        </is>
      </c>
      <c r="T63" s="5" t="inlineStr">
        <is>
          <t>SOURCE-110; SOURCE-047; SOURCE-053; SOURCE-073; SOURCE-074</t>
        </is>
      </c>
      <c r="U63" s="5" t="inlineStr">
        <is>
          <t>Medium</t>
        </is>
      </c>
    </row>
    <row r="64" ht="169" customHeight="1">
      <c r="A64" s="15" t="inlineStr">
        <is>
          <t>PERSON-063</t>
        </is>
      </c>
      <c r="B64" s="5" t="inlineStr">
        <is>
          <t>Vijay Krishna Acharya</t>
        </is>
      </c>
      <c r="C64" s="5" t="inlineStr">
        <is>
          <t>Director; writer</t>
        </is>
      </c>
      <c r="D64" s="18" t="n"/>
      <c r="E64" s="18" t="n"/>
      <c r="F64" s="5" t="inlineStr">
        <is>
          <t>2004–present</t>
        </is>
      </c>
      <c r="G64" s="5" t="inlineStr">
        <is>
          <t>Hindi</t>
        </is>
      </c>
      <c r="H64" s="5" t="inlineStr">
        <is>
          <t>Born in Kanpur; educated at Kirori Mal College; married to Anusheh Khan, sister of director Kabir Khan.</t>
        </is>
      </c>
      <c r="I64" s="5" t="inlineStr">
        <is>
          <t>Wrote the screenplays and dialogue of Dhoom (2004) and Dhoom 2 (2006); directorial debut Tashan (2008), which opened to negative reviews.</t>
        </is>
      </c>
      <c r="J64" s="5" t="inlineStr">
        <is>
          <t>Dhoom (2004, writer); Dhoom 2 (2006, writer); Tashan (2008); Dhoom 3 (2013); Thugs of Hindostan (2018)</t>
        </is>
      </c>
      <c r="K64" s="19" t="inlineStr">
        <is>
          <t>Large-scale action spectacle and heist</t>
        </is>
      </c>
      <c r="L64" s="19" t="n"/>
      <c r="M64" s="5" t="inlineStr">
        <is>
          <t>Telstra People's Choice Award, Indian Film Festival of Melbourne 2014 (Dhoom 3)</t>
        </is>
      </c>
      <c r="N64" s="19" t="inlineStr">
        <is>
          <t>Dhoom 3 set international box-office records for Hindi cinema on release.</t>
        </is>
      </c>
      <c r="O64" s="19" t="inlineStr">
        <is>
          <t>Directed Aamir Khan in two Yash Raj spectacles, one record-breaking and one a costly failure.</t>
        </is>
      </c>
      <c r="P64" s="17" t="n">
        <v>2</v>
      </c>
      <c r="Q64" s="5" t="inlineStr">
        <is>
          <t>FILM-046; FILM-051</t>
        </is>
      </c>
      <c r="R64" s="5" t="inlineStr">
        <is>
          <t>Dhoom 3 (2013)</t>
        </is>
      </c>
      <c r="S64" s="5" t="inlineStr">
        <is>
          <t>Vijay Krishna Acharya, from Kanpur, studied at Kirori Mal College and entered films as the screenwriter and dialogue writer of Yash Raj Films' Dhoom (2004) and Dhoom 2 (2006). His directorial debut, Tashan (2008), opened to negative reviews. Aditya Chopra nevertheless gave him Dhoom 3 (2013), which Acharya wrote and directed, with Aamir Khan in a double role as twin circus performers robbing the Chicago bank that ruined their father. The film grossed about ₹400 crore worldwide in ten days, became the first Indian film to pass ₹500 crore and won the inaugural Telstra People's Choice Award at the Indian Film Festival of Melbourne, though Indian reviews were mixed. Acharya and Aamir reunited on Thugs of Hindostan (2018), which Acharya wrote and directed, with Aamir as the double-crossing con man Firangi Mallah opposite Amitabh Bachchan. It had the biggest opening day for a Hindi film to that point but was widely panned in India, criticised for its direction, writing and length, and became an expensive disappointment. The contrasting fortunes of these two films bracket the most commercially extreme stretch of Aamir Khan's later career.</t>
        </is>
      </c>
      <c r="T64" s="5" t="inlineStr">
        <is>
          <t>SOURCE-117; SOURCE-052; SOURCE-057</t>
        </is>
      </c>
      <c r="U64" s="5" t="inlineStr">
        <is>
          <t>Medium</t>
        </is>
      </c>
    </row>
    <row r="65" ht="79" customHeight="1">
      <c r="A65" s="15" t="inlineStr">
        <is>
          <t>PERSON-064</t>
        </is>
      </c>
      <c r="B65" s="5" t="inlineStr">
        <is>
          <t>Vinod Chopra Films</t>
        </is>
      </c>
      <c r="C65" s="5" t="inlineStr">
        <is>
          <t>Production banner</t>
        </is>
      </c>
      <c r="D65" s="18" t="n"/>
      <c r="E65" s="18" t="n"/>
      <c r="F65" s="5" t="n"/>
      <c r="G65" s="5" t="inlineStr">
        <is>
          <t>Hindi cinema</t>
        </is>
      </c>
      <c r="H65" s="5" t="inlineStr">
        <is>
          <t>Vidhu Vinod Chopra's production company, founded in 1985.</t>
        </is>
      </c>
      <c r="I65" s="5" t="n"/>
      <c r="J65" s="5" t="inlineStr">
        <is>
          <t>With Khan: 3 Idiots (2009), PK (2014). Wider work: Parinda, 1942: A Love Story, Mission Kashmir, Munna Bhai M.B.B.S., Lage Raho Munna Bhai, Sanju, 12th Fail.</t>
        </is>
      </c>
      <c r="K65" s="19" t="inlineStr">
        <is>
          <t>Rajkumar Hirani's humanist comedies; Chopra's own dramas.</t>
        </is>
      </c>
      <c r="L65" s="19" t="n"/>
      <c r="M65" s="5" t="n"/>
      <c r="N65" s="19" t="n"/>
      <c r="O65" s="19" t="inlineStr">
        <is>
          <t>Produced Khan's two biggest Hirani films: 3 Idiots, with Khan as an engineering student who defies rote learning, and PK, with Khan as an alien questioning religion. Both were all-time blockbusters.</t>
        </is>
      </c>
      <c r="P65" s="17" t="n">
        <v>2</v>
      </c>
      <c r="Q65" s="5" t="inlineStr">
        <is>
          <t>FILM-041; FILM-047</t>
        </is>
      </c>
      <c r="R65" s="5" t="inlineStr">
        <is>
          <t>3 Idiots (2009)</t>
        </is>
      </c>
      <c r="S65" s="5" t="inlineStr">
        <is>
          <t>Vinod Chopra Films was founded by Vidhu Vinod Chopra in 1985 and became the home of Rajkumar Hirani's films. It produced 3 Idiots (2009), in which Aamir Khan plays Rancho, a free-thinking student at an engineering college, and PK (2014), in which he plays an alien stranded in Rajasthan who questions India's religious practices. Each became the highest-grossing Indian film on release.</t>
        </is>
      </c>
      <c r="T65" s="5" t="inlineStr">
        <is>
          <t>SOURCE-134; SOURCE-047; SOURCE-053</t>
        </is>
      </c>
      <c r="U65" s="5" t="inlineStr">
        <is>
          <t>Medium</t>
        </is>
      </c>
    </row>
    <row r="66" ht="79" customHeight="1">
      <c r="A66" s="15" t="inlineStr">
        <is>
          <t>PERSON-065</t>
        </is>
      </c>
      <c r="B66" s="5" t="inlineStr">
        <is>
          <t>Vishesh Films</t>
        </is>
      </c>
      <c r="C66" s="5" t="inlineStr">
        <is>
          <t>Production banner</t>
        </is>
      </c>
      <c r="D66" s="18" t="n"/>
      <c r="E66" s="18" t="n"/>
      <c r="F66" s="5" t="n"/>
      <c r="G66" s="5" t="inlineStr">
        <is>
          <t>Hindi cinema</t>
        </is>
      </c>
      <c r="H66" s="5" t="inlineStr">
        <is>
          <t>A Mumbai production and distribution company founded in 1987 by Mahesh and Mukesh Bhatt, named after Mukesh's son Vishesh, known for low-to-medium-budget films with popular soundtracks; solely owned by Mukesh Bhatt since 2021.</t>
        </is>
      </c>
      <c r="I66" s="5" t="inlineStr">
        <is>
          <t>Founded 1987; early successes Aashiqui and Jurm (1990).</t>
        </is>
      </c>
      <c r="J66" s="5" t="inlineStr">
        <is>
          <t>With Khan: Dil Hai Ke Manta Nahin (1991), Ghulam (1998). Wider work: Aashiqui, Sadak, Raaz, Murder, Gangster, Aashiqui 2.</t>
        </is>
      </c>
      <c r="K66" s="19" t="inlineStr">
        <is>
          <t>Romantic drama, thrillers and horror.</t>
        </is>
      </c>
      <c r="L66" s="19" t="n"/>
      <c r="M66" s="5" t="n"/>
      <c r="N66" s="19" t="n"/>
      <c r="O66" s="19" t="inlineStr">
        <is>
          <t>Two films: Mahesh Bhatt's Dil Hai Ke Manta Nahin, a box-office success, and Vikram Bhatt's Ghulam, a hit, with Khan as a small-time boxer from the Bombay streets.</t>
        </is>
      </c>
      <c r="P66" s="17" t="n">
        <v>2</v>
      </c>
      <c r="Q66" s="5" t="inlineStr">
        <is>
          <t>FILM-013; FILM-028</t>
        </is>
      </c>
      <c r="R66" s="5" t="inlineStr">
        <is>
          <t>Ghulam (1998)</t>
        </is>
      </c>
      <c r="S66" s="5" t="inlineStr">
        <is>
          <t>Vishesh Films was the Bhatt brothers' banner for more than three decades, producing music-driven romances and thrillers from Aashiqui to Murder and Aashiqui 2. It produced two Aamir Khan films: Dil Hai Ke Manta Nahin (1991), Mahesh Bhatt's road comedy, and Ghulam (1998), Vikram Bhatt's On the Waterfront-influenced drama in which Khan plays a boxer drawn into a gang and sings 'Aati Kya Khandala' himself.</t>
        </is>
      </c>
      <c r="T66" s="5" t="inlineStr">
        <is>
          <t>SOURCE-135; SOURCE-018; SOURCE-034</t>
        </is>
      </c>
      <c r="U66" s="5" t="inlineStr">
        <is>
          <t>Medium</t>
        </is>
      </c>
    </row>
    <row r="67" ht="79" customHeight="1">
      <c r="A67" s="15" t="inlineStr">
        <is>
          <t>PERSON-066</t>
        </is>
      </c>
      <c r="B67" s="5" t="inlineStr">
        <is>
          <t>Yash Chopra</t>
        </is>
      </c>
      <c r="C67" s="5" t="inlineStr">
        <is>
          <t>Director; Producer</t>
        </is>
      </c>
      <c r="D67" s="17" t="n">
        <v>1932</v>
      </c>
      <c r="E67" s="17" t="n">
        <v>2012</v>
      </c>
      <c r="F67" s="5" t="inlineStr">
        <is>
          <t>1959–2012</t>
        </is>
      </c>
      <c r="G67" s="5" t="inlineStr">
        <is>
          <t>Hindi cinema</t>
        </is>
      </c>
      <c r="H67" s="5" t="inlineStr">
        <is>
          <t>A Hindi-film director and producer, founder of Yash Raj Films, admired for romantic films with strong female leads; he began as an assistant to I. S. Johar and his brother B. R. Chopra.</t>
        </is>
      </c>
      <c r="I67" s="5" t="inlineStr">
        <is>
          <t>Dhool Ka Phool (1959).</t>
        </is>
      </c>
      <c r="J67" s="5" t="inlineStr">
        <is>
          <t>With Khan: Parampara (1993, director), Fanaa (2006, producer). Wider work: Waqt, Deewaar, Kabhi Kabhie, Silsila, Chandni, Lamhe, Darr, Dil To Pagal Hai, Veer-Zaara.</t>
        </is>
      </c>
      <c r="K67" s="19" t="inlineStr">
        <is>
          <t>Romance, family melodrama and Swiss-set song sequences.</t>
        </is>
      </c>
      <c r="L67" s="19" t="n"/>
      <c r="M67" s="5" t="inlineStr">
        <is>
          <t>Six National Film Awards; eight Filmfare Awards; Dadasaheb Phalke Award (2001); Padma Bhushan (2005).</t>
        </is>
      </c>
      <c r="N67" s="19" t="inlineStr">
        <is>
          <t>One of the most important filmmakers in Hindi cinema.</t>
        </is>
      </c>
      <c r="O67" s="19" t="inlineStr">
        <is>
          <t>Directed Parampara, a multi-starrer family feud drama with Khan in a co-lead that flopped, and produced Fanaa through YRF.</t>
        </is>
      </c>
      <c r="P67" s="17" t="n">
        <v>2</v>
      </c>
      <c r="Q67" s="5" t="inlineStr">
        <is>
          <t>FILM-018; FILM-037</t>
        </is>
      </c>
      <c r="R67" s="5" t="inlineStr">
        <is>
          <t>Fanaa (2006)</t>
        </is>
      </c>
      <c r="S67" s="5" t="inlineStr">
        <is>
          <t>Yash Chopra directed for more than half a century, from Dhool Ka Phool (1959) and Waqt to Deewaar, Silsila, Chandni and Veer-Zaara, and founded Yash Raj Films. Aamir Khan never had a lead role for him: Khan played one of the sons in Parampara (1993), a feuding-families drama with Sunil Dutt and Vinod Khanna that flopped, and Chopra produced Fanaa (2006), directed by Kunal Kohli, in which Khan plays a Kashmiri militant who romances a blind woman (Kajol). Chopra received the Dadasaheb Phalke Award in 2001 and died on 21 October 2012.</t>
        </is>
      </c>
      <c r="T67" s="5" t="inlineStr">
        <is>
          <t>SOURCE-136; SOURCE-024; SOURCE-043</t>
        </is>
      </c>
      <c r="U67" s="5" t="inlineStr">
        <is>
          <t>Medium</t>
        </is>
      </c>
    </row>
    <row r="68" ht="154" customHeight="1">
      <c r="A68" s="15" t="inlineStr">
        <is>
          <t>PERSON-067</t>
        </is>
      </c>
      <c r="B68" s="5" t="inlineStr">
        <is>
          <t>A. R. Murugadoss</t>
        </is>
      </c>
      <c r="C68" s="5" t="inlineStr">
        <is>
          <t>Director; writer</t>
        </is>
      </c>
      <c r="D68" s="17" t="n">
        <v>1974</v>
      </c>
      <c r="E68" s="18" t="n"/>
      <c r="F68" s="5" t="inlineStr">
        <is>
          <t>1997–present</t>
        </is>
      </c>
      <c r="G68" s="5" t="inlineStr">
        <is>
          <t>Tamil; Telugu; Hindi</t>
        </is>
      </c>
      <c r="H68" s="5" t="inlineStr">
        <is>
          <t>Born in Kallakurichi, Tamil Nadu; studied at Bishop Heber College; assistant director on Ratchagan (1997) and Kushi (2000).</t>
        </is>
      </c>
      <c r="I68" s="5" t="inlineStr">
        <is>
          <t>Dheena (2001).</t>
        </is>
      </c>
      <c r="J68" s="5" t="inlineStr">
        <is>
          <t>Dheena (2001); Ramanaa (2002); Ghajini (Tamil, 2005); Stalin (2006); Ghajini (Hindi, 2008); 7 Aum Arivu (2011); Thuppakki (2012); Holiday (2014); Kaththi (2014); Sarkar (2018); Sikandar (2025); Madharaasi (2025)</t>
        </is>
      </c>
      <c r="K68" s="19" t="inlineStr">
        <is>
          <t>Action films built around social issues and vigilante justice</t>
        </is>
      </c>
      <c r="L68" s="19" t="inlineStr">
        <is>
          <t>High-concept mass action with melodrama; remakes his Tamil hits in Hindi.</t>
        </is>
      </c>
      <c r="M68" s="5" t="inlineStr">
        <is>
          <t>Filmfare Award for Best Director – Tamil (Kaththi); Producers Guild Best Director (Ghajini)</t>
        </is>
      </c>
      <c r="N68" s="19" t="inlineStr">
        <is>
          <t>His Hindi Ghajini was the first Bollywood film to cross ₹100 crore nett in India, creating the '100 crore club'.</t>
        </is>
      </c>
      <c r="O68" s="19" t="inlineStr">
        <is>
          <t>Directed and co-wrote the Hindi Ghajini with Aamir Khan.</t>
        </is>
      </c>
      <c r="P68" s="17" t="n">
        <v>1</v>
      </c>
      <c r="Q68" s="5" t="inlineStr">
        <is>
          <t>FILM-039</t>
        </is>
      </c>
      <c r="R68" s="5" t="inlineStr">
        <is>
          <t>Ghajini (2008)</t>
        </is>
      </c>
      <c r="S68" s="5" t="inlineStr">
        <is>
          <t>A. R. Murugadoss was born in 1974 in Kallakurichi, Tamil Nadu, and trained as an assistant director on Ratchagan and on S. J. Surya's Kushi before his debut with Dheena (2001). Ramanaa (2002) and the Tamil Ghajini (2005), a revenge thriller about an amnesiac inspired by Memento, established him as a major action director. He remade Ghajini in Hindi in 2008, his Hindi debut, with Aamir Khan as the telecom tycoon who loses his short-term memory after witnessing his fiancée's murder. Aamir co-wrote the screenplay with Murugadoss. The film opened with record collections and became the first Hindi film to cross ₹100 crore nett in India, creating the industry's '100 crore club', though reviews were mixed about its length and violence. Murugadoss won the Producers Guild Best Director award. He returned to Tamil cinema with 7 Aum Arivu, Thuppakki, Kaththi, for which he won the Filmfare Best Director award (Tamil), and Sarkar, and made further Hindi films, Holiday (2014) and Sikandar (2025) with Salman Khan. His films typically wrap social issues into mass-market action.</t>
        </is>
      </c>
      <c r="T68" s="5" t="inlineStr">
        <is>
          <t>SOURCE-107; SOURCE-045</t>
        </is>
      </c>
      <c r="U68" s="5" t="inlineStr">
        <is>
          <t>Medium</t>
        </is>
      </c>
    </row>
    <row r="69" ht="79" customHeight="1">
      <c r="A69" s="15" t="inlineStr">
        <is>
          <t>PERSON-068</t>
        </is>
      </c>
      <c r="B69" s="5" t="inlineStr">
        <is>
          <t>Aadesh Shrivastava</t>
        </is>
      </c>
      <c r="C69" s="5" t="inlineStr">
        <is>
          <t>Background-score composer</t>
        </is>
      </c>
      <c r="D69" s="17" t="n">
        <v>1964</v>
      </c>
      <c r="E69" s="17" t="n">
        <v>2015</v>
      </c>
      <c r="F69" s="5" t="inlineStr">
        <is>
          <t>1990–2015</t>
        </is>
      </c>
      <c r="G69" s="5" t="inlineStr">
        <is>
          <t>Hindi cinema</t>
        </is>
      </c>
      <c r="H69" s="5" t="inlineStr">
        <is>
          <t>A composer and playback singer from Katni who started as a drummer for R. D. Burman and Rajesh Roshan and composed for over 100 Hindi films.</t>
        </is>
      </c>
      <c r="I69" s="5" t="inlineStr">
        <is>
          <t>Kanyadaan (1993).</t>
        </is>
      </c>
      <c r="J69" s="5" t="inlineStr">
        <is>
          <t>With Khan: Baazi (1995). Wider work: Aao Pyaar Karen, Shastra, Kabhi Khushi Kabhie Gham (songs), Baghban.</t>
        </is>
      </c>
      <c r="K69" s="19" t="inlineStr">
        <is>
          <t>Mainstream film songs and scores.</t>
        </is>
      </c>
      <c r="L69" s="19" t="n"/>
      <c r="M69" s="5" t="n"/>
      <c r="N69" s="19" t="n"/>
      <c r="O69" s="19" t="inlineStr">
        <is>
          <t>One film: Ashutosh Gowariker's action thriller Baazi, for which he wrote the background score; Khan plays a police inspector who goes undercover in drag.</t>
        </is>
      </c>
      <c r="P69" s="17" t="n">
        <v>1</v>
      </c>
      <c r="Q69" s="5" t="inlineStr">
        <is>
          <t>FILM-022</t>
        </is>
      </c>
      <c r="R69" s="5" t="inlineStr">
        <is>
          <t>Baazi (1995)</t>
        </is>
      </c>
      <c r="S69" s="5" t="inlineStr">
        <is>
          <t>Aadesh Shrivastava drummed for R. D. Burman and Rajesh Roshan before composing, and his first film, Kanyadaan (1993), had a Lata Mangeshkar song that became a radio hit. He composed for over a hundred films and contributed songs to Kabhi Khushi Kabhie Gham. He wrote the background score for Baazi (1995), Ashutosh Gowariker's action film starring Aamir Khan as a police officer. Shrivastava, who was married to Vijayta Pandit, sister of Jatin–Lalit, died of cancer on 5 September 2015.</t>
        </is>
      </c>
      <c r="T69" s="5" t="inlineStr">
        <is>
          <t>SOURCE-137; SOURCE-028</t>
        </is>
      </c>
      <c r="U69" s="5" t="inlineStr">
        <is>
          <t>Medium</t>
        </is>
      </c>
    </row>
    <row r="70" ht="64" customHeight="1">
      <c r="A70" s="15" t="inlineStr">
        <is>
          <t>PERSON-069</t>
        </is>
      </c>
      <c r="B70" s="5" t="inlineStr">
        <is>
          <t>Aatish Kapadia</t>
        </is>
      </c>
      <c r="C70" s="5" t="inlineStr">
        <is>
          <t>Writer</t>
        </is>
      </c>
      <c r="D70" s="18" t="n"/>
      <c r="E70" s="18" t="n"/>
      <c r="F70" s="5" t="n"/>
      <c r="G70" s="5" t="inlineStr">
        <is>
          <t>Hindi cinema</t>
        </is>
      </c>
      <c r="H70" s="5" t="inlineStr">
        <is>
          <t>A writer credited on one film in this filmography, with no Wikipedia article of their own.</t>
        </is>
      </c>
      <c r="I70" s="5" t="n"/>
      <c r="J70" s="5" t="inlineStr">
        <is>
          <t>With Khan: Mann (1999).</t>
        </is>
      </c>
      <c r="K70" s="19" t="n"/>
      <c r="L70" s="19" t="n"/>
      <c r="M70" s="5" t="n"/>
      <c r="N70" s="19" t="n"/>
      <c r="O70" s="19" t="inlineStr">
        <is>
          <t>One film with Khan, credited as writer: Mann (1999), directed by Indra Kumar, with Khan in the lead as Dev Karan Singh; verdict: Profitable.</t>
        </is>
      </c>
      <c r="P70" s="17" t="n">
        <v>1</v>
      </c>
      <c r="Q70" s="5" t="inlineStr">
        <is>
          <t>FILM-030</t>
        </is>
      </c>
      <c r="R70" s="5" t="inlineStr">
        <is>
          <t>Mann (1999)</t>
        </is>
      </c>
      <c r="S70" s="5" t="inlineStr">
        <is>
          <t>Aatish Kapadia is credited as writer on Mann (1999). No Wikipedia article or other independent biography was located; this row is built from the film credit alone.</t>
        </is>
      </c>
      <c r="T70" s="5" t="inlineStr">
        <is>
          <t>SOURCE-037</t>
        </is>
      </c>
      <c r="U70" s="5" t="inlineStr">
        <is>
          <t>Low</t>
        </is>
      </c>
    </row>
    <row r="71" ht="79" customHeight="1">
      <c r="A71" s="15" t="inlineStr">
        <is>
          <t>PERSON-070</t>
        </is>
      </c>
      <c r="B71" s="5" t="inlineStr">
        <is>
          <t>Abhinay Deo</t>
        </is>
      </c>
      <c r="C71" s="5" t="inlineStr">
        <is>
          <t>Director</t>
        </is>
      </c>
      <c r="D71" s="18" t="n"/>
      <c r="E71" s="18" t="n"/>
      <c r="F71" s="5" t="inlineStr">
        <is>
          <t>2004–present</t>
        </is>
      </c>
      <c r="G71" s="5" t="inlineStr">
        <is>
          <t>Hindi cinema</t>
        </is>
      </c>
      <c r="H71" s="5" t="inlineStr">
        <is>
          <t>An architect turned advertising director and filmmaker, son of the actors Ramesh and Seema Deo and brother of the actor Ajinkya Deo, who has made commercials for Coca-Cola, Pepsi, Nike and Toyota.</t>
        </is>
      </c>
      <c r="I71" s="5" t="inlineStr">
        <is>
          <t>Game (2011).</t>
        </is>
      </c>
      <c r="J71" s="5" t="inlineStr">
        <is>
          <t>With Khan: Delhi Belly (2011). Wider work: Game, Force 2, Blackmail, the series 24.</t>
        </is>
      </c>
      <c r="K71" s="19" t="inlineStr">
        <is>
          <t>Thrillers and dark comedy.</t>
        </is>
      </c>
      <c r="L71" s="19" t="n"/>
      <c r="M71" s="5" t="inlineStr">
        <is>
          <t>Filmfare Award for Best Debut Director (Delhi Belly).</t>
        </is>
      </c>
      <c r="N71" s="19" t="n"/>
      <c r="O71" s="19" t="inlineStr">
        <is>
          <t>Directed Delhi Belly for Aamir Khan Productions; Khan appears in a cameo during the closing song. It was a super hit.</t>
        </is>
      </c>
      <c r="P71" s="17" t="n">
        <v>1</v>
      </c>
      <c r="Q71" s="5" t="inlineStr">
        <is>
          <t>FILM-043</t>
        </is>
      </c>
      <c r="R71" s="5" t="inlineStr">
        <is>
          <t>Delhi Belly (2011)</t>
        </is>
      </c>
      <c r="S71" s="5" t="inlineStr">
        <is>
          <t>Abhinay Deo trained as an architect and became a successful advertising director before releasing two films in 2011, the thriller Game and Delhi Belly, the English-language Aamir Khan Productions comedy about three Delhi flatmates caught up with gangsters. Delhi Belly was a super hit and won him the Filmfare Award for Best Debut Director; Khan appears in it in a cameo during the closing number. Deo later directed Force 2 and Blackmail.</t>
        </is>
      </c>
      <c r="T71" s="5" t="inlineStr">
        <is>
          <t>SOURCE-138; SOURCE-049</t>
        </is>
      </c>
      <c r="U71" s="5" t="inlineStr">
        <is>
          <t>Medium</t>
        </is>
      </c>
    </row>
    <row r="72" ht="169" customHeight="1">
      <c r="A72" s="15" t="inlineStr">
        <is>
          <t>PERSON-071</t>
        </is>
      </c>
      <c r="B72" s="5" t="inlineStr">
        <is>
          <t>Aditya Bhattacharya</t>
        </is>
      </c>
      <c r="C72" s="5" t="inlineStr">
        <is>
          <t>Director; writer; producer</t>
        </is>
      </c>
      <c r="D72" s="17" t="n">
        <v>1965</v>
      </c>
      <c r="E72" s="18" t="n"/>
      <c r="F72" s="5" t="inlineStr">
        <is>
          <t>1983–present</t>
        </is>
      </c>
      <c r="G72" s="5" t="inlineStr">
        <is>
          <t>Hindi</t>
        </is>
      </c>
      <c r="H72" s="5" t="inlineStr">
        <is>
          <t>Son of filmmaker Basu Bhattacharya and Rinki Bhattacharya, and grandson of Bimal Roy; began as an actor.</t>
        </is>
      </c>
      <c r="I72" s="5" t="inlineStr">
        <is>
          <t>Raakh (1989), which won three National Film Awards and the BFJA Best Directorial Debut award but underperformed commercially.</t>
        </is>
      </c>
      <c r="J72" s="5" t="inlineStr">
        <is>
          <t>Raakh (1989); Dubai Return (2005); Bombay's Most Wanted (2012)</t>
        </is>
      </c>
      <c r="K72" s="19" t="inlineStr">
        <is>
          <t>Urban crime, violence and moral corrosion</t>
        </is>
      </c>
      <c r="L72" s="19" t="inlineStr">
        <is>
          <t>Stylised, low-budget urban noir; Raakh gave cinematographer Santosh Sivan and editor A. Sreekar Prasad their Bollywood debuts.</t>
        </is>
      </c>
      <c r="M72" s="5" t="inlineStr">
        <is>
          <t>Three National Film Awards for Raakh (to its cast and crew); Bengal Film Journalists' Association Best Directorial Debut</t>
        </is>
      </c>
      <c r="N72" s="19" t="inlineStr">
        <is>
          <t>Raakh has a cult following as an early, dark counterpoint to the romantic films that made Aamir Khan a star.</t>
        </is>
      </c>
      <c r="O72" s="19" t="inlineStr">
        <is>
          <t>Directed Aamir Khan in the anti-hero role he filmed before Qayamat Se Qayamat Tak.</t>
        </is>
      </c>
      <c r="P72" s="17" t="n">
        <v>1</v>
      </c>
      <c r="Q72" s="5" t="inlineStr">
        <is>
          <t>FILM-005</t>
        </is>
      </c>
      <c r="R72" s="5" t="inlineStr">
        <is>
          <t>Raakh (1989)</t>
        </is>
      </c>
      <c r="S72" s="5" t="inlineStr">
        <is>
          <t>Aditya Bhattacharya, born in 1965, comes from one of Hindi cinema's best-known film families: he is the son of director Basu Bhattacharya and writer Rinki Bhattacharya, and the grandson of Bimal Roy. He started out as an actor before turning to direction. His debut, Raakh (1989), co-written with Nuzhat Khan, is a stylish crime drama in which Aamir Khan plays a young man who turns vigilante after his girlfriend is raped by a crime boss, guided by a disillusioned policeman played by Pankaj Kapur. Shot before Qayamat Se Qayamat Tak but released after it, the film underperformed commercially but won three National Film Awards: Best Supporting Actor for Pankaj Kapur, Best Editing for A. Sreekar Prasad, and a Special Mention for Aamir Khan covering both his 1988–89 performances. Bhattacharya won the Bengal Film Journalists' Association award for Best Directorial Debut, and the film's photography marked Santosh Sivan's Bollywood debut. Raakh has since built a cult following. Bhattacharya's later films include Dubai Return (2005), with Irrfan Khan and Divya Dutta, which premiered at IFFI Goa, and Bombay's Most Wanted (2012). He divides his time between Barcelona and Mumbai.</t>
        </is>
      </c>
      <c r="T72" s="5" t="inlineStr">
        <is>
          <t>SOURCE-081; SOURCE-008; SOURCE-067</t>
        </is>
      </c>
      <c r="U72" s="5" t="inlineStr">
        <is>
          <t>Medium</t>
        </is>
      </c>
    </row>
    <row r="73" ht="64" customHeight="1">
      <c r="A73" s="15" t="inlineStr">
        <is>
          <t>PERSON-072</t>
        </is>
      </c>
      <c r="B73" s="5" t="inlineStr">
        <is>
          <t>Aftab Pictures</t>
        </is>
      </c>
      <c r="C73" s="5" t="inlineStr">
        <is>
          <t>Production banner</t>
        </is>
      </c>
      <c r="D73" s="18" t="n"/>
      <c r="E73" s="18" t="n"/>
      <c r="F73" s="5" t="n"/>
      <c r="G73" s="5" t="inlineStr">
        <is>
          <t>Hindi cinema</t>
        </is>
      </c>
      <c r="H73" s="5" t="inlineStr">
        <is>
          <t>A production banner credited on one film in this filmography, with no Wikipedia article of its own.</t>
        </is>
      </c>
      <c r="I73" s="5" t="n"/>
      <c r="J73" s="5" t="inlineStr">
        <is>
          <t>With Khan: Baazi (1995).</t>
        </is>
      </c>
      <c r="K73" s="19" t="n"/>
      <c r="L73" s="19" t="n"/>
      <c r="M73" s="5" t="n"/>
      <c r="N73" s="19" t="n"/>
      <c r="O73" s="19" t="inlineStr">
        <is>
          <t>One film with Khan, credited as production banner: Baazi (1995), directed by Ashutosh Gowariker, with Khan in the lead as Inspector Amar Damjee Rathod.</t>
        </is>
      </c>
      <c r="P73" s="17" t="n">
        <v>1</v>
      </c>
      <c r="Q73" s="5" t="inlineStr">
        <is>
          <t>FILM-022</t>
        </is>
      </c>
      <c r="R73" s="5" t="inlineStr">
        <is>
          <t>Baazi (1995)</t>
        </is>
      </c>
      <c r="S73" s="5" t="inlineStr">
        <is>
          <t>Aftab Pictures is credited as production banner on Baazi (1995). No Wikipedia article or other independent biography was located for the company; this row is built from the film credit alone.</t>
        </is>
      </c>
      <c r="T73" s="5" t="inlineStr">
        <is>
          <t>SOURCE-028</t>
        </is>
      </c>
      <c r="U73" s="5" t="inlineStr">
        <is>
          <t>Low</t>
        </is>
      </c>
    </row>
    <row r="74" ht="64" customHeight="1">
      <c r="A74" s="15" t="inlineStr">
        <is>
          <t>PERSON-073</t>
        </is>
      </c>
      <c r="B74" s="5" t="inlineStr">
        <is>
          <t>Aji</t>
        </is>
      </c>
      <c r="C74" s="5" t="inlineStr">
        <is>
          <t>Producer</t>
        </is>
      </c>
      <c r="D74" s="18" t="n"/>
      <c r="E74" s="18" t="n"/>
      <c r="F74" s="5" t="n"/>
      <c r="G74" s="5" t="inlineStr">
        <is>
          <t>Hindi cinema</t>
        </is>
      </c>
      <c r="H74" s="5" t="inlineStr">
        <is>
          <t>A producer credited on one film in this filmography, with no Wikipedia article of their own.</t>
        </is>
      </c>
      <c r="I74" s="5" t="n"/>
      <c r="J74" s="5" t="inlineStr">
        <is>
          <t>With Khan: Deewana Mujh Sa Nahin (1990).</t>
        </is>
      </c>
      <c r="K74" s="19" t="n"/>
      <c r="L74" s="19" t="n"/>
      <c r="M74" s="5" t="n"/>
      <c r="N74" s="19" t="n"/>
      <c r="O74" s="19" t="inlineStr">
        <is>
          <t>One film with Khan, credited as producer: Deewana Mujh Sa Nahin (1990), directed by Y. Nageshwar Rao, with Khan in the lead as Ajay Sharma.</t>
        </is>
      </c>
      <c r="P74" s="17" t="n">
        <v>1</v>
      </c>
      <c r="Q74" s="5" t="inlineStr">
        <is>
          <t>FILM-010</t>
        </is>
      </c>
      <c r="R74" s="5" t="inlineStr">
        <is>
          <t>Deewana Mujh Sa Nahin (1990)</t>
        </is>
      </c>
      <c r="S74" s="5" t="inlineStr">
        <is>
          <t>Aji is credited as producer on Deewana Mujh Sa Nahin (1990). No Wikipedia article or other independent biography was located; this row is built from the film credit alone.</t>
        </is>
      </c>
      <c r="T74" s="5" t="inlineStr">
        <is>
          <t>SOURCE-015</t>
        </is>
      </c>
      <c r="U74" s="5" t="inlineStr">
        <is>
          <t>Low</t>
        </is>
      </c>
    </row>
    <row r="75" ht="79" customHeight="1">
      <c r="A75" s="15" t="inlineStr">
        <is>
          <t>PERSON-074</t>
        </is>
      </c>
      <c r="B75" s="5" t="inlineStr">
        <is>
          <t>Ajit Andhare</t>
        </is>
      </c>
      <c r="C75" s="5" t="inlineStr">
        <is>
          <t>Producer (Viacom18 Studios)</t>
        </is>
      </c>
      <c r="D75" s="17" t="n">
        <v>1973</v>
      </c>
      <c r="E75" s="18" t="n"/>
      <c r="F75" s="5" t="n"/>
      <c r="G75" s="5" t="inlineStr">
        <is>
          <t>Hindi cinema</t>
        </is>
      </c>
      <c r="H75" s="5" t="inlineStr">
        <is>
          <t>Chief operating officer of Viacom18 Studios, trained as a mechanical engineer at NIT Rourkela and at the Indian School of Business, who earlier worked in consumer goods and founded Colosceum Media.</t>
        </is>
      </c>
      <c r="I75" s="5" t="n"/>
      <c r="J75" s="5" t="inlineStr">
        <is>
          <t>With Khan: Laal Singh Chaddha (2022). Television: MTV Roadies, MTV Splitsvilla, MasterChef India.</t>
        </is>
      </c>
      <c r="K75" s="19" t="n"/>
      <c r="L75" s="19" t="n"/>
      <c r="M75" s="5" t="n"/>
      <c r="N75" s="19" t="n"/>
      <c r="O75" s="19" t="inlineStr">
        <is>
          <t>One film: Laal Singh Chaddha, Viacom18's co-production with Aamir Khan Productions and Paramount, with Khan in the title role. It was a disaster.</t>
        </is>
      </c>
      <c r="P75" s="17" t="n">
        <v>1</v>
      </c>
      <c r="Q75" s="5" t="inlineStr">
        <is>
          <t>FILM-053</t>
        </is>
      </c>
      <c r="R75" s="5" t="inlineStr">
        <is>
          <t>Laal Singh Chaddha (2022)</t>
        </is>
      </c>
      <c r="S75" s="5" t="inlineStr">
        <is>
          <t>Ajit Andhare runs Viacom18's film business and was previously a television producer of formats such as MTV Roadies and MasterChef India. He is credited as a producer on Laal Singh Chaddha (2022), Aamir Khan's long-planned adaptation of Forrest Gump, in which Khan plays a simple-minded Sikh man whose life runs through four decades of Indian history. The film was a commercial disaster.</t>
        </is>
      </c>
      <c r="T75" s="5" t="inlineStr">
        <is>
          <t>SOURCE-139; SOURCE-059</t>
        </is>
      </c>
      <c r="U75" s="5" t="inlineStr">
        <is>
          <t>Medium</t>
        </is>
      </c>
    </row>
    <row r="76" ht="64" customHeight="1">
      <c r="A76" s="15" t="inlineStr">
        <is>
          <t>PERSON-075</t>
        </is>
      </c>
      <c r="B76" s="5" t="inlineStr">
        <is>
          <t>Akash Chawla</t>
        </is>
      </c>
      <c r="C76" s="5" t="inlineStr">
        <is>
          <t>Producer</t>
        </is>
      </c>
      <c r="D76" s="18" t="n"/>
      <c r="E76" s="18" t="n"/>
      <c r="F76" s="5" t="n"/>
      <c r="G76" s="5" t="inlineStr">
        <is>
          <t>Hindi cinema</t>
        </is>
      </c>
      <c r="H76" s="5" t="inlineStr">
        <is>
          <t>A producer credited on one film in this filmography, with no Wikipedia article of their own.</t>
        </is>
      </c>
      <c r="I76" s="5" t="n"/>
      <c r="J76" s="5" t="inlineStr">
        <is>
          <t>With Khan: Secret Superstar (2017).</t>
        </is>
      </c>
      <c r="K76" s="19" t="n"/>
      <c r="L76" s="19" t="n"/>
      <c r="M76" s="5" t="n"/>
      <c r="N76" s="19" t="n"/>
      <c r="O76" s="19" t="inlineStr">
        <is>
          <t>One film with Khan, credited as producer: Secret Superstar (2017), directed by Advait Chandan, with Khan in a supporting role as Shakti Kumar; verdict: Blockbuster.</t>
        </is>
      </c>
      <c r="P76" s="17" t="n">
        <v>1</v>
      </c>
      <c r="Q76" s="5" t="inlineStr">
        <is>
          <t>FILM-050</t>
        </is>
      </c>
      <c r="R76" s="5" t="inlineStr">
        <is>
          <t>Secret Superstar (2017)</t>
        </is>
      </c>
      <c r="S76" s="5" t="inlineStr">
        <is>
          <t>Akash Chawla is credited as producer on Secret Superstar (2017). No Wikipedia article or other independent biography was located; this row is built from the film credit alone.</t>
        </is>
      </c>
      <c r="T76" s="5" t="inlineStr">
        <is>
          <t>SOURCE-056</t>
        </is>
      </c>
      <c r="U76" s="5" t="inlineStr">
        <is>
          <t>Low</t>
        </is>
      </c>
    </row>
    <row r="77" ht="64" customHeight="1">
      <c r="A77" s="15" t="inlineStr">
        <is>
          <t>PERSON-076</t>
        </is>
      </c>
      <c r="B77" s="5" t="inlineStr">
        <is>
          <t>Akshat Verma</t>
        </is>
      </c>
      <c r="C77" s="5" t="inlineStr">
        <is>
          <t>Writer; lyricist</t>
        </is>
      </c>
      <c r="D77" s="17" t="n">
        <v>1972</v>
      </c>
      <c r="E77" s="18" t="n"/>
      <c r="F77" s="5" t="inlineStr">
        <is>
          <t>2008–present</t>
        </is>
      </c>
      <c r="G77" s="5" t="inlineStr">
        <is>
          <t>Hindi cinema</t>
        </is>
      </c>
      <c r="H77" s="5" t="inlineStr">
        <is>
          <t>An Indian screenwriter, producer, director and songwriter.</t>
        </is>
      </c>
      <c r="I77" s="5" t="inlineStr">
        <is>
          <t>The Ode (2008), as writer.</t>
        </is>
      </c>
      <c r="J77" s="5" t="inlineStr">
        <is>
          <t>With Khan: Delhi Belly (2011). Wider work: The Ode, Kaalakaandi (writer-director), the short Mama's Boys.</t>
        </is>
      </c>
      <c r="K77" s="19" t="inlineStr">
        <is>
          <t>Profane urban black comedy.</t>
        </is>
      </c>
      <c r="L77" s="19" t="n"/>
      <c r="M77" s="5" t="n"/>
      <c r="N77" s="19" t="n"/>
      <c r="O77" s="19" t="inlineStr">
        <is>
          <t>Wrote Delhi Belly, which Aamir Khan produced, and several of its song lyrics; the script won multiple writing awards. Khan appears in a cameo.</t>
        </is>
      </c>
      <c r="P77" s="17" t="n">
        <v>1</v>
      </c>
      <c r="Q77" s="5" t="inlineStr">
        <is>
          <t>FILM-043</t>
        </is>
      </c>
      <c r="R77" s="5" t="inlineStr">
        <is>
          <t>Delhi Belly (2011)</t>
        </is>
      </c>
      <c r="S77" s="5" t="inlineStr">
        <is>
          <t>Akshat Verma wrote the screenplay of Delhi Belly (2011), a fast, foul-mouthed comedy about three flatmates and a package of smuggled diamonds that Aamir Khan Productions made in English and Hindi; it won several screenwriting awards, was a super hit, and features Khan in a cameo. Verma also wrote lyrics for the soundtrack. He later wrote and directed Kaalakaandi (2018) with Saif Ali Khan.</t>
        </is>
      </c>
      <c r="T77" s="5" t="inlineStr">
        <is>
          <t>SOURCE-140; SOURCE-049</t>
        </is>
      </c>
      <c r="U77" s="5" t="inlineStr">
        <is>
          <t>Medium</t>
        </is>
      </c>
    </row>
    <row r="78" ht="79" customHeight="1">
      <c r="A78" s="15" t="inlineStr">
        <is>
          <t>PERSON-077</t>
        </is>
      </c>
      <c r="B78" s="5" t="inlineStr">
        <is>
          <t>Allu Aravind</t>
        </is>
      </c>
      <c r="C78" s="5" t="inlineStr">
        <is>
          <t>Producer</t>
        </is>
      </c>
      <c r="D78" s="17" t="n">
        <v>1949</v>
      </c>
      <c r="E78" s="18" t="n"/>
      <c r="F78" s="5" t="n"/>
      <c r="G78" s="5" t="inlineStr">
        <is>
          <t>Telugu cinema; Tamil and Hindi cinema</t>
        </is>
      </c>
      <c r="H78" s="5" t="inlineStr">
        <is>
          <t>A Telugu film producer and distributor from Palakollu, son of the comic actor Allu Ramalingaiah and father of Allu Arjun, who founded Geetha Arts and co-owns the streaming service Aha and Kerala Blasters FC.</t>
        </is>
      </c>
      <c r="I78" s="5" t="inlineStr">
        <is>
          <t>Bantrothu Bharya (1974).</t>
        </is>
      </c>
      <c r="J78" s="5" t="inlineStr">
        <is>
          <t>With Khan: Ghajini (2008). Wider work: Master, Annayya, Jalsa, Magadheera, Sarrainodu, Ala Vaikunthapurramuloo.</t>
        </is>
      </c>
      <c r="K78" s="19" t="inlineStr">
        <is>
          <t>Big-star Telugu commercial cinema.</t>
        </is>
      </c>
      <c r="L78" s="19" t="n"/>
      <c r="M78" s="5" t="inlineStr">
        <is>
          <t>Filmfare Lifetime Achievement Award (South); two Nandi Awards.</t>
        </is>
      </c>
      <c r="N78" s="19" t="n"/>
      <c r="O78" s="19" t="inlineStr">
        <is>
          <t>Produced Ghajini, A. R. Murugadoss's Hindi remake of his own Tamil thriller, with Khan as a man with short-term memory loss hunting his girlfriend's killer; it was an all-time blockbuster.</t>
        </is>
      </c>
      <c r="P78" s="17" t="n">
        <v>1</v>
      </c>
      <c r="Q78" s="5" t="inlineStr">
        <is>
          <t>FILM-039</t>
        </is>
      </c>
      <c r="R78" s="5" t="inlineStr">
        <is>
          <t>Ghajini (2008)</t>
        </is>
      </c>
      <c r="S78" s="5" t="inlineStr">
        <is>
          <t>Allu Aravind is one of the most successful producers in South Indian cinema, the founder of Geetha Arts and a member of the extended Allu-Konidela film family. His one Hindi production with Aamir Khan, Ghajini (2008), remade A. R. Murugadoss's Tamil thriller with Khan, heavily muscled, as a businessman with anterograde amnesia avenging his lover's murder. It was one of the biggest Hindi hits ever made at the time. Aravind went on to produce Magadheera and Ala Vaikunthapurramuloo in Telugu.</t>
        </is>
      </c>
      <c r="T78" s="5" t="inlineStr">
        <is>
          <t>SOURCE-141; SOURCE-045</t>
        </is>
      </c>
      <c r="U78" s="5" t="inlineStr">
        <is>
          <t>Medium</t>
        </is>
      </c>
    </row>
    <row r="79" ht="64" customHeight="1">
      <c r="A79" s="15" t="inlineStr">
        <is>
          <t>PERSON-078</t>
        </is>
      </c>
      <c r="B79" s="5" t="inlineStr">
        <is>
          <t>Amaal Mallik</t>
        </is>
      </c>
      <c r="C79" s="5" t="inlineStr">
        <is>
          <t>Song composer</t>
        </is>
      </c>
      <c r="D79" s="17" t="n">
        <v>1990</v>
      </c>
      <c r="E79" s="18" t="n"/>
      <c r="F79" s="5" t="inlineStr">
        <is>
          <t>2014–present</t>
        </is>
      </c>
      <c r="G79" s="5" t="inlineStr">
        <is>
          <t>Hindi cinema</t>
        </is>
      </c>
      <c r="H79" s="5" t="inlineStr">
        <is>
          <t>A Hindi-film composer and singer, son of the composer Daboo Malik and brother of the singer Armaan Malik, who also competed in Bigg Boss 19.</t>
        </is>
      </c>
      <c r="I79" s="5" t="inlineStr">
        <is>
          <t>Jai Ho (2014).</t>
        </is>
      </c>
      <c r="J79" s="5" t="inlineStr">
        <is>
          <t>With Khan: Koi Jaane Na (2021). Wider work: 'Sooraj Dooba Hain' (Roy), M.S. Dhoni: The Untold Story, Kapoor &amp; Sons, Badrinath Ki Dulhania.</t>
        </is>
      </c>
      <c r="K79" s="19" t="inlineStr">
        <is>
          <t>Contemporary romantic pop.</t>
        </is>
      </c>
      <c r="L79" s="19" t="n"/>
      <c r="M79" s="5" t="n"/>
      <c r="N79" s="19" t="n"/>
      <c r="O79" s="19" t="inlineStr">
        <is>
          <t>One film: Koi Jaane Na, for which he composed songs; Khan appears in one of them.</t>
        </is>
      </c>
      <c r="P79" s="17" t="n">
        <v>1</v>
      </c>
      <c r="Q79" s="5" t="inlineStr">
        <is>
          <t>FILM-052</t>
        </is>
      </c>
      <c r="R79" s="5" t="inlineStr">
        <is>
          <t>Koi Jaane Na (2021)</t>
        </is>
      </c>
      <c r="S79" s="5" t="inlineStr">
        <is>
          <t>Amaal Mallik debuted with Jai Ho (2014) and had his first big hit with 'Sooraj Dooba Hain' in 2015, followed by successful soundtracks for M.S. Dhoni: The Untold Story and Kapoor &amp; Sons. He composed songs for Koi Jaane Na (2021), Amin Hajee's thriller, in which Aamir Khan makes a self appearance in a song number.</t>
        </is>
      </c>
      <c r="T79" s="5" t="inlineStr">
        <is>
          <t>SOURCE-142; SOURCE-058</t>
        </is>
      </c>
      <c r="U79" s="5" t="inlineStr">
        <is>
          <t>Medium</t>
        </is>
      </c>
    </row>
    <row r="80" ht="79" customHeight="1">
      <c r="A80" s="15" t="inlineStr">
        <is>
          <t>PERSON-079</t>
        </is>
      </c>
      <c r="B80" s="5" t="inlineStr">
        <is>
          <t>Amar Haldipur</t>
        </is>
      </c>
      <c r="C80" s="5" t="inlineStr">
        <is>
          <t>Background-score composer; music arranger</t>
        </is>
      </c>
      <c r="D80" s="18" t="n"/>
      <c r="E80" s="18" t="n"/>
      <c r="F80" s="5" t="n"/>
      <c r="G80" s="5" t="inlineStr">
        <is>
          <t>Hindi cinema</t>
        </is>
      </c>
      <c r="H80" s="5" t="inlineStr">
        <is>
          <t>A Hindi and Punjabi film composer, violinist and arranger who says he has arranged about 6,000 songs for composers from Laxmikant–Pyarelal to Nadeem–Shravan; father of Siddharth and Sangeet Haldipur.</t>
        </is>
      </c>
      <c r="I80" s="5" t="n"/>
      <c r="J80" s="5" t="inlineStr">
        <is>
          <t>With Khan: Ghulam (1998). Wider work: Shaheed-E-Mohabbat, Channa Sachi Muchi; the violin solo on 'Dard-e-Dil' (Karz).</t>
        </is>
      </c>
      <c r="K80" s="19" t="inlineStr">
        <is>
          <t>Orchestral arrangement and background scoring.</t>
        </is>
      </c>
      <c r="L80" s="19" t="n"/>
      <c r="M80" s="5" t="n"/>
      <c r="N80" s="19" t="n"/>
      <c r="O80" s="19" t="inlineStr">
        <is>
          <t>One film: Vikram Bhatt's Ghulam, for which he wrote the background score; Khan plays the lead and it was a hit.</t>
        </is>
      </c>
      <c r="P80" s="17" t="n">
        <v>1</v>
      </c>
      <c r="Q80" s="5" t="inlineStr">
        <is>
          <t>FILM-028</t>
        </is>
      </c>
      <c r="R80" s="5" t="inlineStr">
        <is>
          <t>Ghulam (1998)</t>
        </is>
      </c>
      <c r="S80" s="5" t="inlineStr">
        <is>
          <t>Amar Haldipur was a violinist and arranger for most of the major Hindi film composers from the 1970s on, and also composed for Punjabi films. He wrote the background score for Ghulam (1998), Vikram Bhatt's drama with Aamir Khan as a street boxer from Bombay, a hit. His article is thinly sourced.</t>
        </is>
      </c>
      <c r="T80" s="5" t="inlineStr">
        <is>
          <t>SOURCE-143; SOURCE-034</t>
        </is>
      </c>
      <c r="U80" s="5" t="inlineStr">
        <is>
          <t>Low</t>
        </is>
      </c>
    </row>
    <row r="81" ht="49" customHeight="1">
      <c r="A81" s="15" t="inlineStr">
        <is>
          <t>PERSON-080</t>
        </is>
      </c>
      <c r="B81" s="5" t="inlineStr">
        <is>
          <t>Amin Hajee</t>
        </is>
      </c>
      <c r="C81" s="5" t="inlineStr">
        <is>
          <t>Director; Producer; Writer</t>
        </is>
      </c>
      <c r="D81" s="18" t="n"/>
      <c r="E81" s="18" t="n"/>
      <c r="F81" s="5" t="n"/>
      <c r="G81" s="5" t="inlineStr">
        <is>
          <t>Hindi cinema</t>
        </is>
      </c>
      <c r="H81" s="5" t="inlineStr">
        <is>
          <t>A director, producer and writer credited on one film in this filmography, with no Wikipedia article of their own.</t>
        </is>
      </c>
      <c r="I81" s="5" t="n"/>
      <c r="J81" s="5" t="inlineStr">
        <is>
          <t>With Khan: Koi Jaane Na (2021).</t>
        </is>
      </c>
      <c r="K81" s="19" t="n"/>
      <c r="L81" s="19" t="n"/>
      <c r="M81" s="5" t="n"/>
      <c r="N81" s="19" t="n"/>
      <c r="O81" s="19" t="inlineStr">
        <is>
          <t>One film with Khan, credited as director, producer and writer: Koi Jaane Na (2021), with Khan in a self appearance.</t>
        </is>
      </c>
      <c r="P81" s="17" t="n">
        <v>1</v>
      </c>
      <c r="Q81" s="5" t="inlineStr">
        <is>
          <t>FILM-052</t>
        </is>
      </c>
      <c r="R81" s="5" t="inlineStr">
        <is>
          <t>Koi Jaane Na (2021)</t>
        </is>
      </c>
      <c r="S81" s="5" t="inlineStr">
        <is>
          <t>Amin Hajee is credited as director, producer and writer on Koi Jaane Na (2021). No Wikipedia article or other independent biography was located; this row is built from the film credit alone.</t>
        </is>
      </c>
      <c r="T81" s="5" t="inlineStr">
        <is>
          <t>SOURCE-058</t>
        </is>
      </c>
      <c r="U81" s="5" t="inlineStr">
        <is>
          <t>Low</t>
        </is>
      </c>
    </row>
    <row r="82" ht="49" customHeight="1">
      <c r="A82" s="15" t="inlineStr">
        <is>
          <t>PERSON-081</t>
        </is>
      </c>
      <c r="B82" s="5" t="inlineStr">
        <is>
          <t>Amin Hajee Film Company</t>
        </is>
      </c>
      <c r="C82" s="5" t="inlineStr">
        <is>
          <t>Production banner</t>
        </is>
      </c>
      <c r="D82" s="18" t="n"/>
      <c r="E82" s="18" t="n"/>
      <c r="F82" s="5" t="n"/>
      <c r="G82" s="5" t="inlineStr">
        <is>
          <t>Hindi cinema</t>
        </is>
      </c>
      <c r="H82" s="5" t="inlineStr">
        <is>
          <t>A production banner credited on one film in this filmography, with no Wikipedia article of its own.</t>
        </is>
      </c>
      <c r="I82" s="5" t="n"/>
      <c r="J82" s="5" t="inlineStr">
        <is>
          <t>With Khan: Koi Jaane Na (2021).</t>
        </is>
      </c>
      <c r="K82" s="19" t="n"/>
      <c r="L82" s="19" t="n"/>
      <c r="M82" s="5" t="n"/>
      <c r="N82" s="19" t="n"/>
      <c r="O82" s="19" t="inlineStr">
        <is>
          <t>One film with Khan, credited as production banner: Koi Jaane Na (2021), directed by Amin Hajee, with Khan in a self appearance.</t>
        </is>
      </c>
      <c r="P82" s="17" t="n">
        <v>1</v>
      </c>
      <c r="Q82" s="5" t="inlineStr">
        <is>
          <t>FILM-052</t>
        </is>
      </c>
      <c r="R82" s="5" t="inlineStr">
        <is>
          <t>Koi Jaane Na (2021)</t>
        </is>
      </c>
      <c r="S82" s="5" t="inlineStr">
        <is>
          <t>Amin Hajee Film Company is credited as production banner on Koi Jaane Na (2021). No Wikipedia article or other independent biography was located for the company; this row is built from the film credit alone.</t>
        </is>
      </c>
      <c r="T82" s="5" t="inlineStr">
        <is>
          <t>SOURCE-058</t>
        </is>
      </c>
      <c r="U82" s="5" t="inlineStr">
        <is>
          <t>Low</t>
        </is>
      </c>
    </row>
    <row r="83" ht="79" customHeight="1">
      <c r="A83" s="15" t="inlineStr">
        <is>
          <t>PERSON-082</t>
        </is>
      </c>
      <c r="B83" s="5" t="inlineStr">
        <is>
          <t>Amole Gupte</t>
        </is>
      </c>
      <c r="C83" s="5" t="inlineStr">
        <is>
          <t>Writer; creative director</t>
        </is>
      </c>
      <c r="D83" s="18" t="n"/>
      <c r="E83" s="18" t="n"/>
      <c r="F83" s="5" t="n"/>
      <c r="G83" s="5" t="inlineStr">
        <is>
          <t>Hindi cinema</t>
        </is>
      </c>
      <c r="H83" s="5" t="inlineStr">
        <is>
          <t>A screenwriter, actor, singer and director who conceived Taare Zameen Par with his wife Deepa Bhatia, chaired the Children's Film Society, India (2012–2015), and acted in the Doordarshan serial Palash Ke Phool.</t>
        </is>
      </c>
      <c r="I83" s="5" t="n"/>
      <c r="J83" s="5" t="inlineStr">
        <is>
          <t>With Khan: Taare Zameen Par (2007). Wider work: Stanley Ka Dabba, Hawaa Hawaai (director); acted in Kaminey.</t>
        </is>
      </c>
      <c r="K83" s="19" t="inlineStr">
        <is>
          <t>Children's films.</t>
        </is>
      </c>
      <c r="L83" s="19" t="n"/>
      <c r="M83" s="5" t="n"/>
      <c r="N83" s="19" t="n"/>
      <c r="O83" s="19" t="inlineStr">
        <is>
          <t>Wrote and was creative director of Taare Zameen Par, which he developed; Khan directed it and plays Ram Shankar Nikumbh, the art teacher who recognises a child's dyslexia. It was a commercial success.</t>
        </is>
      </c>
      <c r="P83" s="17" t="n">
        <v>1</v>
      </c>
      <c r="Q83" s="5" t="inlineStr">
        <is>
          <t>FILM-038</t>
        </is>
      </c>
      <c r="R83" s="5" t="inlineStr">
        <is>
          <t>Taare Zameen Par (2007)</t>
        </is>
      </c>
      <c r="S83" s="5" t="inlineStr">
        <is>
          <t>Amole Gupte, with his wife Deepa Bhatia, conceived and researched Taare Zameen Par (2007), a film about Ishaan, a dyslexic eight-year-old misjudged by his family and school. Gupte wrote it and served as creative director, and Aamir Khan, who produced it, took over as director and played Ishaan's art teacher in a supporting role. The film was a commercial and critical success and won the Filmfare Award for Best Film. Gupte later directed children's films such as Stanley Ka Dabba and chaired the Children's Film Society, India.</t>
        </is>
      </c>
      <c r="T83" s="5" t="inlineStr">
        <is>
          <t>SOURCE-144; SOURCE-044</t>
        </is>
      </c>
      <c r="U83" s="5" t="inlineStr">
        <is>
          <t>Medium</t>
        </is>
      </c>
    </row>
    <row r="84" ht="64" customHeight="1">
      <c r="A84" s="15" t="inlineStr">
        <is>
          <t>PERSON-083</t>
        </is>
      </c>
      <c r="B84" s="5" t="inlineStr">
        <is>
          <t>Anirudh Ravichander</t>
        </is>
      </c>
      <c r="C84" s="5" t="inlineStr">
        <is>
          <t>Song composer; Background-score composer</t>
        </is>
      </c>
      <c r="D84" s="17" t="n">
        <v>1990</v>
      </c>
      <c r="E84" s="18" t="n"/>
      <c r="F84" s="5" t="inlineStr">
        <is>
          <t>2012–present</t>
        </is>
      </c>
      <c r="G84" s="5" t="inlineStr">
        <is>
          <t>Tamil cinema; Telugu and Hindi cinema</t>
        </is>
      </c>
      <c r="H84" s="5" t="inlineStr">
        <is>
          <t>A Tamil composer and playback singer, son of the actor Ravi Raghavendra and the dancer Lakshmi Ravichander.</t>
        </is>
      </c>
      <c r="I84" s="5" t="inlineStr">
        <is>
          <t>'Why This Kolaveri Di' from 3 (2012).</t>
        </is>
      </c>
      <c r="J84" s="5" t="inlineStr">
        <is>
          <t>With Khan: Coolie (2025). Wider work: Kaththi, Petta, Vikram, Jailer, Leo, Jawan.</t>
        </is>
      </c>
      <c r="K84" s="19" t="inlineStr">
        <is>
          <t>High-energy mass-hero soundtracks.</t>
        </is>
      </c>
      <c r="L84" s="19" t="n"/>
      <c r="M84" s="5" t="inlineStr">
        <is>
          <t>Two Filmfare Awards South; ten SIIMA Awards.</t>
        </is>
      </c>
      <c r="N84" s="19" t="n"/>
      <c r="O84" s="19" t="inlineStr">
        <is>
          <t>One film: Lokesh Kanagaraj's Tamil action film Coolie, starring Rajinikanth, for which he wrote songs and score; Khan has a cameo. It was commercially successful.</t>
        </is>
      </c>
      <c r="P84" s="17" t="n">
        <v>1</v>
      </c>
      <c r="Q84" s="5" t="inlineStr">
        <is>
          <t>FILM-056</t>
        </is>
      </c>
      <c r="R84" s="5" t="inlineStr">
        <is>
          <t>Coolie (2025)</t>
        </is>
      </c>
      <c r="S84" s="5" t="inlineStr">
        <is>
          <t>Anirudh Ravichander became internationally known with 'Why This Kolaveri Di' and is the leading composer of Tamil star vehicles, including Vikram, Jailer and Leo, and the Hindi film Jawan. He wrote the songs and score of Coolie (2025), Lokesh Kanagaraj's action film starring Rajinikanth, in which Aamir Khan makes a cameo appearance.</t>
        </is>
      </c>
      <c r="T84" s="5" t="inlineStr">
        <is>
          <t>SOURCE-145; SOURCE-062</t>
        </is>
      </c>
      <c r="U84" s="5" t="inlineStr">
        <is>
          <t>Medium</t>
        </is>
      </c>
    </row>
    <row r="85" ht="79" customHeight="1">
      <c r="A85" s="15" t="inlineStr">
        <is>
          <t>PERSON-084</t>
        </is>
      </c>
      <c r="B85" s="5" t="inlineStr">
        <is>
          <t>Anjum Rajabali</t>
        </is>
      </c>
      <c r="C85" s="5" t="inlineStr">
        <is>
          <t>Writer</t>
        </is>
      </c>
      <c r="D85" s="17" t="n">
        <v>1958</v>
      </c>
      <c r="E85" s="18" t="n"/>
      <c r="F85" s="5" t="inlineStr">
        <is>
          <t>1994–present</t>
        </is>
      </c>
      <c r="G85" s="5" t="inlineStr">
        <is>
          <t>Hindi cinema</t>
        </is>
      </c>
      <c r="H85" s="5" t="inlineStr">
        <is>
          <t>A veteran screenwriter and teacher, educated at Rashtriya Military School Belgaum, and a senior activist for writers' rights in the Screenwriters Association, India.</t>
        </is>
      </c>
      <c r="I85" s="5" t="inlineStr">
        <is>
          <t>Associate scriptwriter on Drohkaal (1994).</t>
        </is>
      </c>
      <c r="J85" s="5" t="inlineStr">
        <is>
          <t>With Khan: Ghulam (1998). Wider work: China Gate, Kachche Dhaage, Pukar, The Legend of Bhagat Singh, Naina, Raajneeti.</t>
        </is>
      </c>
      <c r="K85" s="19" t="inlineStr">
        <is>
          <t>Crime drama, political drama and historical biography.</t>
        </is>
      </c>
      <c r="L85" s="19" t="n"/>
      <c r="M85" s="5" t="n"/>
      <c r="N85" s="19" t="n"/>
      <c r="O85" s="19" t="inlineStr">
        <is>
          <t>Wrote the story and screenplay of Vikram Bhatt's Ghulam, with Khan as Siddharth, a boxer and small-time crook who turns against his gangster patron; it was a hit.</t>
        </is>
      </c>
      <c r="P85" s="17" t="n">
        <v>1</v>
      </c>
      <c r="Q85" s="5" t="inlineStr">
        <is>
          <t>FILM-028</t>
        </is>
      </c>
      <c r="R85" s="5" t="inlineStr">
        <is>
          <t>Ghulam (1998)</t>
        </is>
      </c>
      <c r="S85" s="5" t="inlineStr">
        <is>
          <t>Anjum Rajabali started as an associate writer on Govind Nihalani's Drohkaal (1994) and in 1998 wrote both China Gate and Ghulam. In Ghulam, Aamir Khan plays a reckless young man who boxes for a local gangster and gradually finds his conscience, a story that drew on On the Waterfront; it was a hit. Rajabali went on to write The Legend of Bhagat Singh and a series of films for Prakash Jha, and has long campaigned for screenwriters' credit and pay.</t>
        </is>
      </c>
      <c r="T85" s="5" t="inlineStr">
        <is>
          <t>SOURCE-146; SOURCE-034</t>
        </is>
      </c>
      <c r="U85" s="5" t="inlineStr">
        <is>
          <t>Medium</t>
        </is>
      </c>
    </row>
    <row r="86" ht="64" customHeight="1">
      <c r="A86" s="15" t="inlineStr">
        <is>
          <t>PERSON-085</t>
        </is>
      </c>
      <c r="B86" s="5" t="inlineStr">
        <is>
          <t>Ankit Tiwari</t>
        </is>
      </c>
      <c r="C86" s="5" t="inlineStr">
        <is>
          <t>Song composer (one song)</t>
        </is>
      </c>
      <c r="D86" s="17" t="n">
        <v>1986</v>
      </c>
      <c r="E86" s="18" t="n"/>
      <c r="F86" s="5" t="inlineStr">
        <is>
          <t>2010–present</t>
        </is>
      </c>
      <c r="G86" s="5" t="inlineStr">
        <is>
          <t>Hindi cinema</t>
        </is>
      </c>
      <c r="H86" s="5" t="inlineStr">
        <is>
          <t>A Kanpur-born playback singer, composer and live performer from a family of devotional musicians, who started with jingles and television background music.</t>
        </is>
      </c>
      <c r="I86" s="5" t="inlineStr">
        <is>
          <t>Film music for Do Dooni Chaar (2010); singing debut in Saheb, Biwi Aur Gangster (2011).</t>
        </is>
      </c>
      <c r="J86" s="5" t="inlineStr">
        <is>
          <t>With Khan: PK (2014). Wider work: 'Galliyan' (Ek Villain), 'Sunn Raha Hai' (Aashiqui 2).</t>
        </is>
      </c>
      <c r="K86" s="19" t="inlineStr">
        <is>
          <t>Romantic ballads.</t>
        </is>
      </c>
      <c r="L86" s="19" t="n"/>
      <c r="M86" s="5" t="inlineStr">
        <is>
          <t>Filmfare Award for Best Male Playback Singer ('Galliyan').</t>
        </is>
      </c>
      <c r="N86" s="19" t="n"/>
      <c r="O86" s="19" t="inlineStr">
        <is>
          <t>One film: PK, for which he contributed a song; Khan plays the lead.</t>
        </is>
      </c>
      <c r="P86" s="17" t="n">
        <v>1</v>
      </c>
      <c r="Q86" s="5" t="inlineStr">
        <is>
          <t>FILM-047</t>
        </is>
      </c>
      <c r="R86" s="5" t="inlineStr">
        <is>
          <t>PK (2014)</t>
        </is>
      </c>
      <c r="S86" s="5" t="inlineStr">
        <is>
          <t>Ankit Tiwari came to Mumbai from Kanpur and worked on jingles and television scores before Do Dooni Chaar (2010). His song 'Galliyan' from Ek Villain (2014) won him the Filmfare Award for Best Male Playback Singer. The same year he contributed a song to Rajkumar Hirani's PK, starring Aamir Khan, alongside the film's other composers.</t>
        </is>
      </c>
      <c r="T86" s="5" t="inlineStr">
        <is>
          <t>SOURCE-147; SOURCE-053</t>
        </is>
      </c>
      <c r="U86" s="5" t="inlineStr">
        <is>
          <t>Medium</t>
        </is>
      </c>
    </row>
    <row r="87" ht="64" customHeight="1">
      <c r="A87" s="15" t="inlineStr">
        <is>
          <t>PERSON-086</t>
        </is>
      </c>
      <c r="B87" s="5" t="inlineStr">
        <is>
          <t>Anne Masson</t>
        </is>
      </c>
      <c r="C87" s="5" t="inlineStr">
        <is>
          <t>Producer</t>
        </is>
      </c>
      <c r="D87" s="18" t="n"/>
      <c r="E87" s="18" t="n"/>
      <c r="F87" s="5" t="n"/>
      <c r="G87" s="5" t="inlineStr">
        <is>
          <t>Hindi cinema</t>
        </is>
      </c>
      <c r="H87" s="5" t="inlineStr">
        <is>
          <t>A producer credited on one film in this filmography, with no Wikipedia article of their own.</t>
        </is>
      </c>
      <c r="I87" s="5" t="n"/>
      <c r="J87" s="5" t="inlineStr">
        <is>
          <t>With Khan: Earth (1999).</t>
        </is>
      </c>
      <c r="K87" s="19" t="n"/>
      <c r="L87" s="19" t="n"/>
      <c r="M87" s="5" t="n"/>
      <c r="N87" s="19" t="n"/>
      <c r="O87" s="19" t="inlineStr">
        <is>
          <t>One film with Khan, credited as producer: Earth (1999), directed by Deepa Mehta, with Khan in a co-lead as Dil Navaz, the Ice Candy Man.</t>
        </is>
      </c>
      <c r="P87" s="17" t="n">
        <v>1</v>
      </c>
      <c r="Q87" s="5" t="inlineStr">
        <is>
          <t>FILM-031</t>
        </is>
      </c>
      <c r="R87" s="5" t="inlineStr">
        <is>
          <t>Earth (1999)</t>
        </is>
      </c>
      <c r="S87" s="5" t="inlineStr">
        <is>
          <t>Anne Masson is credited as producer on Earth (1999). No Wikipedia article or other independent biography was located; this row is built from the film credit alone.</t>
        </is>
      </c>
      <c r="T87" s="5" t="inlineStr">
        <is>
          <t>SOURCE-035</t>
        </is>
      </c>
      <c r="U87" s="5" t="inlineStr">
        <is>
          <t>Low</t>
        </is>
      </c>
    </row>
    <row r="88" ht="79" customHeight="1">
      <c r="A88" s="15" t="inlineStr">
        <is>
          <t>PERSON-087</t>
        </is>
      </c>
      <c r="B88" s="5" t="inlineStr">
        <is>
          <t>Arun Bhatt</t>
        </is>
      </c>
      <c r="C88" s="5" t="inlineStr">
        <is>
          <t>Director</t>
        </is>
      </c>
      <c r="D88" s="17" t="n">
        <v>1934</v>
      </c>
      <c r="E88" s="17" t="n">
        <v>2001</v>
      </c>
      <c r="F88" s="5" t="n"/>
      <c r="G88" s="5" t="inlineStr">
        <is>
          <t>Hindi and Gujarati cinema</t>
        </is>
      </c>
      <c r="H88" s="5" t="inlineStr">
        <is>
          <t>A Hindi and Gujarati film director and producer, eldest son of Vijay Bhatt of Prakash Pictures, who made documentaries for the Government of Gujarat before founding Vijay Films International in 1971.</t>
        </is>
      </c>
      <c r="I88" s="5" t="inlineStr">
        <is>
          <t>Verno Vaaras (Gujarati).</t>
        </is>
      </c>
      <c r="J88" s="5" t="inlineStr">
        <is>
          <t>With Khan: Jawani Zindabad (1990). Wider work: Vardaan, Maa Baap, Mota Ghar Ni Vahu.</t>
        </is>
      </c>
      <c r="K88" s="19" t="inlineStr">
        <is>
          <t>Folk tales and family drama in Gujarati; social drama in Hindi.</t>
        </is>
      </c>
      <c r="L88" s="19" t="n"/>
      <c r="M88" s="5" t="n"/>
      <c r="N88" s="19" t="n"/>
      <c r="O88" s="19" t="inlineStr">
        <is>
          <t>One film: Jawani Zindabad, an anti-dowry drama with Khan in the lead.</t>
        </is>
      </c>
      <c r="P88" s="17" t="n">
        <v>1</v>
      </c>
      <c r="Q88" s="5" t="inlineStr">
        <is>
          <t>FILM-011</t>
        </is>
      </c>
      <c r="R88" s="5" t="inlineStr">
        <is>
          <t>Jawani Zindabad (1990)</t>
        </is>
      </c>
      <c r="S88" s="5" t="inlineStr">
        <is>
          <t>Arun Bhatt assisted his father, Vijay Bhatt, the founder of Prakash Pictures, before making documentaries and then features in Gujarati and Hindi, including Vardaan and the silver-jubilee Gujarati hits Maa Baap and Mota Ghar Ni Vahu. He directed Jawani Zindabad (1990), an early Aamir Khan lead in which Khan plays a young man who refuses a dowry, opposite Farha Naaz. His article gives his dates as 1934–2001.</t>
        </is>
      </c>
      <c r="T88" s="5" t="inlineStr">
        <is>
          <t>SOURCE-148; SOURCE-016</t>
        </is>
      </c>
      <c r="U88" s="5" t="inlineStr">
        <is>
          <t>Low</t>
        </is>
      </c>
    </row>
    <row r="89" ht="49" customHeight="1">
      <c r="A89" s="15" t="inlineStr">
        <is>
          <t>PERSON-088</t>
        </is>
      </c>
      <c r="B89" s="5" t="inlineStr">
        <is>
          <t>Arvind Seksaria</t>
        </is>
      </c>
      <c r="C89" s="5" t="inlineStr">
        <is>
          <t>Producer</t>
        </is>
      </c>
      <c r="D89" s="18" t="n"/>
      <c r="E89" s="18" t="n"/>
      <c r="F89" s="5" t="n"/>
      <c r="G89" s="5" t="inlineStr">
        <is>
          <t>Hindi cinema</t>
        </is>
      </c>
      <c r="H89" s="5" t="inlineStr">
        <is>
          <t>A producer credited on one film in this filmography, with no Wikipedia article of their own.</t>
        </is>
      </c>
      <c r="I89" s="5" t="n"/>
      <c r="J89" s="5" t="inlineStr">
        <is>
          <t>With Khan: Afsana Pyar Ka (1991).</t>
        </is>
      </c>
      <c r="K89" s="19" t="n"/>
      <c r="L89" s="19" t="n"/>
      <c r="M89" s="5" t="n"/>
      <c r="N89" s="19" t="n"/>
      <c r="O89" s="19" t="inlineStr">
        <is>
          <t>One film with Khan, credited as producer: Afsana Pyar Ka (1991), directed by M. R. Shahjahan, with Khan in the lead as Raj.</t>
        </is>
      </c>
      <c r="P89" s="17" t="n">
        <v>1</v>
      </c>
      <c r="Q89" s="5" t="inlineStr">
        <is>
          <t>FILM-012</t>
        </is>
      </c>
      <c r="R89" s="5" t="inlineStr">
        <is>
          <t>Afsana Pyar Ka (1991)</t>
        </is>
      </c>
      <c r="S89" s="5" t="inlineStr">
        <is>
          <t>Arvind Seksaria is credited as producer on Afsana Pyar Ka (1991). No Wikipedia article or other independent biography was located; this row is built from the film credit alone.</t>
        </is>
      </c>
      <c r="T89" s="5" t="inlineStr">
        <is>
          <t>SOURCE-017</t>
        </is>
      </c>
      <c r="U89" s="5" t="inlineStr">
        <is>
          <t>Low</t>
        </is>
      </c>
    </row>
    <row r="90" ht="64" customHeight="1">
      <c r="A90" s="15" t="inlineStr">
        <is>
          <t>PERSON-089</t>
        </is>
      </c>
      <c r="B90" s="5" t="inlineStr">
        <is>
          <t>Ashi Dua</t>
        </is>
      </c>
      <c r="C90" s="5" t="inlineStr">
        <is>
          <t>Producer</t>
        </is>
      </c>
      <c r="D90" s="18" t="n"/>
      <c r="E90" s="18" t="n"/>
      <c r="F90" s="5" t="n"/>
      <c r="G90" s="5" t="inlineStr">
        <is>
          <t>Hindi cinema</t>
        </is>
      </c>
      <c r="H90" s="5" t="inlineStr">
        <is>
          <t>A producer credited on one film in this filmography, with no Wikipedia article of their own.</t>
        </is>
      </c>
      <c r="I90" s="5" t="n"/>
      <c r="J90" s="5" t="inlineStr">
        <is>
          <t>With Khan: Bombay Talkies (2013).</t>
        </is>
      </c>
      <c r="K90" s="19" t="n"/>
      <c r="L90" s="19" t="n"/>
      <c r="M90" s="5" t="n"/>
      <c r="N90" s="19" t="n"/>
      <c r="O90" s="19" t="inlineStr">
        <is>
          <t>One film with Khan, credited as producer: Bombay Talkies (2013), directed by Karan Johar, Dibakar Banerjee, Zoya Akhtar and Anurag Kashyap, with Khan in a self appearance.</t>
        </is>
      </c>
      <c r="P90" s="17" t="n">
        <v>1</v>
      </c>
      <c r="Q90" s="5" t="inlineStr">
        <is>
          <t>FILM-045</t>
        </is>
      </c>
      <c r="R90" s="5" t="inlineStr">
        <is>
          <t>Bombay Talkies (2013)</t>
        </is>
      </c>
      <c r="S90" s="5" t="inlineStr">
        <is>
          <t>Ashi Dua is credited as producer on Bombay Talkies (2013). No Wikipedia article or other independent biography was located; this row is built from the film credit alone.</t>
        </is>
      </c>
      <c r="T90" s="5" t="inlineStr">
        <is>
          <t>SOURCE-051</t>
        </is>
      </c>
      <c r="U90" s="5" t="inlineStr">
        <is>
          <t>Low</t>
        </is>
      </c>
    </row>
    <row r="91" ht="49" customHeight="1">
      <c r="A91" s="15" t="inlineStr">
        <is>
          <t>PERSON-090</t>
        </is>
      </c>
      <c r="B91" s="5" t="inlineStr">
        <is>
          <t>Asif Noor</t>
        </is>
      </c>
      <c r="C91" s="5" t="inlineStr">
        <is>
          <t>Producer</t>
        </is>
      </c>
      <c r="D91" s="18" t="n"/>
      <c r="E91" s="18" t="n"/>
      <c r="F91" s="5" t="n"/>
      <c r="G91" s="5" t="inlineStr">
        <is>
          <t>Hindi cinema</t>
        </is>
      </c>
      <c r="H91" s="5" t="inlineStr">
        <is>
          <t>A producer credited on one film in this filmography, with no Wikipedia article of their own.</t>
        </is>
      </c>
      <c r="I91" s="5" t="n"/>
      <c r="J91" s="5" t="inlineStr">
        <is>
          <t>With Khan: Raakh (1989).</t>
        </is>
      </c>
      <c r="K91" s="19" t="n"/>
      <c r="L91" s="19" t="n"/>
      <c r="M91" s="5" t="n"/>
      <c r="N91" s="19" t="n"/>
      <c r="O91" s="19" t="inlineStr">
        <is>
          <t>One film with Khan, credited as producer: Raakh (1989), directed by Aditya Bhattacharya, with Khan in the lead as Amir Hussein.</t>
        </is>
      </c>
      <c r="P91" s="17" t="n">
        <v>1</v>
      </c>
      <c r="Q91" s="5" t="inlineStr">
        <is>
          <t>FILM-005</t>
        </is>
      </c>
      <c r="R91" s="5" t="inlineStr">
        <is>
          <t>Raakh (1989)</t>
        </is>
      </c>
      <c r="S91" s="5" t="inlineStr">
        <is>
          <t>Asif Noor is credited as producer on Raakh (1989). No Wikipedia article or other independent biography was located; this row is built from the film credit alone.</t>
        </is>
      </c>
      <c r="T91" s="5" t="inlineStr">
        <is>
          <t>SOURCE-008</t>
        </is>
      </c>
      <c r="U91" s="5" t="inlineStr">
        <is>
          <t>Low</t>
        </is>
      </c>
    </row>
    <row r="92" ht="79" customHeight="1">
      <c r="A92" s="15" t="inlineStr">
        <is>
          <t>PERSON-091</t>
        </is>
      </c>
      <c r="B92" s="5" t="inlineStr">
        <is>
          <t>Atul Kulkarni</t>
        </is>
      </c>
      <c r="C92" s="5" t="inlineStr">
        <is>
          <t>Writer (screenplay); actor</t>
        </is>
      </c>
      <c r="D92" s="17" t="n">
        <v>1965</v>
      </c>
      <c r="E92" s="18" t="n"/>
      <c r="F92" s="5" t="n"/>
      <c r="G92" s="5" t="inlineStr">
        <is>
          <t>Hindi and Marathi cinema; multilingual</t>
        </is>
      </c>
      <c r="H92" s="5" t="inlineStr">
        <is>
          <t>An actor, producer and screenwriter trained at the National School of Drama, president of the education research organisation Quest.</t>
        </is>
      </c>
      <c r="I92" s="5" t="inlineStr">
        <is>
          <t>Hey Ram (2000).</t>
        </is>
      </c>
      <c r="J92" s="5" t="inlineStr">
        <is>
          <t>With Khan: Laal Singh Chaddha (2022). As actor: Hey Ram, Chandni Bar, Rang De Basanti (with Khan), Natarang.</t>
        </is>
      </c>
      <c r="K92" s="19" t="n"/>
      <c r="L92" s="19" t="n"/>
      <c r="M92" s="5" t="inlineStr">
        <is>
          <t>National Film Award for Best Supporting Actor for Hey Ram and Chandni Bar.</t>
        </is>
      </c>
      <c r="N92" s="19" t="n"/>
      <c r="O92" s="19" t="inlineStr">
        <is>
          <t>Wrote the screenplay of Laal Singh Chaddha, adapting Forrest Gump for Khan, who plays the title role. He had acted alongside Khan in Rang De Basanti. The film was a disaster.</t>
        </is>
      </c>
      <c r="P92" s="17" t="n">
        <v>1</v>
      </c>
      <c r="Q92" s="5" t="inlineStr">
        <is>
          <t>FILM-053</t>
        </is>
      </c>
      <c r="R92" s="5" t="inlineStr">
        <is>
          <t>Laal Singh Chaddha (2022)</t>
        </is>
      </c>
      <c r="S92" s="5" t="inlineStr">
        <is>
          <t>Atul Kulkarni won National Awards for Hey Ram and Chandni Bar and acted opposite Aamir Khan in Rang De Basanti (2006) as Laxman Pandey, the right-wing activist among the friends. He later wrote the screenplay of Laal Singh Chaddha (2022), Khan's Indian adaptation of Forrest Gump, which follows its hero through Operation Blue Star, the Kargil war and the rise of Indian business. The film was a commercial disaster.</t>
        </is>
      </c>
      <c r="T92" s="5" t="inlineStr">
        <is>
          <t>SOURCE-149; SOURCE-059</t>
        </is>
      </c>
      <c r="U92" s="5" t="inlineStr">
        <is>
          <t>Medium</t>
        </is>
      </c>
    </row>
    <row r="93" ht="64" customHeight="1">
      <c r="A93" s="15" t="inlineStr">
        <is>
          <t>PERSON-092</t>
        </is>
      </c>
      <c r="B93" s="5" t="inlineStr">
        <is>
          <t>B. Subhash Movie Unit</t>
        </is>
      </c>
      <c r="C93" s="5" t="inlineStr">
        <is>
          <t>Production banner</t>
        </is>
      </c>
      <c r="D93" s="18" t="n"/>
      <c r="E93" s="18" t="n"/>
      <c r="F93" s="5" t="n"/>
      <c r="G93" s="5" t="inlineStr">
        <is>
          <t>Hindi cinema</t>
        </is>
      </c>
      <c r="H93" s="5" t="inlineStr">
        <is>
          <t>A production banner credited on one film in this filmography, with no Wikipedia article of its own.</t>
        </is>
      </c>
      <c r="I93" s="5" t="n"/>
      <c r="J93" s="5" t="inlineStr">
        <is>
          <t>With Khan: Love Love Love (1989).</t>
        </is>
      </c>
      <c r="K93" s="19" t="n"/>
      <c r="L93" s="19" t="n"/>
      <c r="M93" s="5" t="n"/>
      <c r="N93" s="19" t="n"/>
      <c r="O93" s="19" t="inlineStr">
        <is>
          <t>One film with Khan, credited as production banner: Love Love Love (1989), directed by Babbar Subhash, with Khan in the lead as Amit Verma; verdict: Average.</t>
        </is>
      </c>
      <c r="P93" s="17" t="n">
        <v>1</v>
      </c>
      <c r="Q93" s="5" t="inlineStr">
        <is>
          <t>FILM-006</t>
        </is>
      </c>
      <c r="R93" s="5" t="inlineStr">
        <is>
          <t>Love Love Love (1989)</t>
        </is>
      </c>
      <c r="S93" s="5" t="inlineStr">
        <is>
          <t>B. Subhash Movie Unit is credited as production banner on Love Love Love (1989). No Wikipedia article or other independent biography was located for the company; this row is built from the film credit alone.</t>
        </is>
      </c>
      <c r="T93" s="5" t="inlineStr">
        <is>
          <t>SOURCE-009</t>
        </is>
      </c>
      <c r="U93" s="5" t="inlineStr">
        <is>
          <t>Low</t>
        </is>
      </c>
    </row>
    <row r="94" ht="64" customHeight="1">
      <c r="A94" s="15" t="inlineStr">
        <is>
          <t>PERSON-093</t>
        </is>
      </c>
      <c r="B94" s="5" t="inlineStr">
        <is>
          <t>Baba Films</t>
        </is>
      </c>
      <c r="C94" s="5" t="inlineStr">
        <is>
          <t>Production banner</t>
        </is>
      </c>
      <c r="D94" s="18" t="n"/>
      <c r="E94" s="18" t="n"/>
      <c r="F94" s="5" t="n"/>
      <c r="G94" s="5" t="inlineStr">
        <is>
          <t>Hindi cinema</t>
        </is>
      </c>
      <c r="H94" s="5" t="inlineStr">
        <is>
          <t>A production banner credited on one film in this filmography, with no Wikipedia article of its own.</t>
        </is>
      </c>
      <c r="I94" s="5" t="n"/>
      <c r="J94" s="5" t="inlineStr">
        <is>
          <t>With Khan: Ishq (1997).</t>
        </is>
      </c>
      <c r="K94" s="19" t="n"/>
      <c r="L94" s="19" t="n"/>
      <c r="M94" s="5" t="n"/>
      <c r="N94" s="19" t="n"/>
      <c r="O94" s="19" t="inlineStr">
        <is>
          <t>One film with Khan, credited as production banner: Ishq (1997), directed by Indra Kumar, with Khan in a co-lead as Raja; verdict: Commercial success.</t>
        </is>
      </c>
      <c r="P94" s="17" t="n">
        <v>1</v>
      </c>
      <c r="Q94" s="5" t="inlineStr">
        <is>
          <t>FILM-027</t>
        </is>
      </c>
      <c r="R94" s="5" t="inlineStr">
        <is>
          <t>Ishq (1997)</t>
        </is>
      </c>
      <c r="S94" s="5" t="inlineStr">
        <is>
          <t>Baba Films is credited as production banner on Ishq (1997). No Wikipedia article or other independent biography was located for the company; this row is built from the film credit alone.</t>
        </is>
      </c>
      <c r="T94" s="5" t="inlineStr">
        <is>
          <t>SOURCE-033</t>
        </is>
      </c>
      <c r="U94" s="5" t="inlineStr">
        <is>
          <t>Low</t>
        </is>
      </c>
    </row>
    <row r="95" ht="49" customHeight="1">
      <c r="A95" s="15" t="inlineStr">
        <is>
          <t>PERSON-094</t>
        </is>
      </c>
      <c r="B95" s="5" t="inlineStr">
        <is>
          <t>Babbar Subhash</t>
        </is>
      </c>
      <c r="C95" s="5" t="inlineStr">
        <is>
          <t>Director; Producer; Writer</t>
        </is>
      </c>
      <c r="D95" s="18" t="n"/>
      <c r="E95" s="18" t="n"/>
      <c r="F95" s="5" t="n"/>
      <c r="G95" s="5" t="inlineStr">
        <is>
          <t>Hindi cinema</t>
        </is>
      </c>
      <c r="H95" s="5" t="inlineStr">
        <is>
          <t>A Hindi-film director, producer and screenwriter known for his films with Mithun Chakraborty.</t>
        </is>
      </c>
      <c r="I95" s="5" t="n"/>
      <c r="J95" s="5" t="inlineStr">
        <is>
          <t>With Khan: Love Love Love (1989). Wider work: Disco Dancer, Kasam Paida Karne Wale Ki, Dance Dance.</t>
        </is>
      </c>
      <c r="K95" s="19" t="inlineStr">
        <is>
          <t>Dance musicals and action melodrama.</t>
        </is>
      </c>
      <c r="L95" s="19" t="n"/>
      <c r="M95" s="5" t="n"/>
      <c r="N95" s="19" t="n"/>
      <c r="O95" s="19" t="inlineStr">
        <is>
          <t>One film: Love Love Love, which he wrote, produced and directed, an early Khan romance opposite Juhi Chawla; it was average.</t>
        </is>
      </c>
      <c r="P95" s="17" t="n">
        <v>1</v>
      </c>
      <c r="Q95" s="5" t="inlineStr">
        <is>
          <t>FILM-006</t>
        </is>
      </c>
      <c r="R95" s="5" t="inlineStr">
        <is>
          <t>Love Love Love (1989)</t>
        </is>
      </c>
      <c r="S95" s="5" t="inlineStr">
        <is>
          <t>Babbar Subhash is best known for Disco Dancer (1982), the Mithun Chakraborty musical that became a huge hit in India and the Soviet Union, and for Dance Dance (1987). He wrote, produced and directed Love Love Love (1989), which reunited Aamir Khan and Juhi Chawla after Qayamat Se Qayamat Tak; it did average business.</t>
        </is>
      </c>
      <c r="T95" s="5" t="inlineStr">
        <is>
          <t>SOURCE-150; SOURCE-009</t>
        </is>
      </c>
      <c r="U95" s="5" t="inlineStr">
        <is>
          <t>Medium</t>
        </is>
      </c>
    </row>
    <row r="96" ht="79" customHeight="1">
      <c r="A96" s="15" t="inlineStr">
        <is>
          <t>PERSON-095</t>
        </is>
      </c>
      <c r="B96" s="5" t="inlineStr">
        <is>
          <t>Bhushan Kumar</t>
        </is>
      </c>
      <c r="C96" s="5" t="inlineStr">
        <is>
          <t>Producer (T-Series)</t>
        </is>
      </c>
      <c r="D96" s="17" t="n">
        <v>1977</v>
      </c>
      <c r="E96" s="18" t="n"/>
      <c r="F96" s="5" t="inlineStr">
        <is>
          <t>1996–present</t>
        </is>
      </c>
      <c r="G96" s="5" t="inlineStr">
        <is>
          <t>Hindi cinema</t>
        </is>
      </c>
      <c r="H96" s="5" t="inlineStr">
        <is>
          <t>Chairman and managing director of T-Series, who took over the company in 1997 with his uncle Krishan Kumar after his father Gulshan Kumar's murder.</t>
        </is>
      </c>
      <c r="I96" s="5" t="n"/>
      <c r="J96" s="5" t="inlineStr">
        <is>
          <t>With Khan: Koi Jaane Na (2021). Wider work: Aashiqui 2, Nautanki Saala; the planned Gulshan Kumar biopic Mogul.</t>
        </is>
      </c>
      <c r="K96" s="19" t="n"/>
      <c r="L96" s="19" t="n"/>
      <c r="M96" s="5" t="n"/>
      <c r="N96" s="19" t="inlineStr">
        <is>
          <t>Head of India's largest music label.</t>
        </is>
      </c>
      <c r="O96" s="19" t="inlineStr">
        <is>
          <t>Produced Koi Jaane Na, in which Khan appears in a song. His article records that Khan agreed to play Gulshan Kumar in T-Series' biopic Mogul, withdrew, and later returned to it.</t>
        </is>
      </c>
      <c r="P96" s="17" t="n">
        <v>1</v>
      </c>
      <c r="Q96" s="5" t="inlineStr">
        <is>
          <t>FILM-052</t>
        </is>
      </c>
      <c r="R96" s="5" t="inlineStr">
        <is>
          <t>Koi Jaane Na (2021)</t>
        </is>
      </c>
      <c r="S96" s="5" t="inlineStr">
        <is>
          <t>Bhushan Kumar has run T-Series since 1997 and built it into a major film producer, with releases such as Aashiqui 2 (2013). His association with Aamir Khan centres on Mogul, the long-planned biopic of his father, Gulshan Kumar; after Akshay Kumar left the project Khan agreed to play the lead, withdrew, and later came back to it. In this filmography Kumar is credited as producer of Koi Jaane Na (2021), a thriller in which Khan appears in a song.</t>
        </is>
      </c>
      <c r="T96" s="5" t="inlineStr">
        <is>
          <t>SOURCE-151; SOURCE-058</t>
        </is>
      </c>
      <c r="U96" s="5" t="inlineStr">
        <is>
          <t>Medium</t>
        </is>
      </c>
    </row>
    <row r="97" ht="49" customHeight="1">
      <c r="A97" s="15" t="inlineStr">
        <is>
          <t>PERSON-096</t>
        </is>
      </c>
      <c r="B97" s="5" t="inlineStr">
        <is>
          <t>Bhushan Vanmali</t>
        </is>
      </c>
      <c r="C97" s="5" t="inlineStr">
        <is>
          <t>Writer</t>
        </is>
      </c>
      <c r="D97" s="18" t="n"/>
      <c r="E97" s="18" t="n"/>
      <c r="F97" s="5" t="n"/>
      <c r="G97" s="5" t="inlineStr">
        <is>
          <t>Hindi cinema</t>
        </is>
      </c>
      <c r="H97" s="5" t="inlineStr">
        <is>
          <t>A writer credited on one film in this filmography, with no Wikipedia article of their own.</t>
        </is>
      </c>
      <c r="I97" s="5" t="n"/>
      <c r="J97" s="5" t="inlineStr">
        <is>
          <t>With Khan: Jawani Zindabad (1990).</t>
        </is>
      </c>
      <c r="K97" s="19" t="n"/>
      <c r="L97" s="19" t="n"/>
      <c r="M97" s="5" t="n"/>
      <c r="N97" s="19" t="n"/>
      <c r="O97" s="19" t="inlineStr">
        <is>
          <t>One film with Khan, credited as writer: Jawani Zindabad (1990), directed by Arun Bhatt, with Khan in the lead as Shashi Sharma.</t>
        </is>
      </c>
      <c r="P97" s="17" t="n">
        <v>1</v>
      </c>
      <c r="Q97" s="5" t="inlineStr">
        <is>
          <t>FILM-011</t>
        </is>
      </c>
      <c r="R97" s="5" t="inlineStr">
        <is>
          <t>Jawani Zindabad (1990)</t>
        </is>
      </c>
      <c r="S97" s="5" t="inlineStr">
        <is>
          <t>Bhushan Vanmali is credited as writer on Jawani Zindabad (1990). No Wikipedia article or other independent biography was located; this row is built from the film credit alone.</t>
        </is>
      </c>
      <c r="T97" s="5" t="inlineStr">
        <is>
          <t>SOURCE-016</t>
        </is>
      </c>
      <c r="U97" s="5" t="inlineStr">
        <is>
          <t>Low</t>
        </is>
      </c>
    </row>
    <row r="98" ht="64" customHeight="1">
      <c r="A98" s="15" t="inlineStr">
        <is>
          <t>PERSON-097</t>
        </is>
      </c>
      <c r="B98" s="5" t="inlineStr">
        <is>
          <t>Blive Productions</t>
        </is>
      </c>
      <c r="C98" s="5" t="inlineStr">
        <is>
          <t>Production banner</t>
        </is>
      </c>
      <c r="D98" s="18" t="n"/>
      <c r="E98" s="18" t="n"/>
      <c r="F98" s="5" t="n"/>
      <c r="G98" s="5" t="inlineStr">
        <is>
          <t>Hindi cinema</t>
        </is>
      </c>
      <c r="H98" s="5" t="inlineStr">
        <is>
          <t>A production banner credited on one film in this filmography, with no Wikipedia article of its own.</t>
        </is>
      </c>
      <c r="I98" s="5" t="n"/>
      <c r="J98" s="5" t="inlineStr">
        <is>
          <t>With Khan: Salaam Venky (2022).</t>
        </is>
      </c>
      <c r="K98" s="19" t="n"/>
      <c r="L98" s="19" t="n"/>
      <c r="M98" s="5" t="n"/>
      <c r="N98" s="19" t="n"/>
      <c r="O98" s="19" t="inlineStr">
        <is>
          <t>One film with Khan, credited as production banner: Salaam Venky (2022), directed by Revathi, with Khan in a cameo as Sujata's illusion.</t>
        </is>
      </c>
      <c r="P98" s="17" t="n">
        <v>1</v>
      </c>
      <c r="Q98" s="5" t="inlineStr">
        <is>
          <t>FILM-054</t>
        </is>
      </c>
      <c r="R98" s="5" t="inlineStr">
        <is>
          <t>Salaam Venky (2022)</t>
        </is>
      </c>
      <c r="S98" s="5" t="inlineStr">
        <is>
          <t>Blive Productions is credited as production banner on Salaam Venky (2022). No Wikipedia article or other independent biography was located for the company; this row is built from the film credit alone.</t>
        </is>
      </c>
      <c r="T98" s="5" t="inlineStr">
        <is>
          <t>SOURCE-060</t>
        </is>
      </c>
      <c r="U98" s="5" t="inlineStr">
        <is>
          <t>Low</t>
        </is>
      </c>
    </row>
    <row r="99" ht="79" customHeight="1">
      <c r="A99" s="15" t="inlineStr">
        <is>
          <t>PERSON-098</t>
        </is>
      </c>
      <c r="B99" s="5" t="inlineStr">
        <is>
          <t>Bobby Bedi</t>
        </is>
      </c>
      <c r="C99" s="5" t="inlineStr">
        <is>
          <t>Producer (Kaleidoscope Entertainment)</t>
        </is>
      </c>
      <c r="D99" s="18" t="n"/>
      <c r="E99" s="18" t="n"/>
      <c r="F99" s="5" t="n"/>
      <c r="G99" s="5" t="inlineStr">
        <is>
          <t>Hindi and international cinema</t>
        </is>
      </c>
      <c r="H99" s="5" t="inlineStr">
        <is>
          <t>An independent producer who founded Kaleidoscope Entertainment and is its managing director. He has no Wikipedia article of his own; this profile uses the company article.</t>
        </is>
      </c>
      <c r="I99" s="5" t="n"/>
      <c r="J99" s="5" t="inlineStr">
        <is>
          <t>With Khan: Mangal Pandey: The Rising (2005). Kaleidoscope: Bandit Queen, Fire, Electric Moon, Saathiya, Maqbool.</t>
        </is>
      </c>
      <c r="K99" s="19" t="inlineStr">
        <is>
          <t>Crossover and arthouse films.</t>
        </is>
      </c>
      <c r="L99" s="19" t="n"/>
      <c r="M99" s="5" t="n"/>
      <c r="N99" s="19" t="n"/>
      <c r="O99" s="19" t="inlineStr">
        <is>
          <t>Produced Ketan Mehta's Mangal Pandey: The Rising, with Khan as the sepoy whose revolt began the 1857 uprising; it was average. The company article names Khan among its collaborators.</t>
        </is>
      </c>
      <c r="P99" s="17" t="n">
        <v>1</v>
      </c>
      <c r="Q99" s="5" t="inlineStr">
        <is>
          <t>FILM-035</t>
        </is>
      </c>
      <c r="R99" s="5" t="inlineStr">
        <is>
          <t>Mangal Pandey: The Rising (2005)</t>
        </is>
      </c>
      <c r="S99" s="5" t="inlineStr">
        <is>
          <t>Bobby Bedi founded Kaleidoscope Entertainment, the producer of Bandit Queen, Fire and Maqbool, which made a point of films that could travel to Western audiences. He produced Mangal Pandey: The Rising (2005), Ketan Mehta's period epic, Aamir Khan's first film after a four-year break following Lagaan and Dil Chahta Hai, in which Khan plays the soldier Mangal Pandey. The film performed averagely. Facts about Bedi come from the company article.</t>
        </is>
      </c>
      <c r="T99" s="5" t="inlineStr">
        <is>
          <t>SOURCE-152; SOURCE-041</t>
        </is>
      </c>
      <c r="U99" s="5" t="inlineStr">
        <is>
          <t>Low</t>
        </is>
      </c>
    </row>
    <row r="100" ht="49" customHeight="1">
      <c r="A100" s="15" t="inlineStr">
        <is>
          <t>PERSON-099</t>
        </is>
      </c>
      <c r="B100" s="5" t="inlineStr">
        <is>
          <t>Bono Deb</t>
        </is>
      </c>
      <c r="C100" s="5" t="inlineStr">
        <is>
          <t>Writer</t>
        </is>
      </c>
      <c r="D100" s="18" t="n"/>
      <c r="E100" s="18" t="n"/>
      <c r="F100" s="5" t="n"/>
      <c r="G100" s="5" t="inlineStr">
        <is>
          <t>Hindi cinema</t>
        </is>
      </c>
      <c r="H100" s="5" t="inlineStr">
        <is>
          <t>A writer credited on one film in this filmography, with no Wikipedia article of their own.</t>
        </is>
      </c>
      <c r="I100" s="5" t="n"/>
      <c r="J100" s="5" t="inlineStr">
        <is>
          <t>With Khan: Afsana Pyar Ka (1991).</t>
        </is>
      </c>
      <c r="K100" s="19" t="n"/>
      <c r="L100" s="19" t="n"/>
      <c r="M100" s="5" t="n"/>
      <c r="N100" s="19" t="n"/>
      <c r="O100" s="19" t="inlineStr">
        <is>
          <t>One film with Khan, credited as writer: Afsana Pyar Ka (1991), directed by M. R. Shahjahan, with Khan in the lead as Raj.</t>
        </is>
      </c>
      <c r="P100" s="17" t="n">
        <v>1</v>
      </c>
      <c r="Q100" s="5" t="inlineStr">
        <is>
          <t>FILM-012</t>
        </is>
      </c>
      <c r="R100" s="5" t="inlineStr">
        <is>
          <t>Afsana Pyar Ka (1991)</t>
        </is>
      </c>
      <c r="S100" s="5" t="inlineStr">
        <is>
          <t>Bono Deb is credited as writer on Afsana Pyar Ka (1991). No Wikipedia article or other independent biography was located; this row is built from the film credit alone.</t>
        </is>
      </c>
      <c r="T100" s="5" t="inlineStr">
        <is>
          <t>SOURCE-017</t>
        </is>
      </c>
      <c r="U100" s="5" t="inlineStr">
        <is>
          <t>Low</t>
        </is>
      </c>
    </row>
    <row r="101" ht="64" customHeight="1">
      <c r="A101" s="15" t="inlineStr">
        <is>
          <t>PERSON-100</t>
        </is>
      </c>
      <c r="B101" s="5" t="inlineStr">
        <is>
          <t>Champak Jain</t>
        </is>
      </c>
      <c r="C101" s="5" t="inlineStr">
        <is>
          <t>Producer (Venus Records &amp; Tapes)</t>
        </is>
      </c>
      <c r="D101" s="17" t="n">
        <v>1967</v>
      </c>
      <c r="E101" s="17" t="n">
        <v>2019</v>
      </c>
      <c r="F101" s="5" t="n"/>
      <c r="G101" s="5" t="inlineStr">
        <is>
          <t>Hindi cinema</t>
        </is>
      </c>
      <c r="H101" s="5" t="inlineStr">
        <is>
          <t>A co-owner of Venus Records &amp; Tapes, the music and video company he ran with his brothers, which became a major Hindi-film producer in the 1990s.</t>
        </is>
      </c>
      <c r="I101" s="5" t="inlineStr">
        <is>
          <t>Khiladi (1992), the first Venus production.</t>
        </is>
      </c>
      <c r="J101" s="5" t="inlineStr">
        <is>
          <t>With Khan: Akele Hum Akele Tum (1995). Wider work: Khiladi, Baazigar, Main Khiladi Tu Anari, Josh, Humraaz.</t>
        </is>
      </c>
      <c r="K101" s="19" t="inlineStr">
        <is>
          <t>Music-led commercial films.</t>
        </is>
      </c>
      <c r="L101" s="19" t="n"/>
      <c r="M101" s="5" t="n"/>
      <c r="N101" s="19" t="n"/>
      <c r="O101" s="19" t="inlineStr">
        <is>
          <t>One film: Mansoor Khan's Akele Hum Akele Tum, a successful adaptation of Kramer vs. Kramer with Khan as a singer raising his son alone.</t>
        </is>
      </c>
      <c r="P101" s="17" t="n">
        <v>1</v>
      </c>
      <c r="Q101" s="5" t="inlineStr">
        <is>
          <t>FILM-025</t>
        </is>
      </c>
      <c r="R101" s="5" t="inlineStr">
        <is>
          <t>Akele Hum Akele Tum (1995)</t>
        </is>
      </c>
      <c r="S101" s="5" t="inlineStr">
        <is>
          <t>Champak Jain was one of the Jain brothers behind Venus Records &amp; Tapes, which moved from cassettes into film production with Khiladi (1992) and went on to make Baazigar and Josh. He is credited as producer of Akele Hum Akele Tum (1995), Mansoor Khan's drama in which Aamir Khan and Manisha Koirala play a married couple who separate as her career takes off and fight over their son. Jain died on 31 October 2019.</t>
        </is>
      </c>
      <c r="T101" s="5" t="inlineStr">
        <is>
          <t>SOURCE-153; SOURCE-031</t>
        </is>
      </c>
      <c r="U101" s="5" t="inlineStr">
        <is>
          <t>Medium</t>
        </is>
      </c>
    </row>
    <row r="102" ht="64" customHeight="1">
      <c r="A102" s="15" t="inlineStr">
        <is>
          <t>PERSON-101</t>
        </is>
      </c>
      <c r="B102" s="5" t="inlineStr">
        <is>
          <t>Chandhru Anbazhagan</t>
        </is>
      </c>
      <c r="C102" s="5" t="inlineStr">
        <is>
          <t>Writer</t>
        </is>
      </c>
      <c r="D102" s="18" t="n"/>
      <c r="E102" s="18" t="n"/>
      <c r="F102" s="5" t="n"/>
      <c r="G102" s="5" t="inlineStr">
        <is>
          <t>Hindi cinema</t>
        </is>
      </c>
      <c r="H102" s="5" t="inlineStr">
        <is>
          <t>A writer credited on one film in this filmography, with no Wikipedia article of their own.</t>
        </is>
      </c>
      <c r="I102" s="5" t="n"/>
      <c r="J102" s="5" t="inlineStr">
        <is>
          <t>With Khan: Coolie (2025).</t>
        </is>
      </c>
      <c r="K102" s="19" t="n"/>
      <c r="L102" s="19" t="n"/>
      <c r="M102" s="5" t="n"/>
      <c r="N102" s="19" t="n"/>
      <c r="O102" s="19" t="inlineStr">
        <is>
          <t>One film with Khan, credited as writer: Coolie (2025), directed by Lokesh Kanagaraj, with Khan in a cameo as Dahaa; verdict: Commercially successful.</t>
        </is>
      </c>
      <c r="P102" s="17" t="n">
        <v>1</v>
      </c>
      <c r="Q102" s="5" t="inlineStr">
        <is>
          <t>FILM-056</t>
        </is>
      </c>
      <c r="R102" s="5" t="inlineStr">
        <is>
          <t>Coolie (2025)</t>
        </is>
      </c>
      <c r="S102" s="5" t="inlineStr">
        <is>
          <t>Chandhru Anbazhagan is credited as writer on Coolie (2025). No Wikipedia article or other independent biography was located; this row is built from the film credit alone.</t>
        </is>
      </c>
      <c r="T102" s="5" t="inlineStr">
        <is>
          <t>SOURCE-062</t>
        </is>
      </c>
      <c r="U102" s="5" t="inlineStr">
        <is>
          <t>Low</t>
        </is>
      </c>
    </row>
    <row r="103" ht="79" customHeight="1">
      <c r="A103" s="15" t="inlineStr">
        <is>
          <t>PERSON-102</t>
        </is>
      </c>
      <c r="B103" s="5" t="inlineStr">
        <is>
          <t>Cinematt Pictures</t>
        </is>
      </c>
      <c r="C103" s="5" t="inlineStr">
        <is>
          <t>Production banner</t>
        </is>
      </c>
      <c r="D103" s="18" t="n"/>
      <c r="E103" s="18" t="n"/>
      <c r="F103" s="5" t="n"/>
      <c r="G103" s="5" t="inlineStr">
        <is>
          <t>Hindi cinema</t>
        </is>
      </c>
      <c r="H103" s="5" t="inlineStr">
        <is>
          <t>A production banner credited on one film in this filmography, with no Wikipedia article of its own.</t>
        </is>
      </c>
      <c r="I103" s="5" t="n"/>
      <c r="J103" s="5" t="inlineStr">
        <is>
          <t>With Khan: Sarfarosh (1999).</t>
        </is>
      </c>
      <c r="K103" s="19" t="n"/>
      <c r="L103" s="19" t="n"/>
      <c r="M103" s="5" t="n"/>
      <c r="N103" s="19" t="n"/>
      <c r="O103" s="19" t="inlineStr">
        <is>
          <t>One film with Khan, credited as production banner: Sarfarosh (1999), directed by John Matthew Matthan, with Khan in the lead as ACP Ajay Singh Rathod; verdict: Commercially successful.</t>
        </is>
      </c>
      <c r="P103" s="17" t="n">
        <v>1</v>
      </c>
      <c r="Q103" s="5" t="inlineStr">
        <is>
          <t>FILM-029</t>
        </is>
      </c>
      <c r="R103" s="5" t="inlineStr">
        <is>
          <t>Sarfarosh (1999)</t>
        </is>
      </c>
      <c r="S103" s="5" t="inlineStr">
        <is>
          <t>Cinematt Pictures is credited as production banner on Sarfarosh (1999). No Wikipedia article or other independent biography was located for the company; this row is built from the film credit alone.</t>
        </is>
      </c>
      <c r="T103" s="5" t="inlineStr">
        <is>
          <t>SOURCE-036</t>
        </is>
      </c>
      <c r="U103" s="5" t="inlineStr">
        <is>
          <t>Low</t>
        </is>
      </c>
    </row>
    <row r="104" ht="64" customHeight="1">
      <c r="A104" s="15" t="inlineStr">
        <is>
          <t>PERSON-103</t>
        </is>
      </c>
      <c r="B104" s="5" t="inlineStr">
        <is>
          <t>Connekkt Media</t>
        </is>
      </c>
      <c r="C104" s="5" t="inlineStr">
        <is>
          <t>Production banner</t>
        </is>
      </c>
      <c r="D104" s="18" t="n"/>
      <c r="E104" s="18" t="n"/>
      <c r="F104" s="5" t="n"/>
      <c r="G104" s="5" t="inlineStr">
        <is>
          <t>Hindi cinema</t>
        </is>
      </c>
      <c r="H104" s="5" t="inlineStr">
        <is>
          <t>A production banner credited on one film in this filmography, with no Wikipedia article of its own.</t>
        </is>
      </c>
      <c r="I104" s="5" t="n"/>
      <c r="J104" s="5" t="inlineStr">
        <is>
          <t>With Khan: Salaam Venky (2022).</t>
        </is>
      </c>
      <c r="K104" s="19" t="n"/>
      <c r="L104" s="19" t="n"/>
      <c r="M104" s="5" t="n"/>
      <c r="N104" s="19" t="n"/>
      <c r="O104" s="19" t="inlineStr">
        <is>
          <t>One film with Khan, credited as production banner: Salaam Venky (2022), directed by Revathi, with Khan in a cameo as Sujata's illusion.</t>
        </is>
      </c>
      <c r="P104" s="17" t="n">
        <v>1</v>
      </c>
      <c r="Q104" s="5" t="inlineStr">
        <is>
          <t>FILM-054</t>
        </is>
      </c>
      <c r="R104" s="5" t="inlineStr">
        <is>
          <t>Salaam Venky (2022)</t>
        </is>
      </c>
      <c r="S104" s="5" t="inlineStr">
        <is>
          <t>Connekkt Media is credited as production banner on Salaam Venky (2022). No Wikipedia article or other independent biography was located for the company; this row is built from the film credit alone.</t>
        </is>
      </c>
      <c r="T104" s="5" t="inlineStr">
        <is>
          <t>SOURCE-060</t>
        </is>
      </c>
      <c r="U104" s="5" t="inlineStr">
        <is>
          <t>Low</t>
        </is>
      </c>
    </row>
    <row r="105" ht="184" customHeight="1">
      <c r="A105" s="15" t="inlineStr">
        <is>
          <t>PERSON-104</t>
        </is>
      </c>
      <c r="B105" s="5" t="inlineStr">
        <is>
          <t>Deepa Mehta</t>
        </is>
      </c>
      <c r="C105" s="5" t="inlineStr">
        <is>
          <t>Director; writer; producer</t>
        </is>
      </c>
      <c r="D105" s="17" t="n">
        <v>1950</v>
      </c>
      <c r="E105" s="18" t="n"/>
      <c r="F105" s="5" t="inlineStr">
        <is>
          <t>1976–present</t>
        </is>
      </c>
      <c r="G105" s="5" t="inlineStr">
        <is>
          <t>Canadian; Hindi; English</t>
        </is>
      </c>
      <c r="H105" s="5" t="inlineStr">
        <is>
          <t>Born in Amritsar; studied philosophy at Lady Shri Ram College; emigrated to Canada in 1973 and co-founded Sunrise Films.</t>
        </is>
      </c>
      <c r="I105" s="5" t="inlineStr">
        <is>
          <t>Feature debut Sam &amp; Me (1991), followed by Camilla (1994).</t>
        </is>
      </c>
      <c r="J105" s="5" t="inlineStr">
        <is>
          <t>Fire (1996); Earth (1998); Bollywood/Hollywood (2002); Water (2005); Heaven on Earth (2008); Midnight's Children (2012); Funny Boy (2020)</t>
        </is>
      </c>
      <c r="K105" s="19" t="inlineStr">
        <is>
          <t>Partition, sectarian violence, gender, sexuality and the lives of marginalised women; Indian-Canadian identity</t>
        </is>
      </c>
      <c r="L105" s="19" t="inlineStr">
        <is>
          <t>Transnational art cinema examining how politics and patriarchy shape ordinary lives.</t>
        </is>
      </c>
      <c r="M105" s="5" t="inlineStr">
        <is>
          <t>Academy Award nomination (Water); Genie Award for Best Original Screenplay; Governor General's Performing Arts Award (2012); Officer of the Order of Canada (2013); Canadian Screen Award for Best Director (2021)</t>
        </is>
      </c>
      <c r="N105" s="19" t="inlineStr">
        <is>
          <t>A pioneering Canadian woman filmmaker whose Elements trilogy provoked protests in India and international acclaim.</t>
        </is>
      </c>
      <c r="O105" s="19" t="inlineStr">
        <is>
          <t>Directed Aamir Khan in Earth, one of his darkest and most praised roles.</t>
        </is>
      </c>
      <c r="P105" s="17" t="n">
        <v>1</v>
      </c>
      <c r="Q105" s="5" t="inlineStr">
        <is>
          <t>FILM-031</t>
        </is>
      </c>
      <c r="R105" s="5" t="inlineStr">
        <is>
          <t>Earth (1998)</t>
        </is>
      </c>
      <c r="S105" s="5" t="inlineStr">
        <is>
          <t>Deepa Mehta was born in Amritsar in 1950, grew up aware of the scars of Partition, and studied philosophy at Lady Shri Ram College before moving to Canada in 1973. There she co-founded Sunrise Films, directed television, and made her feature debut with Sam &amp; Me (1991). Her Elements trilogy made her internationally known: Fire (1996), about two sisters-in-law in love, drew protests from Hindu fundamentalist groups; Water (2005), about child widows, had to be shot in Sri Lanka and was nominated for the Academy Award. Between them came Earth (1998), adapted from Bapsi Sidhwa's novel Ice Candy Man and seen through a young girl's eyes in 1947 Lahore. Aamir Khan plays Dil Navaz, the ice-candy seller whose rejected love for the nanny Shanta and the horror of Partition massacres turn him into her betrayer. Rediff called it probably the best performance of his life, and the film was India's submission for the Academy Award. Mehta's later work includes Bollywood/Hollywood, Heaven on Earth, Midnight's Children with Salman Rushdie and Funny Boy, which won the Canadian Screen Award for Best Director. She is an Officer of the Order of Canada. Earth is the only film in which Aamir Khan's romantic persona turns fully destructive.</t>
        </is>
      </c>
      <c r="T105" s="5" t="inlineStr">
        <is>
          <t>SOURCE-098; SOURCE-035</t>
        </is>
      </c>
      <c r="U105" s="5" t="inlineStr">
        <is>
          <t>Medium</t>
        </is>
      </c>
    </row>
    <row r="106" ht="64" customHeight="1">
      <c r="A106" s="15" t="inlineStr">
        <is>
          <t>PERSON-105</t>
        </is>
      </c>
      <c r="B106" s="5" t="inlineStr">
        <is>
          <t>Deepa Sahi</t>
        </is>
      </c>
      <c r="C106" s="5" t="inlineStr">
        <is>
          <t>Producer; actress</t>
        </is>
      </c>
      <c r="D106" s="17" t="n">
        <v>1962</v>
      </c>
      <c r="E106" s="18" t="n"/>
      <c r="F106" s="5" t="inlineStr">
        <is>
          <t>1984–present</t>
        </is>
      </c>
      <c r="G106" s="5" t="inlineStr">
        <is>
          <t>Hindi cinema</t>
        </is>
      </c>
      <c r="H106" s="5" t="inlineStr">
        <is>
          <t>A Dehradun-born actress and producer trained at the National School of Drama, best known as Maya in Maya Memsaab, married to the director Ketan Mehta.</t>
        </is>
      </c>
      <c r="I106" s="5" t="inlineStr">
        <is>
          <t>Acting from 1984; directorial debut Tere Mere Phere (2011).</t>
        </is>
      </c>
      <c r="J106" s="5" t="inlineStr">
        <is>
          <t>With Khan: Mangal Pandey: The Rising (2005), as producer. As actress: Maya Memsaab.</t>
        </is>
      </c>
      <c r="K106" s="19" t="n"/>
      <c r="L106" s="19" t="n"/>
      <c r="M106" s="5" t="n"/>
      <c r="N106" s="19" t="n"/>
      <c r="O106" s="19" t="inlineStr">
        <is>
          <t>Co-produced her husband Ketan Mehta's Mangal Pandey: The Rising, with Khan as the 1857 rebel; it was average.</t>
        </is>
      </c>
      <c r="P106" s="17" t="n">
        <v>1</v>
      </c>
      <c r="Q106" s="5" t="inlineStr">
        <is>
          <t>FILM-035</t>
        </is>
      </c>
      <c r="R106" s="5" t="inlineStr">
        <is>
          <t>Mangal Pandey: The Rising (2005)</t>
        </is>
      </c>
      <c r="S106" s="5" t="inlineStr">
        <is>
          <t>Deepa Sahi studied sociology at the Delhi School of Economics and trained at the National School of Drama, and is best known for the title role in Ketan Mehta's Maya Memsaab (1993). She married Mehta, with whom she has worked as actress, writer and producer. She co-produced Mangal Pandey: The Rising (2005), Mehta's epic about the sepoy whose defiance helped spark the 1857 uprising, with Aamir Khan in the title role.</t>
        </is>
      </c>
      <c r="T106" s="5" t="inlineStr">
        <is>
          <t>SOURCE-154; SOURCE-041</t>
        </is>
      </c>
      <c r="U106" s="5" t="inlineStr">
        <is>
          <t>Medium</t>
        </is>
      </c>
    </row>
    <row r="107" ht="49" customHeight="1">
      <c r="A107" s="15" t="inlineStr">
        <is>
          <t>PERSON-106</t>
        </is>
      </c>
      <c r="B107" s="5" t="inlineStr">
        <is>
          <t>Desh Gautam</t>
        </is>
      </c>
      <c r="C107" s="5" t="inlineStr">
        <is>
          <t>Director</t>
        </is>
      </c>
      <c r="D107" s="18" t="n"/>
      <c r="E107" s="18" t="n"/>
      <c r="F107" s="5" t="n"/>
      <c r="G107" s="5" t="inlineStr">
        <is>
          <t>Hindi cinema</t>
        </is>
      </c>
      <c r="H107" s="5" t="inlineStr">
        <is>
          <t>A director credited on one film in this filmography, with no Wikipedia article of their own.</t>
        </is>
      </c>
      <c r="I107" s="5" t="n"/>
      <c r="J107" s="5" t="inlineStr">
        <is>
          <t>With Khan: Madhosh (1974).</t>
        </is>
      </c>
      <c r="K107" s="19" t="n"/>
      <c r="L107" s="19" t="n"/>
      <c r="M107" s="5" t="n"/>
      <c r="N107" s="19" t="n"/>
      <c r="O107" s="19" t="inlineStr">
        <is>
          <t>One film with Khan, credited as director: Madhosh (1974), with Khan in a child role as Younger Raj.</t>
        </is>
      </c>
      <c r="P107" s="17" t="n">
        <v>1</v>
      </c>
      <c r="Q107" s="5" t="inlineStr">
        <is>
          <t>FILM-002</t>
        </is>
      </c>
      <c r="R107" s="5" t="inlineStr">
        <is>
          <t>Madhosh (1974)</t>
        </is>
      </c>
      <c r="S107" s="5" t="inlineStr">
        <is>
          <t>Desh Gautam is credited as director on Madhosh (1974). No Wikipedia article or other independent biography was located; this row is built from the film credit alone.</t>
        </is>
      </c>
      <c r="T107" s="5" t="inlineStr">
        <is>
          <t>SOURCE-005</t>
        </is>
      </c>
      <c r="U107" s="5" t="inlineStr">
        <is>
          <t>Low</t>
        </is>
      </c>
    </row>
    <row r="108" ht="79" customHeight="1">
      <c r="A108" s="15" t="inlineStr">
        <is>
          <t>PERSON-107</t>
        </is>
      </c>
      <c r="B108" s="5" t="inlineStr">
        <is>
          <t>Dev Anand</t>
        </is>
      </c>
      <c r="C108" s="5" t="inlineStr">
        <is>
          <t>Director; Producer; Writer; actor</t>
        </is>
      </c>
      <c r="D108" s="17" t="n">
        <v>1923</v>
      </c>
      <c r="E108" s="17" t="n">
        <v>2011</v>
      </c>
      <c r="F108" s="5" t="inlineStr">
        <is>
          <t>1946–2011</t>
        </is>
      </c>
      <c r="G108" s="5" t="inlineStr">
        <is>
          <t>Hindi cinema</t>
        </is>
      </c>
      <c r="H108" s="5" t="inlineStr">
        <is>
          <t>One of the greatest stars in the history of Hindi cinema, who acted in more than 100 films over six decades and directed and produced through Navketan Films.</t>
        </is>
      </c>
      <c r="I108" s="5" t="inlineStr">
        <is>
          <t>Hum Ek Hain (1946); first hit Ziddi (1948).</t>
        </is>
      </c>
      <c r="J108" s="5" t="inlineStr">
        <is>
          <t>With Khan: Awwal Number (1990). Wider work: Baazi, Taxi Driver, C.I.D., Kala Pani, Guide, Jewel Thief, Hare Rama Hare Krishna (director).</t>
        </is>
      </c>
      <c r="K108" s="19" t="inlineStr">
        <is>
          <t>Urban noir and romance; later self-directed message films.</t>
        </is>
      </c>
      <c r="L108" s="19" t="n"/>
      <c r="M108" s="5" t="inlineStr">
        <is>
          <t>Four Filmfare Awards; Padma Bhushan (2001); Dadasaheb Phalke Award (2002).</t>
        </is>
      </c>
      <c r="N108" s="19" t="inlineStr">
        <is>
          <t>A defining romantic star of the 1950s and 1960s.</t>
        </is>
      </c>
      <c r="O108" s="19" t="inlineStr">
        <is>
          <t>Wrote, produced and directed Awwal Number, a cricket-and-terrorism thriller in which he co-starred with the young Khan as a cricketer.</t>
        </is>
      </c>
      <c r="P108" s="17" t="n">
        <v>1</v>
      </c>
      <c r="Q108" s="5" t="inlineStr">
        <is>
          <t>FILM-007</t>
        </is>
      </c>
      <c r="R108" s="5" t="inlineStr">
        <is>
          <t>Awwal Number (1990)</t>
        </is>
      </c>
      <c r="S108" s="5" t="inlineStr">
        <is>
          <t>Dev Anand debuted in 1946 and was one of the great stars of Hindi cinema, the lead of Baazi, C.I.D., Kala Pani and Guide, and from the 1970s a director of his own films through Navketan. Awwal Number (1990), which he wrote, produced and directed, cast Aamir Khan as a young cricketer and Anand as a police officer pursuing a terrorist who plans to bomb a match. It was one of the films of Khan's early, uneven post-debut period. Anand received the Dadasaheb Phalke Award in 2002 and died on 3 December 2011.</t>
        </is>
      </c>
      <c r="T108" s="5" t="inlineStr">
        <is>
          <t>SOURCE-155; SOURCE-010</t>
        </is>
      </c>
      <c r="U108" s="5" t="inlineStr">
        <is>
          <t>Medium</t>
        </is>
      </c>
    </row>
    <row r="109" ht="64" customHeight="1">
      <c r="A109" s="15" t="inlineStr">
        <is>
          <t>PERSON-108</t>
        </is>
      </c>
      <c r="B109" s="5" t="inlineStr">
        <is>
          <t>Dharma Productions</t>
        </is>
      </c>
      <c r="C109" s="5" t="inlineStr">
        <is>
          <t>Production banner</t>
        </is>
      </c>
      <c r="D109" s="18" t="n"/>
      <c r="E109" s="18" t="n"/>
      <c r="F109" s="5" t="n"/>
      <c r="G109" s="5" t="inlineStr">
        <is>
          <t>Hindi cinema</t>
        </is>
      </c>
      <c r="H109" s="5" t="inlineStr">
        <is>
          <t>A Mumbai production and distribution company established by Yash Johar in 1976 and run since 2004 by his son Karan Johar; its first production was Dostana (1980).</t>
        </is>
      </c>
      <c r="I109" s="5" t="n"/>
      <c r="J109" s="5" t="inlineStr">
        <is>
          <t>With Khan: Bombay Talkies (2013). Wider work: Agneepath, Kuch Kuch Hota Hai, Kabhi Khushi Kabhie Gham, My Name Is Khan, Brahmāstra.</t>
        </is>
      </c>
      <c r="K109" s="19" t="inlineStr">
        <is>
          <t>Romantic family drama; later a wide slate of genre films.</t>
        </is>
      </c>
      <c r="L109" s="19" t="n"/>
      <c r="M109" s="5" t="n"/>
      <c r="N109" s="19" t="n"/>
      <c r="O109" s="19" t="inlineStr">
        <is>
          <t>One film: the anthology Bombay Talkies, which it co-produced; Khan appears as himself.</t>
        </is>
      </c>
      <c r="P109" s="17" t="n">
        <v>1</v>
      </c>
      <c r="Q109" s="5" t="inlineStr">
        <is>
          <t>FILM-045</t>
        </is>
      </c>
      <c r="R109" s="5" t="inlineStr">
        <is>
          <t>Bombay Talkies (2013)</t>
        </is>
      </c>
      <c r="S109" s="5" t="inlineStr">
        <is>
          <t>Dharma Productions was founded by Yash Johar and became one of the largest Hindi studios under Karan Johar after Kuch Kuch Hota Hai (1998). Aamir Khan has never starred in a Dharma film; his only credit with the company is Bombay Talkies (2013), the four-director anthology marking a hundred years of Indian cinema, which it co-produced and in which Khan appears as himself.</t>
        </is>
      </c>
      <c r="T109" s="5" t="inlineStr">
        <is>
          <t>SOURCE-156; SOURCE-051</t>
        </is>
      </c>
      <c r="U109" s="5" t="inlineStr">
        <is>
          <t>Medium</t>
        </is>
      </c>
    </row>
    <row r="110" ht="64" customHeight="1">
      <c r="A110" s="15" t="inlineStr">
        <is>
          <t>PERSON-109</t>
        </is>
      </c>
      <c r="B110" s="5" t="inlineStr">
        <is>
          <t>Dibakar Banerjee</t>
        </is>
      </c>
      <c r="C110" s="5" t="inlineStr">
        <is>
          <t>Director (anthology segment); production banner</t>
        </is>
      </c>
      <c r="D110" s="17" t="n">
        <v>1969</v>
      </c>
      <c r="E110" s="18" t="n"/>
      <c r="F110" s="5" t="inlineStr">
        <is>
          <t>2006–present</t>
        </is>
      </c>
      <c r="G110" s="5" t="inlineStr">
        <is>
          <t>Hindi cinema</t>
        </is>
      </c>
      <c r="H110" s="5" t="inlineStr">
        <is>
          <t>A Delhi-born director, screenwriter, producer and advertising filmmaker who studied at the National Institute of Design and runs Dibakar Banerjee Productions.</t>
        </is>
      </c>
      <c r="I110" s="5" t="inlineStr">
        <is>
          <t>Khosla Ka Ghosla (2006).</t>
        </is>
      </c>
      <c r="J110" s="5" t="inlineStr">
        <is>
          <t>With Khan: Bombay Talkies (2013). Wider work: Khosla Ka Ghosla, Oye Lucky! Lucky Oye!, Love Sex Aur Dhokha, Shanghai, Detective Byomkesh Bakshy!.</t>
        </is>
      </c>
      <c r="K110" s="19" t="inlineStr">
        <is>
          <t>Satirical, formally inventive films about Delhi.</t>
        </is>
      </c>
      <c r="L110" s="19" t="n"/>
      <c r="M110" s="5" t="inlineStr">
        <is>
          <t>National Film Awards for Khosla Ka Ghosla and Oye Lucky! Lucky Oye!.</t>
        </is>
      </c>
      <c r="N110" s="19" t="n"/>
      <c r="O110" s="19" t="inlineStr">
        <is>
          <t>Directed a segment of Bombay Talkies, which his company also co-produced; Khan appears as himself.</t>
        </is>
      </c>
      <c r="P110" s="17" t="n">
        <v>1</v>
      </c>
      <c r="Q110" s="5" t="inlineStr">
        <is>
          <t>FILM-045</t>
        </is>
      </c>
      <c r="R110" s="5" t="inlineStr">
        <is>
          <t>Bombay Talkies (2013)</t>
        </is>
      </c>
      <c r="S110" s="5" t="inlineStr">
        <is>
          <t>Dibakar Banerjee came from advertising and made two National Award-winning comedies, Khosla Ka Ghosla and Oye Lucky! Lucky Oye!, before the experimental Love Sex Aur Dhokha and the political thriller Shanghai. His segment of Bombay Talkies (2013), adapted from a Satyajit Ray story, is one of four in the centenary anthology, in which Aamir Khan makes a self appearance; his company co-produced the film.</t>
        </is>
      </c>
      <c r="T110" s="5" t="inlineStr">
        <is>
          <t>SOURCE-157; SOURCE-051</t>
        </is>
      </c>
      <c r="U110" s="5" t="inlineStr">
        <is>
          <t>Medium</t>
        </is>
      </c>
    </row>
    <row r="111" ht="79" customHeight="1">
      <c r="A111" s="15" t="inlineStr">
        <is>
          <t>PERSON-110</t>
        </is>
      </c>
      <c r="B111" s="5" t="inlineStr">
        <is>
          <t>Dibakar Banerjee Productions</t>
        </is>
      </c>
      <c r="C111" s="5" t="inlineStr">
        <is>
          <t>Production banner</t>
        </is>
      </c>
      <c r="D111" s="18" t="n"/>
      <c r="E111" s="18" t="n"/>
      <c r="F111" s="5" t="n"/>
      <c r="G111" s="5" t="inlineStr">
        <is>
          <t>Hindi cinema</t>
        </is>
      </c>
      <c r="H111" s="5" t="inlineStr">
        <is>
          <t>A production banner credited on one film in this filmography, with no Wikipedia article of its own.</t>
        </is>
      </c>
      <c r="I111" s="5" t="n"/>
      <c r="J111" s="5" t="inlineStr">
        <is>
          <t>With Khan: Bombay Talkies (2013).</t>
        </is>
      </c>
      <c r="K111" s="19" t="n"/>
      <c r="L111" s="19" t="n"/>
      <c r="M111" s="5" t="n"/>
      <c r="N111" s="19" t="n"/>
      <c r="O111" s="19" t="inlineStr">
        <is>
          <t>One film with Khan, credited as production banner: Bombay Talkies (2013), directed by Karan Johar, Dibakar Banerjee, Zoya Akhtar and Anurag Kashyap, with Khan in a self appearance.</t>
        </is>
      </c>
      <c r="P111" s="17" t="n">
        <v>1</v>
      </c>
      <c r="Q111" s="5" t="inlineStr">
        <is>
          <t>FILM-045</t>
        </is>
      </c>
      <c r="R111" s="5" t="inlineStr">
        <is>
          <t>Bombay Talkies (2013)</t>
        </is>
      </c>
      <c r="S111" s="5" t="inlineStr">
        <is>
          <t>Dibakar Banerjee Productions is credited as production banner on Bombay Talkies (2013). No Wikipedia article or other independent biography was located for the company; this row is built from the film credit alone.</t>
        </is>
      </c>
      <c r="T111" s="5" t="inlineStr">
        <is>
          <t>SOURCE-051</t>
        </is>
      </c>
      <c r="U111" s="5" t="inlineStr">
        <is>
          <t>Low</t>
        </is>
      </c>
    </row>
    <row r="112" ht="64" customHeight="1">
      <c r="A112" s="15" t="inlineStr">
        <is>
          <t>PERSON-111</t>
        </is>
      </c>
      <c r="B112" s="5" t="inlineStr">
        <is>
          <t>Dilip Shankar</t>
        </is>
      </c>
      <c r="C112" s="5" t="inlineStr">
        <is>
          <t>Director; Writer</t>
        </is>
      </c>
      <c r="D112" s="18" t="n"/>
      <c r="E112" s="18" t="n"/>
      <c r="F112" s="5" t="n"/>
      <c r="G112" s="5" t="inlineStr">
        <is>
          <t>Hindi cinema</t>
        </is>
      </c>
      <c r="H112" s="5" t="inlineStr">
        <is>
          <t>A director and writer credited on one film in this filmography, with no Wikipedia article of their own.</t>
        </is>
      </c>
      <c r="I112" s="5" t="n"/>
      <c r="J112" s="5" t="inlineStr">
        <is>
          <t>With Khan: Aatank Hi Aatank (1995).</t>
        </is>
      </c>
      <c r="K112" s="19" t="n"/>
      <c r="L112" s="19" t="n"/>
      <c r="M112" s="5" t="n"/>
      <c r="N112" s="19" t="n"/>
      <c r="O112" s="19" t="inlineStr">
        <is>
          <t>One film with Khan, credited as director and writer: Aatank Hi Aatank (1995), with Khan in a co-lead as Rohan; verdict: Box office failure.</t>
        </is>
      </c>
      <c r="P112" s="17" t="n">
        <v>1</v>
      </c>
      <c r="Q112" s="5" t="inlineStr">
        <is>
          <t>FILM-023</t>
        </is>
      </c>
      <c r="R112" s="5" t="inlineStr">
        <is>
          <t>Aatank Hi Aatank (1995)</t>
        </is>
      </c>
      <c r="S112" s="5" t="inlineStr">
        <is>
          <t>Dilip Shankar is credited as director and writer on Aatank Hi Aatank (1995). No Wikipedia article or other independent biography was located; this row is built from the film credit alone.</t>
        </is>
      </c>
      <c r="T112" s="5" t="inlineStr">
        <is>
          <t>SOURCE-029</t>
        </is>
      </c>
      <c r="U112" s="5" t="inlineStr">
        <is>
          <t>Low</t>
        </is>
      </c>
    </row>
    <row r="113" ht="64" customHeight="1">
      <c r="A113" s="15" t="inlineStr">
        <is>
          <t>PERSON-112</t>
        </is>
      </c>
      <c r="B113" s="5" t="inlineStr">
        <is>
          <t>Divy Nidhi Sharma</t>
        </is>
      </c>
      <c r="C113" s="5" t="inlineStr">
        <is>
          <t>Writer</t>
        </is>
      </c>
      <c r="D113" s="18" t="n"/>
      <c r="E113" s="18" t="n"/>
      <c r="F113" s="5" t="n"/>
      <c r="G113" s="5" t="inlineStr">
        <is>
          <t>Hindi cinema</t>
        </is>
      </c>
      <c r="H113" s="5" t="inlineStr">
        <is>
          <t>A writer credited on one film in this filmography, with no Wikipedia article of their own.</t>
        </is>
      </c>
      <c r="I113" s="5" t="n"/>
      <c r="J113" s="5" t="inlineStr">
        <is>
          <t>With Khan: Sitaare Zameen Par (2025).</t>
        </is>
      </c>
      <c r="K113" s="19" t="n"/>
      <c r="L113" s="19" t="n"/>
      <c r="M113" s="5" t="n"/>
      <c r="N113" s="19" t="n"/>
      <c r="O113" s="19" t="inlineStr">
        <is>
          <t>One film with Khan, credited as writer: Sitaare Zameen Par (2025), directed by R. S. Prasanna, with Khan in the lead as Gulshan Arora; verdict: Hit.</t>
        </is>
      </c>
      <c r="P113" s="17" t="n">
        <v>1</v>
      </c>
      <c r="Q113" s="5" t="inlineStr">
        <is>
          <t>FILM-055</t>
        </is>
      </c>
      <c r="R113" s="5" t="inlineStr">
        <is>
          <t>Sitaare Zameen Par (2025)</t>
        </is>
      </c>
      <c r="S113" s="5" t="inlineStr">
        <is>
          <t>Divy Nidhi Sharma is credited as writer on Sitaare Zameen Par (2025). No Wikipedia article or other independent biography was located; this row is built from the film credit alone.</t>
        </is>
      </c>
      <c r="T113" s="5" t="inlineStr">
        <is>
          <t>SOURCE-061</t>
        </is>
      </c>
      <c r="U113" s="5" t="inlineStr">
        <is>
          <t>Low</t>
        </is>
      </c>
    </row>
    <row r="114" ht="94" customHeight="1">
      <c r="A114" s="15" t="inlineStr">
        <is>
          <t>PERSON-113</t>
        </is>
      </c>
      <c r="B114" s="5" t="inlineStr">
        <is>
          <t>Farrukh Dhondy</t>
        </is>
      </c>
      <c r="C114" s="5" t="inlineStr">
        <is>
          <t>Writer</t>
        </is>
      </c>
      <c r="D114" s="18" t="n"/>
      <c r="E114" s="18" t="n"/>
      <c r="F114" s="5" t="n"/>
      <c r="G114" s="5" t="inlineStr">
        <is>
          <t>British television and theatre; Hindi cinema</t>
        </is>
      </c>
      <c r="H114" s="5" t="inlineStr">
        <is>
          <t>A Pune-born British Parsi writer, playwright and screenwriter, educated at Pembroke College, Cambridge, who was Commissioning Editor for Multicultural Programmes at Channel 4 from 1984 to 1997.</t>
        </is>
      </c>
      <c r="I114" s="5" t="n"/>
      <c r="J114" s="5" t="inlineStr">
        <is>
          <t>With Khan: Mangal Pandey: The Rising (2005). Television: Bandung File, Tandoori Nights.</t>
        </is>
      </c>
      <c r="K114" s="19" t="inlineStr">
        <is>
          <t>Race, politics and post-colonial identity.</t>
        </is>
      </c>
      <c r="L114" s="19" t="n"/>
      <c r="M114" s="5" t="n"/>
      <c r="N114" s="19" t="n"/>
      <c r="O114" s="19" t="inlineStr">
        <is>
          <t>Wrote Mangal Pandey: The Rising, with Khan as the sepoy whose revolt began the 1857 uprising.</t>
        </is>
      </c>
      <c r="P114" s="17" t="n">
        <v>1</v>
      </c>
      <c r="Q114" s="5" t="inlineStr">
        <is>
          <t>FILM-035</t>
        </is>
      </c>
      <c r="R114" s="5" t="inlineStr">
        <is>
          <t>Mangal Pandey: The Rising (2005)</t>
        </is>
      </c>
      <c r="S114" s="5" t="inlineStr">
        <is>
          <t>Farrukh Dhondy moved to Britain in the 1960s, became involved in radical politics in Leicester and London, and wrote plays and fiction before commissioning multicultural programming at Channel 4 for thirteen years. He wrote the screenplay of Ketan Mehta's Mangal Pandey: The Rising (2005), which presents Aamir Khan's Pandey as a loyal sepoy turned against the East India Company by the greased-cartridge controversy and his friendship with a British officer. The film did average business. His birth year appears only in the article description (1944) and is left blank.</t>
        </is>
      </c>
      <c r="T114" s="5" t="inlineStr">
        <is>
          <t>SOURCE-158; SOURCE-041</t>
        </is>
      </c>
      <c r="U114" s="5" t="inlineStr">
        <is>
          <t>Medium</t>
        </is>
      </c>
    </row>
    <row r="115" ht="64" customHeight="1">
      <c r="A115" s="15" t="inlineStr">
        <is>
          <t>PERSON-114</t>
        </is>
      </c>
      <c r="B115" s="5" t="inlineStr">
        <is>
          <t>Firoz A. Nadiadwala</t>
        </is>
      </c>
      <c r="C115" s="5" t="inlineStr">
        <is>
          <t>Producer</t>
        </is>
      </c>
      <c r="D115" s="18" t="n"/>
      <c r="E115" s="18" t="n"/>
      <c r="F115" s="5" t="n"/>
      <c r="G115" s="5" t="inlineStr">
        <is>
          <t>Hindi cinema</t>
        </is>
      </c>
      <c r="H115" s="5" t="inlineStr">
        <is>
          <t>A producer credited on one film in this filmography, with no Wikipedia article of their own.</t>
        </is>
      </c>
      <c r="I115" s="5" t="n"/>
      <c r="J115" s="5" t="inlineStr">
        <is>
          <t>With Khan: Parampara (1993).</t>
        </is>
      </c>
      <c r="K115" s="19" t="n"/>
      <c r="L115" s="19" t="n"/>
      <c r="M115" s="5" t="n"/>
      <c r="N115" s="19" t="n"/>
      <c r="O115" s="19" t="inlineStr">
        <is>
          <t>One film with Khan, credited as producer: Parampara (1993), directed by Yash Chopra, with Khan in a co-lead as Ranvir Prithvi Singh; verdict: Flop.</t>
        </is>
      </c>
      <c r="P115" s="17" t="n">
        <v>1</v>
      </c>
      <c r="Q115" s="5" t="inlineStr">
        <is>
          <t>FILM-018</t>
        </is>
      </c>
      <c r="R115" s="5" t="inlineStr">
        <is>
          <t>Parampara (1993)</t>
        </is>
      </c>
      <c r="S115" s="5" t="inlineStr">
        <is>
          <t>Firoz A. Nadiadwala is credited as producer on Parampara (1993). No Wikipedia article or other independent biography was located; this row is built from the film credit alone.</t>
        </is>
      </c>
      <c r="T115" s="5" t="inlineStr">
        <is>
          <t>SOURCE-024</t>
        </is>
      </c>
      <c r="U115" s="5" t="inlineStr">
        <is>
          <t>Low</t>
        </is>
      </c>
    </row>
    <row r="116" ht="79" customHeight="1">
      <c r="A116" s="15" t="inlineStr">
        <is>
          <t>PERSON-115</t>
        </is>
      </c>
      <c r="B116" s="5" t="inlineStr">
        <is>
          <t>Flying Unicorn Entertainment</t>
        </is>
      </c>
      <c r="C116" s="5" t="inlineStr">
        <is>
          <t>Production banner</t>
        </is>
      </c>
      <c r="D116" s="18" t="n"/>
      <c r="E116" s="18" t="n"/>
      <c r="F116" s="5" t="n"/>
      <c r="G116" s="5" t="inlineStr">
        <is>
          <t>Hindi cinema</t>
        </is>
      </c>
      <c r="H116" s="5" t="inlineStr">
        <is>
          <t>A production banner credited on one film in this filmography, with no Wikipedia article of its own.</t>
        </is>
      </c>
      <c r="I116" s="5" t="n"/>
      <c r="J116" s="5" t="inlineStr">
        <is>
          <t>With Khan: Bombay Talkies (2013).</t>
        </is>
      </c>
      <c r="K116" s="19" t="n"/>
      <c r="L116" s="19" t="n"/>
      <c r="M116" s="5" t="n"/>
      <c r="N116" s="19" t="n"/>
      <c r="O116" s="19" t="inlineStr">
        <is>
          <t>One film with Khan, credited as production banner: Bombay Talkies (2013), directed by Karan Johar, Dibakar Banerjee, Zoya Akhtar and Anurag Kashyap, with Khan in a self appearance.</t>
        </is>
      </c>
      <c r="P116" s="17" t="n">
        <v>1</v>
      </c>
      <c r="Q116" s="5" t="inlineStr">
        <is>
          <t>FILM-045</t>
        </is>
      </c>
      <c r="R116" s="5" t="inlineStr">
        <is>
          <t>Bombay Talkies (2013)</t>
        </is>
      </c>
      <c r="S116" s="5" t="inlineStr">
        <is>
          <t>Flying Unicorn Entertainment is credited as production banner on Bombay Talkies (2013). No Wikipedia article or other independent biography was located for the company; this row is built from the film credit alone.</t>
        </is>
      </c>
      <c r="T116" s="5" t="inlineStr">
        <is>
          <t>SOURCE-051</t>
        </is>
      </c>
      <c r="U116" s="5" t="inlineStr">
        <is>
          <t>Low</t>
        </is>
      </c>
    </row>
    <row r="117" ht="64" customHeight="1">
      <c r="A117" s="15" t="inlineStr">
        <is>
          <t>PERSON-116</t>
        </is>
      </c>
      <c r="B117" s="5" t="inlineStr">
        <is>
          <t>Ganesh Jain</t>
        </is>
      </c>
      <c r="C117" s="5" t="inlineStr">
        <is>
          <t>Producer (Venus Records &amp; Tapes)</t>
        </is>
      </c>
      <c r="D117" s="18" t="n"/>
      <c r="E117" s="18" t="n"/>
      <c r="F117" s="5" t="n"/>
      <c r="G117" s="5" t="inlineStr">
        <is>
          <t>Hindi cinema</t>
        </is>
      </c>
      <c r="H117" s="5" t="inlineStr">
        <is>
          <t>A Hindi-film producer who founded Venus Records &amp; Tapes with his brothers and served as chairman of the Indian Music Industry body.</t>
        </is>
      </c>
      <c r="I117" s="5" t="inlineStr">
        <is>
          <t>Venus moved into film production with Khiladi (1992).</t>
        </is>
      </c>
      <c r="J117" s="5" t="inlineStr">
        <is>
          <t>With Khan: Mela (2000). Wider work: Baazigar, Josh, Garam Masala, Aap Ki Khatir, De Dana Dan.</t>
        </is>
      </c>
      <c r="K117" s="19" t="inlineStr">
        <is>
          <t>Song-driven mainstream entertainers.</t>
        </is>
      </c>
      <c r="L117" s="19" t="n"/>
      <c r="M117" s="5" t="n"/>
      <c r="N117" s="19" t="n"/>
      <c r="O117" s="19" t="inlineStr">
        <is>
          <t>One film: Dharmesh Darshan's Mela, with Khan as a wandering truck driver who protects a village from a bandit.</t>
        </is>
      </c>
      <c r="P117" s="17" t="n">
        <v>1</v>
      </c>
      <c r="Q117" s="5" t="inlineStr">
        <is>
          <t>FILM-032</t>
        </is>
      </c>
      <c r="R117" s="5" t="inlineStr">
        <is>
          <t>Mela (2000)</t>
        </is>
      </c>
      <c r="S117" s="5" t="inlineStr">
        <is>
          <t>Ganesh Jain and his brother Ratan built Venus Records &amp; Tapes from a video-cassette business into a major producer, starting with Khiladi in 1992. He produced Mela (2000), Dharmesh Darshan's action musical in which Aamir Khan plays Kishan, a traveller who helps a village against a dacoit, alongside his brother Faisal Khan and Twinkle Khanna.</t>
        </is>
      </c>
      <c r="T117" s="5" t="inlineStr">
        <is>
          <t>SOURCE-159; SOURCE-038</t>
        </is>
      </c>
      <c r="U117" s="5" t="inlineStr">
        <is>
          <t>Medium</t>
        </is>
      </c>
    </row>
    <row r="118" ht="79" customHeight="1">
      <c r="A118" s="15" t="inlineStr">
        <is>
          <t>PERSON-117</t>
        </is>
      </c>
      <c r="B118" s="5" t="inlineStr">
        <is>
          <t>Geetha Arts</t>
        </is>
      </c>
      <c r="C118" s="5" t="inlineStr">
        <is>
          <t>Production banner</t>
        </is>
      </c>
      <c r="D118" s="18" t="n"/>
      <c r="E118" s="18" t="n"/>
      <c r="F118" s="5" t="n"/>
      <c r="G118" s="5" t="inlineStr">
        <is>
          <t>Telugu cinema; Hindi and Tamil cinema</t>
        </is>
      </c>
      <c r="H118" s="5" t="inlineStr">
        <is>
          <t>One of the largest production houses in South Indian cinema, established in 1972 by Allu Aravind with Dasari Satyanarayana Murthy and Vegi Veera Raju, and named after the Bhagavad Gita; about 60 films, mostly Telugu.</t>
        </is>
      </c>
      <c r="I118" s="5" t="inlineStr">
        <is>
          <t>Bantrothu Bharya (1974).</t>
        </is>
      </c>
      <c r="J118" s="5" t="inlineStr">
        <is>
          <t>With Khan: Ghajini (2008). Wider work: Magadheera, Sarrainodu, Ala Vaikunthapurramuloo.</t>
        </is>
      </c>
      <c r="K118" s="19" t="inlineStr">
        <is>
          <t>Star-led Telugu commercial cinema.</t>
        </is>
      </c>
      <c r="L118" s="19" t="n"/>
      <c r="M118" s="5" t="n"/>
      <c r="N118" s="19" t="n"/>
      <c r="O118" s="19" t="inlineStr">
        <is>
          <t>One film: Ghajini, A. R. Murugadoss's Hindi remake of his Tamil thriller, with Khan as a man with short-term memory loss; it was an all-time blockbuster.</t>
        </is>
      </c>
      <c r="P118" s="17" t="n">
        <v>1</v>
      </c>
      <c r="Q118" s="5" t="inlineStr">
        <is>
          <t>FILM-039</t>
        </is>
      </c>
      <c r="R118" s="5" t="inlineStr">
        <is>
          <t>Ghajini (2008)</t>
        </is>
      </c>
      <c r="S118" s="5" t="inlineStr">
        <is>
          <t>Geetha Arts is Allu Aravind's company, a leading Telugu producer since the 1970s that has made films with Chiranjeevi, Allu Arjun and Ram Charan, and occasional Hindi and Tamil productions. It produced Ghajini (2008), in which Aamir Khan plays Sanjay Singhania, a telecom tycoon with anterograde amnesia who uses tattoos and Polaroids to track down his fiancée's killer. The film was one of the biggest hits of Khan's career.</t>
        </is>
      </c>
      <c r="T118" s="5" t="inlineStr">
        <is>
          <t>SOURCE-160; SOURCE-045</t>
        </is>
      </c>
      <c r="U118" s="5" t="inlineStr">
        <is>
          <t>Medium</t>
        </is>
      </c>
    </row>
    <row r="119" ht="64" customHeight="1">
      <c r="A119" s="15" t="inlineStr">
        <is>
          <t>PERSON-118</t>
        </is>
      </c>
      <c r="B119" s="5" t="inlineStr">
        <is>
          <t>Gordhan Tanwani</t>
        </is>
      </c>
      <c r="C119" s="5" t="inlineStr">
        <is>
          <t>Producer</t>
        </is>
      </c>
      <c r="D119" s="18" t="n"/>
      <c r="E119" s="18" t="n"/>
      <c r="F119" s="5" t="n"/>
      <c r="G119" s="5" t="inlineStr">
        <is>
          <t>Hindi cinema</t>
        </is>
      </c>
      <c r="H119" s="5" t="inlineStr">
        <is>
          <t>A producer credited on one film in this filmography, with no Wikipedia article of their own.</t>
        </is>
      </c>
      <c r="I119" s="5" t="n"/>
      <c r="J119" s="5" t="inlineStr">
        <is>
          <t>With Khan: Ishq (1997).</t>
        </is>
      </c>
      <c r="K119" s="19" t="n"/>
      <c r="L119" s="19" t="n"/>
      <c r="M119" s="5" t="n"/>
      <c r="N119" s="19" t="n"/>
      <c r="O119" s="19" t="inlineStr">
        <is>
          <t>One film with Khan, credited as producer: Ishq (1997), directed by Indra Kumar, with Khan in a co-lead as Raja; verdict: Commercial success.</t>
        </is>
      </c>
      <c r="P119" s="17" t="n">
        <v>1</v>
      </c>
      <c r="Q119" s="5" t="inlineStr">
        <is>
          <t>FILM-027</t>
        </is>
      </c>
      <c r="R119" s="5" t="inlineStr">
        <is>
          <t>Ishq (1997)</t>
        </is>
      </c>
      <c r="S119" s="5" t="inlineStr">
        <is>
          <t>Gordhan Tanwani is credited as producer on Ishq (1997). No Wikipedia article or other independent biography was located; this row is built from the film credit alone.</t>
        </is>
      </c>
      <c r="T119" s="5" t="inlineStr">
        <is>
          <t>SOURCE-033</t>
        </is>
      </c>
      <c r="U119" s="5" t="inlineStr">
        <is>
          <t>Low</t>
        </is>
      </c>
    </row>
    <row r="120" ht="79" customHeight="1">
      <c r="A120" s="15" t="inlineStr">
        <is>
          <t>PERSON-119</t>
        </is>
      </c>
      <c r="B120" s="5" t="inlineStr">
        <is>
          <t>Gulshan Kumar</t>
        </is>
      </c>
      <c r="C120" s="5" t="inlineStr">
        <is>
          <t>Producer (T-Series founder)</t>
        </is>
      </c>
      <c r="D120" s="17" t="n">
        <v>1956</v>
      </c>
      <c r="E120" s="17" t="n">
        <v>1997</v>
      </c>
      <c r="F120" s="5" t="inlineStr">
        <is>
          <t>1972–1997</t>
        </is>
      </c>
      <c r="G120" s="5" t="inlineStr">
        <is>
          <t>Hindi cinema</t>
        </is>
      </c>
      <c r="H120" s="5" t="inlineStr">
        <is>
          <t>A Delhi-born producer and businessman, son of a fruit-juice vendor whose family fled West Punjab at Partition, who founded T-Series in 1983 and made it the leading Indian music label; he was murdered in 1997.</t>
        </is>
      </c>
      <c r="I120" s="5" t="n"/>
      <c r="J120" s="5" t="inlineStr">
        <is>
          <t>With Khan: Dil Hai Ke Manta Nahin (1991). T-Series' breakthrough was the soundtrack of Qayamat Se Qayamat Tak (1988).</t>
        </is>
      </c>
      <c r="K120" s="19" t="inlineStr">
        <is>
          <t>Devotional music and mass-market film soundtracks.</t>
        </is>
      </c>
      <c r="L120" s="19" t="n"/>
      <c r="M120" s="5" t="n"/>
      <c r="N120" s="19" t="n"/>
      <c r="O120" s="19" t="inlineStr">
        <is>
          <t>Produced Mahesh Bhatt's Dil Hai Ke Manta Nahin, a box-office success with Khan and Pooja Bhatt. His label's rise began with the soundtrack of Khan's debut film.</t>
        </is>
      </c>
      <c r="P120" s="17" t="n">
        <v>1</v>
      </c>
      <c r="Q120" s="5" t="inlineStr">
        <is>
          <t>FILM-013</t>
        </is>
      </c>
      <c r="R120" s="5" t="inlineStr">
        <is>
          <t>Dil Hai Ke Manta Nahin (1991)</t>
        </is>
      </c>
      <c r="S120" s="5" t="inlineStr">
        <is>
          <t>Gulshan Kumar started out selling cassettes in Delhi and turned T-Series into the dominant Indian music company of the 1990s; the success of the Qayamat Se Qayamat Tak soundtrack in 1988 was its breakthrough. He also sang devotional songs and produced films, including Dil Hai Ke Manta Nahin (1991), Mahesh Bhatt's remake of It Happened One Night with Aamir Khan as a journalist. He was shot dead in Mumbai on 12 August 1997; Khan later agreed to play him in the biopic Mogul.</t>
        </is>
      </c>
      <c r="T120" s="5" t="inlineStr">
        <is>
          <t>SOURCE-161; SOURCE-018</t>
        </is>
      </c>
      <c r="U120" s="5" t="inlineStr">
        <is>
          <t>Medium</t>
        </is>
      </c>
    </row>
    <row r="121" ht="64" customHeight="1">
      <c r="A121" s="15" t="inlineStr">
        <is>
          <t>PERSON-120</t>
        </is>
      </c>
      <c r="B121" s="5" t="inlineStr">
        <is>
          <t>Gustavo Santaolalla</t>
        </is>
      </c>
      <c r="C121" s="5" t="inlineStr">
        <is>
          <t>Song composer; Background-score composer</t>
        </is>
      </c>
      <c r="D121" s="17" t="n">
        <v>1951</v>
      </c>
      <c r="E121" s="18" t="n"/>
      <c r="F121" s="5" t="inlineStr">
        <is>
          <t>1967–present</t>
        </is>
      </c>
      <c r="G121" s="5" t="inlineStr">
        <is>
          <t>Argentine music; international film</t>
        </is>
      </c>
      <c r="H121" s="5" t="inlineStr">
        <is>
          <t>An Argentine composer, record producer and musician known for a minimalist style, a founder of the rock nacional band Arco Iris and a leading producer of rock en español.</t>
        </is>
      </c>
      <c r="I121" s="5" t="inlineStr">
        <is>
          <t>Founded Arco Iris (1967).</t>
        </is>
      </c>
      <c r="J121" s="5" t="inlineStr">
        <is>
          <t>With Khan: Dhobi Ghat (2011). Wider work: Brokeback Mountain, Babel, The Motorcycle Diaries, The Last of Us (games and series).</t>
        </is>
      </c>
      <c r="K121" s="19" t="inlineStr">
        <is>
          <t>Spare acoustic scoring.</t>
        </is>
      </c>
      <c r="L121" s="19" t="n"/>
      <c r="M121" s="5" t="inlineStr">
        <is>
          <t>Two Academy Awards for Best Original Score; a Golden Globe; two Grammys; 17 Latin Grammys.</t>
        </is>
      </c>
      <c r="N121" s="19" t="n"/>
      <c r="O121" s="19" t="inlineStr">
        <is>
          <t>Scored Kiran Rao's Dhobi Ghat, an Aamir Khan Productions film in which Khan plays a reclusive painter in a four-character ensemble.</t>
        </is>
      </c>
      <c r="P121" s="17" t="n">
        <v>1</v>
      </c>
      <c r="Q121" s="5" t="inlineStr">
        <is>
          <t>FILM-042</t>
        </is>
      </c>
      <c r="R121" s="5" t="inlineStr">
        <is>
          <t>Dhobi Ghat (2011)</t>
        </is>
      </c>
      <c r="S121" s="5" t="inlineStr">
        <is>
          <t>Gustavo Santaolalla won consecutive Academy Awards for Brokeback Mountain and Babel and became known for the guitar-led minimalism of his scores. He wrote the music for Dhobi Ghat (2011), Kiran Rao's debut, a quiet ensemble film about four people in Mumbai, produced by Aamir Khan Productions, in which Khan plays Arun, a painter. The film did average business.</t>
        </is>
      </c>
      <c r="T121" s="5" t="inlineStr">
        <is>
          <t>SOURCE-162; SOURCE-048</t>
        </is>
      </c>
      <c r="U121" s="5" t="inlineStr">
        <is>
          <t>Medium</t>
        </is>
      </c>
    </row>
    <row r="122" ht="64" customHeight="1">
      <c r="A122" s="15" t="inlineStr">
        <is>
          <t>PERSON-121</t>
        </is>
      </c>
      <c r="B122" s="5" t="inlineStr">
        <is>
          <t>Honey Irani</t>
        </is>
      </c>
      <c r="C122" s="5" t="inlineStr">
        <is>
          <t>Writer</t>
        </is>
      </c>
      <c r="D122" s="18" t="n"/>
      <c r="E122" s="18" t="n"/>
      <c r="F122" s="5" t="n"/>
      <c r="G122" s="5" t="inlineStr">
        <is>
          <t>Hindi cinema</t>
        </is>
      </c>
      <c r="H122" s="5" t="inlineStr">
        <is>
          <t>A child actress turned screenwriter, sister of Daisy Irani, former wife of Javed Akhtar and mother of Farhan and Zoya Akhtar.</t>
        </is>
      </c>
      <c r="I122" s="5" t="inlineStr">
        <is>
          <t>Screenwriting with Lamhe (1991).</t>
        </is>
      </c>
      <c r="J122" s="5" t="inlineStr">
        <is>
          <t>With Khan: Parampara (1993). Wider work: Lamhe, Darr, Kaho Naa... Pyaar Hai, Koi... Mil Gaya, Krrish; directed Armaan.</t>
        </is>
      </c>
      <c r="K122" s="19" t="inlineStr">
        <is>
          <t>Romantic and family melodrama.</t>
        </is>
      </c>
      <c r="L122" s="19" t="n"/>
      <c r="M122" s="5" t="n"/>
      <c r="N122" s="19" t="n"/>
      <c r="O122" s="19" t="inlineStr">
        <is>
          <t>Co-wrote Yash Chopra's Parampara, a feuding-families drama in which Khan has a co-lead; it flopped. Her son Farhan later directed Khan in Dil Chahta Hai.</t>
        </is>
      </c>
      <c r="P122" s="17" t="n">
        <v>1</v>
      </c>
      <c r="Q122" s="5" t="inlineStr">
        <is>
          <t>FILM-018</t>
        </is>
      </c>
      <c r="R122" s="5" t="inlineStr">
        <is>
          <t>Parampara (1993)</t>
        </is>
      </c>
      <c r="S122" s="5" t="inlineStr">
        <is>
          <t>Honey Irani acted as a child and, after her marriage to Javed Akhtar ended, became a screenwriter for Yash Chopra, co-writing Lamhe, Parampara and Darr, and later for Rakesh Roshan. Parampara (1993) is a generational feud drama in which Aamir Khan and Saif Ali Khan play half-brothers; it was a flop. Her children, Farhan and Zoya Akhtar, are both directors of films in this filmography.</t>
        </is>
      </c>
      <c r="T122" s="5" t="inlineStr">
        <is>
          <t>SOURCE-163; SOURCE-024</t>
        </is>
      </c>
      <c r="U122" s="5" t="inlineStr">
        <is>
          <t>Medium</t>
        </is>
      </c>
    </row>
    <row r="123" ht="79" customHeight="1">
      <c r="A123" s="15" t="inlineStr">
        <is>
          <t>PERSON-122</t>
        </is>
      </c>
      <c r="B123" s="5" t="inlineStr">
        <is>
          <t>Hriday Lani</t>
        </is>
      </c>
      <c r="C123" s="5" t="inlineStr">
        <is>
          <t>Writer</t>
        </is>
      </c>
      <c r="D123" s="18" t="n"/>
      <c r="E123" s="18" t="n"/>
      <c r="F123" s="5" t="n"/>
      <c r="G123" s="5" t="inlineStr">
        <is>
          <t>Hindi cinema</t>
        </is>
      </c>
      <c r="H123" s="5" t="inlineStr">
        <is>
          <t>An Indian script and dialogue writer who worked in both parallel and commercial cinema and taught at the Institute of Moving Images, Pune.</t>
        </is>
      </c>
      <c r="I123" s="5" t="n"/>
      <c r="J123" s="5" t="inlineStr">
        <is>
          <t>With Khan: Sarfarosh (1999). Wider work: Gaman, Mirch Masala, Salaam Bombay!, Agni Sakshi, Yeshwant.</t>
        </is>
      </c>
      <c r="K123" s="19" t="inlineStr">
        <is>
          <t>Dialogue for socially engaged and mainstream films.</t>
        </is>
      </c>
      <c r="L123" s="19" t="n"/>
      <c r="M123" s="5" t="inlineStr">
        <is>
          <t>Filmfare Award for Best Dialogue for Sarfarosh, shared with Pathik Vats.</t>
        </is>
      </c>
      <c r="N123" s="19" t="n"/>
      <c r="O123" s="19" t="inlineStr">
        <is>
          <t>Co-wrote the dialogue of John Matthew Matthan's Sarfarosh, with Khan as a police officer pursuing cross-border arms smugglers; it won him a Filmfare Award and was a commercial success.</t>
        </is>
      </c>
      <c r="P123" s="17" t="n">
        <v>1</v>
      </c>
      <c r="Q123" s="5" t="inlineStr">
        <is>
          <t>FILM-029</t>
        </is>
      </c>
      <c r="R123" s="5" t="inlineStr">
        <is>
          <t>Sarfarosh (1999)</t>
        </is>
      </c>
      <c r="S123" s="5" t="inlineStr">
        <is>
          <t>Hriday Lani wrote across parallel and commercial cinema, from Gaman and Salaam Bombay! to Agni Sakshi. He shared the Filmfare Award for Best Dialogue with Pathik Vats for Sarfarosh (1999), the thriller in which Aamir Khan plays ACP Ajay Singh Rathod, investigating arms smuggling that leads to a Pakistani ghazal singer played by Naseeruddin Shah.</t>
        </is>
      </c>
      <c r="T123" s="5" t="inlineStr">
        <is>
          <t>SOURCE-164; SOURCE-036</t>
        </is>
      </c>
      <c r="U123" s="5" t="inlineStr">
        <is>
          <t>Medium</t>
        </is>
      </c>
    </row>
    <row r="124" ht="64" customHeight="1">
      <c r="A124" s="15" t="inlineStr">
        <is>
          <t>PERSON-123</t>
        </is>
      </c>
      <c r="B124" s="5" t="inlineStr">
        <is>
          <t>Jalil Ahmed</t>
        </is>
      </c>
      <c r="C124" s="5" t="inlineStr">
        <is>
          <t>Producer</t>
        </is>
      </c>
      <c r="D124" s="18" t="n"/>
      <c r="E124" s="18" t="n"/>
      <c r="F124" s="5" t="n"/>
      <c r="G124" s="5" t="inlineStr">
        <is>
          <t>Hindi cinema</t>
        </is>
      </c>
      <c r="H124" s="5" t="inlineStr">
        <is>
          <t>A producer credited on one film in this filmography, with no Wikipedia article of their own.</t>
        </is>
      </c>
      <c r="I124" s="5" t="n"/>
      <c r="J124" s="5" t="inlineStr">
        <is>
          <t>With Khan: Daulat Ki Jung (1992).</t>
        </is>
      </c>
      <c r="K124" s="19" t="n"/>
      <c r="L124" s="19" t="n"/>
      <c r="M124" s="5" t="n"/>
      <c r="N124" s="19" t="n"/>
      <c r="O124" s="19" t="inlineStr">
        <is>
          <t>One film with Khan, credited as producer: Daulat Ki Jung (1992), directed by S. A. Kader, with Khan in the lead as Rajesh Chaudhry; verdict: Box office failure.</t>
        </is>
      </c>
      <c r="P124" s="17" t="n">
        <v>1</v>
      </c>
      <c r="Q124" s="5" t="inlineStr">
        <is>
          <t>FILM-014</t>
        </is>
      </c>
      <c r="R124" s="5" t="inlineStr">
        <is>
          <t>Daulat Ki Jung (1992)</t>
        </is>
      </c>
      <c r="S124" s="5" t="inlineStr">
        <is>
          <t>Jalil Ahmed is credited as producer on Daulat Ki Jung (1992). No Wikipedia article or other independent biography was located; this row is built from the film credit alone.</t>
        </is>
      </c>
      <c r="T124" s="5" t="inlineStr">
        <is>
          <t>SOURCE-020</t>
        </is>
      </c>
      <c r="U124" s="5" t="inlineStr">
        <is>
          <t>Low</t>
        </is>
      </c>
    </row>
    <row r="125" ht="94" customHeight="1">
      <c r="A125" s="15" t="inlineStr">
        <is>
          <t>PERSON-124</t>
        </is>
      </c>
      <c r="B125" s="5" t="inlineStr">
        <is>
          <t>Javed Akhtar</t>
        </is>
      </c>
      <c r="C125" s="5" t="inlineStr">
        <is>
          <t>Writer; lyricist</t>
        </is>
      </c>
      <c r="D125" s="17" t="n">
        <v>1945</v>
      </c>
      <c r="E125" s="18" t="n"/>
      <c r="F125" s="5" t="n"/>
      <c r="G125" s="5" t="inlineStr">
        <is>
          <t>Hindi cinema</t>
        </is>
      </c>
      <c r="H125" s="5" t="inlineStr">
        <is>
          <t>A screenwriter, lyricist, poet and activist, one half of Salim–Javed, who turned to lyric writing after the duo split; father of Farhan and Zoya Akhtar.</t>
        </is>
      </c>
      <c r="I125" s="5" t="inlineStr">
        <is>
          <t>With Salim Khan, breakthrough on Zanjeer (1973).</t>
        </is>
      </c>
      <c r="J125" s="5" t="inlineStr">
        <is>
          <t>With Khan: Luck by Chance (2009), as writer of its songs and dialogue. Wider work: Deewaar, Sholay; lyrics for 1942: A Love Story, Lagaan, Dil Chahta Hai.</t>
        </is>
      </c>
      <c r="K125" s="19" t="inlineStr">
        <is>
          <t>The angry young man; socially conscious Urdu lyrics.</t>
        </is>
      </c>
      <c r="L125" s="19" t="n"/>
      <c r="M125" s="5" t="inlineStr">
        <is>
          <t>Five National Film Awards; sixteen Filmfare Awards; Padma Shri (1999), Padma Bhushan (2007).</t>
        </is>
      </c>
      <c r="N125" s="19" t="inlineStr">
        <is>
          <t>One of the most important screenwriters and lyricists in Indian cinema.</t>
        </is>
      </c>
      <c r="O125" s="19" t="inlineStr">
        <is>
          <t>Credited as a writer on his daughter Zoya Akhtar's Luck by Chance, in which Khan appears as himself. He also wrote the lyrics for Lagaan and Dil Chahta Hai, though the roster here records writer and composer credits only.</t>
        </is>
      </c>
      <c r="P125" s="17" t="n">
        <v>1</v>
      </c>
      <c r="Q125" s="5" t="inlineStr">
        <is>
          <t>FILM-040</t>
        </is>
      </c>
      <c r="R125" s="5" t="inlineStr">
        <is>
          <t>Luck by Chance (2009)</t>
        </is>
      </c>
      <c r="S125" s="5" t="inlineStr">
        <is>
          <t>Javed Akhtar co-wrote Zanjeer, Deewaar and Sholay with Salim Khan and, after their split, became one of Hindi cinema's best-known lyricists, winning five National Awards. He wrote the lyrics for two of Aamir Khan's most important films, Lagaan (2001) and Dil Chahta Hai (2001), the latter directed by his son Farhan. In this roster he is credited as a writer on Luck by Chance (2009), his daughter Zoya's film about a struggling actor, in which Khan appears as himself.</t>
        </is>
      </c>
      <c r="T125" s="5" t="inlineStr">
        <is>
          <t>SOURCE-165; SOURCE-046</t>
        </is>
      </c>
      <c r="U125" s="5" t="inlineStr">
        <is>
          <t>Medium</t>
        </is>
      </c>
    </row>
    <row r="126" ht="94" customHeight="1">
      <c r="A126" s="15" t="inlineStr">
        <is>
          <t>PERSON-125</t>
        </is>
      </c>
      <c r="B126" s="5" t="inlineStr">
        <is>
          <t>Javed Siddiqui</t>
        </is>
      </c>
      <c r="C126" s="5" t="inlineStr">
        <is>
          <t>Writer</t>
        </is>
      </c>
      <c r="D126" s="17" t="n">
        <v>1942</v>
      </c>
      <c r="E126" s="18" t="n"/>
      <c r="F126" s="5" t="inlineStr">
        <is>
          <t>1977–present</t>
        </is>
      </c>
      <c r="G126" s="5" t="inlineStr">
        <is>
          <t>Hindi cinema</t>
        </is>
      </c>
      <c r="H126" s="5" t="inlineStr">
        <is>
          <t>A Hindi and Urdu screenwriter, dialogue writer and playwright from Rampur who worked as an Urdu journalist in Bombay before writing more than 50 films for directors from Satyajit Ray to Yash Chopra.</t>
        </is>
      </c>
      <c r="I126" s="5" t="inlineStr">
        <is>
          <t>Dialogue for Satyajit Ray's Shatranj Ke Khilari (1977).</t>
        </is>
      </c>
      <c r="J126" s="5" t="inlineStr">
        <is>
          <t>With Khan: Raja Hindustani (1996). Wider work: Shatranj Ke Khilari, Umrao Jaan, Baazigar, Darr, Dilwale Dulhania Le Jayenge, Pardes.</t>
        </is>
      </c>
      <c r="K126" s="19" t="inlineStr">
        <is>
          <t>Urdu-inflected dialogue for romance and melodrama.</t>
        </is>
      </c>
      <c r="L126" s="19" t="n"/>
      <c r="M126" s="5" t="inlineStr">
        <is>
          <t>Two Filmfare Awards; two Screen Awards; a BFJA Award.</t>
        </is>
      </c>
      <c r="N126" s="19" t="n"/>
      <c r="O126" s="19" t="inlineStr">
        <is>
          <t>Wrote the dialogue of Dharmesh Darshan's Raja Hindustani, the 1990s romance between a taxi driver (Khan) and an heiress (Karisma Kapoor); it was an all-time blockbuster and won Khan his first Filmfare Best Actor award.</t>
        </is>
      </c>
      <c r="P126" s="17" t="n">
        <v>1</v>
      </c>
      <c r="Q126" s="5" t="inlineStr">
        <is>
          <t>FILM-026</t>
        </is>
      </c>
      <c r="R126" s="5" t="inlineStr">
        <is>
          <t>Raja Hindustani (1996)</t>
        </is>
      </c>
      <c r="S126" s="5" t="inlineStr">
        <is>
          <t>Javed Siddiqui moved to Bombay in 1959 as an Urdu journalist and made his film debut writing the dialogue for Satyajit Ray's Shatranj Ke Khilari (1977). He went on to write for Shyam Benegal, Yash Chopra and Subhash Ghai. For Aamir Khan he wrote Raja Hindustani (1996), the story of Raja, a taxi driver in a hill town who marries a rich girl against her family's wishes; it was one of the highest-grossing films of the decade and won Khan the Filmfare Award for Best Actor.</t>
        </is>
      </c>
      <c r="T126" s="5" t="inlineStr">
        <is>
          <t>SOURCE-166; SOURCE-032</t>
        </is>
      </c>
      <c r="U126" s="5" t="inlineStr">
        <is>
          <t>Medium</t>
        </is>
      </c>
    </row>
    <row r="127" ht="49" customHeight="1">
      <c r="A127" s="15" t="inlineStr">
        <is>
          <t>PERSON-126</t>
        </is>
      </c>
      <c r="B127" s="5" t="inlineStr">
        <is>
          <t>Jay Mehta</t>
        </is>
      </c>
      <c r="C127" s="5" t="inlineStr">
        <is>
          <t>Producer</t>
        </is>
      </c>
      <c r="D127" s="18" t="n"/>
      <c r="E127" s="18" t="n"/>
      <c r="F127" s="5" t="n"/>
      <c r="G127" s="5" t="inlineStr">
        <is>
          <t>Hindi cinema</t>
        </is>
      </c>
      <c r="H127" s="5" t="inlineStr">
        <is>
          <t>A producer credited on one film in this filmography, with no Wikipedia article of their own.</t>
        </is>
      </c>
      <c r="I127" s="5" t="n"/>
      <c r="J127" s="5" t="inlineStr">
        <is>
          <t>With Khan: Jawani Zindabad (1990).</t>
        </is>
      </c>
      <c r="K127" s="19" t="n"/>
      <c r="L127" s="19" t="n"/>
      <c r="M127" s="5" t="n"/>
      <c r="N127" s="19" t="n"/>
      <c r="O127" s="19" t="inlineStr">
        <is>
          <t>One film with Khan, credited as producer: Jawani Zindabad (1990), directed by Arun Bhatt, with Khan in the lead as Shashi Sharma.</t>
        </is>
      </c>
      <c r="P127" s="17" t="n">
        <v>1</v>
      </c>
      <c r="Q127" s="5" t="inlineStr">
        <is>
          <t>FILM-011</t>
        </is>
      </c>
      <c r="R127" s="5" t="inlineStr">
        <is>
          <t>Jawani Zindabad (1990)</t>
        </is>
      </c>
      <c r="S127" s="5" t="inlineStr">
        <is>
          <t>Jay Mehta is credited as producer on Jawani Zindabad (1990). No Wikipedia article or other independent biography was located; this row is built from the film credit alone.</t>
        </is>
      </c>
      <c r="T127" s="5" t="inlineStr">
        <is>
          <t>SOURCE-016</t>
        </is>
      </c>
      <c r="U127" s="5" t="inlineStr">
        <is>
          <t>Low</t>
        </is>
      </c>
    </row>
    <row r="128" ht="64" customHeight="1">
      <c r="A128" s="15" t="inlineStr">
        <is>
          <t>PERSON-127</t>
        </is>
      </c>
      <c r="B128" s="5" t="inlineStr">
        <is>
          <t>Jim Furgele</t>
        </is>
      </c>
      <c r="C128" s="5" t="inlineStr">
        <is>
          <t>Producer</t>
        </is>
      </c>
      <c r="D128" s="18" t="n"/>
      <c r="E128" s="18" t="n"/>
      <c r="F128" s="5" t="n"/>
      <c r="G128" s="5" t="inlineStr">
        <is>
          <t>Hindi cinema</t>
        </is>
      </c>
      <c r="H128" s="5" t="inlineStr">
        <is>
          <t>A producer credited on one film in this filmography, with no Wikipedia article of their own.</t>
        </is>
      </c>
      <c r="I128" s="5" t="n"/>
      <c r="J128" s="5" t="inlineStr">
        <is>
          <t>With Khan: Delhi Belly (2011).</t>
        </is>
      </c>
      <c r="K128" s="19" t="n"/>
      <c r="L128" s="19" t="n"/>
      <c r="M128" s="5" t="n"/>
      <c r="N128" s="19" t="n"/>
      <c r="O128" s="19" t="inlineStr">
        <is>
          <t>One film with Khan, credited as producer: Delhi Belly (2011), directed by Abhinay Deo, with Khan in a cameo as Disco Fighter; verdict: Super hit.</t>
        </is>
      </c>
      <c r="P128" s="17" t="n">
        <v>1</v>
      </c>
      <c r="Q128" s="5" t="inlineStr">
        <is>
          <t>FILM-043</t>
        </is>
      </c>
      <c r="R128" s="5" t="inlineStr">
        <is>
          <t>Delhi Belly (2011)</t>
        </is>
      </c>
      <c r="S128" s="5" t="inlineStr">
        <is>
          <t>Jim Furgele is credited as producer on Delhi Belly (2011). No Wikipedia article or other independent biography was located; this row is built from the film credit alone.</t>
        </is>
      </c>
      <c r="T128" s="5" t="inlineStr">
        <is>
          <t>SOURCE-049</t>
        </is>
      </c>
      <c r="U128" s="5" t="inlineStr">
        <is>
          <t>Low</t>
        </is>
      </c>
    </row>
    <row r="129" ht="184" customHeight="1">
      <c r="A129" s="15" t="inlineStr">
        <is>
          <t>PERSON-128</t>
        </is>
      </c>
      <c r="B129" s="5" t="inlineStr">
        <is>
          <t>John Matthew Matthan</t>
        </is>
      </c>
      <c r="C129" s="5" t="inlineStr">
        <is>
          <t>Director; producer; writer (Cinematt Pictures)</t>
        </is>
      </c>
      <c r="D129" s="18" t="n"/>
      <c r="E129" s="18" t="n"/>
      <c r="F129" s="5" t="inlineStr">
        <is>
          <t>1999–2013</t>
        </is>
      </c>
      <c r="G129" s="5" t="inlineStr">
        <is>
          <t>Hindi</t>
        </is>
      </c>
      <c r="H129" s="5" t="inlineStr">
        <is>
          <t>Assistant director on Richard Attenborough's Gandhi (1982) and to Govind Nihalani; later an advertising director who set up Cinematt Pictures in the early 1990s.</t>
        </is>
      </c>
      <c r="I129" s="5" t="inlineStr">
        <is>
          <t>Sarfarosh (1999), developed from 1992 over seven years of research and production.</t>
        </is>
      </c>
      <c r="J129" s="5" t="inlineStr">
        <is>
          <t>Sarfarosh (1999); Shikhar (2005); A New Love Ishtory (2013)</t>
        </is>
      </c>
      <c r="K129" s="19" t="inlineStr">
        <is>
          <t>Terrorism, policing and national security; social themes such as brain drain</t>
        </is>
      </c>
      <c r="L129" s="19" t="inlineStr">
        <is>
          <t>Meticulously researched realism within a commercial thriller format; praised for characterisation.</t>
        </is>
      </c>
      <c r="M129" s="5" t="inlineStr">
        <is>
          <t>National Film Award for Best Popular Film; Filmfare Best Film (Critics) and Best Screenplay; Screen Most Promising Debut Director (all for Sarfarosh); jury chair at IFFI 2021</t>
        </is>
      </c>
      <c r="N129" s="19" t="inlineStr">
        <is>
          <t>Sarfarosh is regarded as a landmark 1990s thriller that married serious themes to commercial filmmaking.</t>
        </is>
      </c>
      <c r="O129" s="19" t="inlineStr">
        <is>
          <t>Directed Sarfarosh, one of Aamir Khan's most acclaimed performances of the 1990s.</t>
        </is>
      </c>
      <c r="P129" s="17" t="n">
        <v>1</v>
      </c>
      <c r="Q129" s="5" t="inlineStr">
        <is>
          <t>FILM-029</t>
        </is>
      </c>
      <c r="R129" s="5" t="inlineStr">
        <is>
          <t>Sarfarosh (1999)</t>
        </is>
      </c>
      <c r="S129" s="5" t="inlineStr">
        <is>
          <t>John Matthew Matthan began his career as an assistant director on Richard Attenborough's Gandhi (1982) and with Govind Nihalani before becoming an advertising director and founding Cinematt Pictures in Mumbai in the early 1990s. He started developing Sarfarosh in 1992 and spent seven years on research, pre-production and production. Released in 1999, the thriller cast Aamir Khan as ACP Ajay Singh Rathod, a policeman whose family was shattered by terrorism, investigating an arms network run by his admired friend, Gulfam Hassan, played by Naseeruddin Shah. Filmfare's reviewer credited Matthan with drawing perfectly crafted performances from the whole cast, and Rediff praised the film for marrying serious and commercial cinema. Sarfarosh won the National Film Award for Best Popular Film, Filmfare's Critics' Award for Best Film and Best Screenplay for Matthan, and the Screen Award for Most Promising Debut Director. It also brought Aamir a Zee Cine Best Actor award. Matthan's later projects were slower: Shikhar (2005) was reworked after 9/11 made its brain-drain theme less relevant, and A New Love Ishtory, completed in 2009, was delayed until 2013. He chaired the feature-film jury at IFFI in 2021.</t>
        </is>
      </c>
      <c r="T129" s="5" t="inlineStr">
        <is>
          <t>SOURCE-097; SOURCE-036; SOURCE-069</t>
        </is>
      </c>
      <c r="U129" s="5" t="inlineStr">
        <is>
          <t>Medium</t>
        </is>
      </c>
    </row>
    <row r="130" ht="79" customHeight="1">
      <c r="A130" s="15" t="inlineStr">
        <is>
          <t>PERSON-129</t>
        </is>
      </c>
      <c r="B130" s="5" t="inlineStr">
        <is>
          <t>John Stewart Eduri</t>
        </is>
      </c>
      <c r="C130" s="5" t="inlineStr">
        <is>
          <t>Background-score composer</t>
        </is>
      </c>
      <c r="D130" s="18" t="n"/>
      <c r="E130" s="18" t="n"/>
      <c r="F130" s="5" t="n"/>
      <c r="G130" s="5" t="inlineStr">
        <is>
          <t>Hindi cinema</t>
        </is>
      </c>
      <c r="H130" s="5" t="inlineStr">
        <is>
          <t>A background-score composer credited on one film in this filmography, with no Wikipedia article of their own.</t>
        </is>
      </c>
      <c r="I130" s="5" t="n"/>
      <c r="J130" s="5" t="inlineStr">
        <is>
          <t>With Khan: Thugs of Hindostan (2018).</t>
        </is>
      </c>
      <c r="K130" s="19" t="n"/>
      <c r="L130" s="19" t="n"/>
      <c r="M130" s="5" t="n"/>
      <c r="N130" s="19" t="n"/>
      <c r="O130" s="19" t="inlineStr">
        <is>
          <t>One film with Khan, credited as background-score composer: Thugs of Hindostan (2018), directed by Vijay Krishna Acharya, with Khan in a co-lead as Firangi Mallah; verdict: Commercial failure after a record opening.</t>
        </is>
      </c>
      <c r="P130" s="17" t="n">
        <v>1</v>
      </c>
      <c r="Q130" s="5" t="inlineStr">
        <is>
          <t>FILM-051</t>
        </is>
      </c>
      <c r="R130" s="5" t="inlineStr">
        <is>
          <t>Thugs of Hindostan (2018)</t>
        </is>
      </c>
      <c r="S130" s="5" t="inlineStr">
        <is>
          <t>John Stewart Eduri is credited as background-score composer on Thugs of Hindostan (2018). No Wikipedia article or other independent biography was located; this row is built from the film credit alone.</t>
        </is>
      </c>
      <c r="T130" s="5" t="inlineStr">
        <is>
          <t>SOURCE-057</t>
        </is>
      </c>
      <c r="U130" s="5" t="inlineStr">
        <is>
          <t>Low</t>
        </is>
      </c>
    </row>
    <row r="131" ht="64" customHeight="1">
      <c r="A131" s="15" t="inlineStr">
        <is>
          <t>PERSON-130</t>
        </is>
      </c>
      <c r="B131" s="5" t="inlineStr">
        <is>
          <t>Julius Packiam</t>
        </is>
      </c>
      <c r="C131" s="5" t="inlineStr">
        <is>
          <t>Background-score composer</t>
        </is>
      </c>
      <c r="D131" s="18" t="n"/>
      <c r="E131" s="18" t="n"/>
      <c r="F131" s="5" t="n"/>
      <c r="G131" s="5" t="inlineStr">
        <is>
          <t>Hindi cinema</t>
        </is>
      </c>
      <c r="H131" s="5" t="inlineStr">
        <is>
          <t>An Indian film-score composer associated with Yash Raj Films and Salman Khan's action films.</t>
        </is>
      </c>
      <c r="I131" s="5" t="n"/>
      <c r="J131" s="5" t="inlineStr">
        <is>
          <t>With Khan: Dhoom 3 (2013). Wider work: Ek Tha Tiger, Tiger Zinda Hai, Bajrangi Bhaijaan, Sultan, Bharat.</t>
        </is>
      </c>
      <c r="K131" s="19" t="inlineStr">
        <is>
          <t>Background scores for large action films.</t>
        </is>
      </c>
      <c r="L131" s="19" t="n"/>
      <c r="M131" s="5" t="n"/>
      <c r="N131" s="19" t="n"/>
      <c r="O131" s="19" t="inlineStr">
        <is>
          <t>Wrote the background score of Dhoom 3, with Khan in a double role as twin circus magicians turned thieves; it was an all-time blockbuster.</t>
        </is>
      </c>
      <c r="P131" s="17" t="n">
        <v>1</v>
      </c>
      <c r="Q131" s="5" t="inlineStr">
        <is>
          <t>FILM-046</t>
        </is>
      </c>
      <c r="R131" s="5" t="inlineStr">
        <is>
          <t>Dhoom 3 (2013)</t>
        </is>
      </c>
      <c r="S131" s="5" t="inlineStr">
        <is>
          <t>Julius Packiam scores big Yash Raj and Salman Khan action films, from Ek Tha Tiger to Sultan. His one Aamir Khan credit is the background score of Dhoom 3 (2013), Vijay Krishna Acharya's Chicago-set heist film, in which Khan plays twin brothers who rob a bank to avenge their father; it was one of the highest-grossing Hindi films. His Wikipedia entry is very short.</t>
        </is>
      </c>
      <c r="T131" s="5" t="inlineStr">
        <is>
          <t>SOURCE-167; SOURCE-052</t>
        </is>
      </c>
      <c r="U131" s="5" t="inlineStr">
        <is>
          <t>Low</t>
        </is>
      </c>
    </row>
    <row r="132" ht="64" customHeight="1">
      <c r="A132" s="15" t="inlineStr">
        <is>
          <t>PERSON-131</t>
        </is>
      </c>
      <c r="B132" s="5" t="inlineStr">
        <is>
          <t>Junglee Pictures</t>
        </is>
      </c>
      <c r="C132" s="5" t="inlineStr">
        <is>
          <t>Production banner</t>
        </is>
      </c>
      <c r="D132" s="18" t="n"/>
      <c r="E132" s="18" t="n"/>
      <c r="F132" s="5" t="n"/>
      <c r="G132" s="5" t="inlineStr">
        <is>
          <t>Hindi cinema</t>
        </is>
      </c>
      <c r="H132" s="5" t="inlineStr">
        <is>
          <t>A production and distribution company established in 2014 by Vineet Jain of The Times Group.</t>
        </is>
      </c>
      <c r="I132" s="5" t="inlineStr">
        <is>
          <t>Dil Dhadakne Do (2015).</t>
        </is>
      </c>
      <c r="J132" s="5" t="inlineStr">
        <is>
          <t>With Khan: Dil Dhadakne Do (2015). Wider work: Talvar, Bareilly Ki Barfi, Badhaai Ho, Raazi, Doctor G.</t>
        </is>
      </c>
      <c r="K132" s="19" t="inlineStr">
        <is>
          <t>Mid-budget social comedy and drama.</t>
        </is>
      </c>
      <c r="L132" s="19" t="n"/>
      <c r="M132" s="5" t="n"/>
      <c r="N132" s="19" t="n"/>
      <c r="O132" s="19" t="inlineStr">
        <is>
          <t>One film: Zoya Akhtar's Dil Dhadakne Do, its first release, which Khan narrates as the voice of Pluto, the family dog. It was a commercial success.</t>
        </is>
      </c>
      <c r="P132" s="17" t="n">
        <v>1</v>
      </c>
      <c r="Q132" s="5" t="inlineStr">
        <is>
          <t>FILM-048</t>
        </is>
      </c>
      <c r="R132" s="5" t="inlineStr">
        <is>
          <t>Dil Dhadakne Do (2015)</t>
        </is>
      </c>
      <c r="S132" s="5" t="inlineStr">
        <is>
          <t>Junglee Pictures is the film arm of The Times Group, set up in 2014; its first release was Dil Dhadakne Do (2015), Zoya Akhtar's comedy about a dysfunctional Punjabi family on a Mediterranean cruise, which Aamir Khan narrates in the voice of the family dog, Pluto. The company followed it with Talvar, Badhaai Ho and Raazi.</t>
        </is>
      </c>
      <c r="T132" s="5" t="inlineStr">
        <is>
          <t>SOURCE-168; SOURCE-054</t>
        </is>
      </c>
      <c r="U132" s="5" t="inlineStr">
        <is>
          <t>Medium</t>
        </is>
      </c>
    </row>
    <row r="133" ht="64" customHeight="1">
      <c r="A133" s="15" t="inlineStr">
        <is>
          <t>PERSON-132</t>
        </is>
      </c>
      <c r="B133" s="5" t="inlineStr">
        <is>
          <t>Jyoti Deshpande</t>
        </is>
      </c>
      <c r="C133" s="5" t="inlineStr">
        <is>
          <t>Producer (Viacom18 Studios)</t>
        </is>
      </c>
      <c r="D133" s="18" t="n"/>
      <c r="E133" s="18" t="n"/>
      <c r="F133" s="5" t="n"/>
      <c r="G133" s="5" t="inlineStr">
        <is>
          <t>Hindi cinema</t>
        </is>
      </c>
      <c r="H133" s="5" t="inlineStr">
        <is>
          <t>A Mumbai media executive who has led Eros International and Viacom18 and is now President of Media and Content Business at Reliance Industries and CEO of Jio Studios.</t>
        </is>
      </c>
      <c r="I133" s="5" t="n"/>
      <c r="J133" s="5" t="inlineStr">
        <is>
          <t>With Khan: Laal Singh Chaddha (2022).</t>
        </is>
      </c>
      <c r="K133" s="19" t="n"/>
      <c r="L133" s="19" t="n"/>
      <c r="M133" s="5" t="n"/>
      <c r="N133" s="19" t="inlineStr">
        <is>
          <t>Listed among Business Today's 50 Most Powerful Women in Business.</t>
        </is>
      </c>
      <c r="O133" s="19" t="inlineStr">
        <is>
          <t>Produced Laal Singh Chaddha as head of Viacom18, with Khan in the title role. It was a disaster.</t>
        </is>
      </c>
      <c r="P133" s="17" t="n">
        <v>1</v>
      </c>
      <c r="Q133" s="5" t="inlineStr">
        <is>
          <t>FILM-053</t>
        </is>
      </c>
      <c r="R133" s="5" t="inlineStr">
        <is>
          <t>Laal Singh Chaddha (2022)</t>
        </is>
      </c>
      <c r="S133" s="5" t="inlineStr">
        <is>
          <t>Jyoti Deshpande worked in media planning and advertising before running Eros International and then Viacom18, where she oversaw its film studio. She is credited as a producer on Laal Singh Chaddha (2022), Aamir Khan's adaptation of Forrest Gump, which Viacom18 co-produced with Aamir Khan Productions and Paramount. The film was a commercial disaster. She later became CEO of Jio Studios.</t>
        </is>
      </c>
      <c r="T133" s="5" t="inlineStr">
        <is>
          <t>SOURCE-169; SOURCE-059</t>
        </is>
      </c>
      <c r="U133" s="5" t="inlineStr">
        <is>
          <t>Medium</t>
        </is>
      </c>
    </row>
    <row r="134" ht="79" customHeight="1">
      <c r="A134" s="15" t="inlineStr">
        <is>
          <t>PERSON-133</t>
        </is>
      </c>
      <c r="B134" s="5" t="inlineStr">
        <is>
          <t>K. P. Saxena</t>
        </is>
      </c>
      <c r="C134" s="5" t="inlineStr">
        <is>
          <t>Writer (Hindi dialogue)</t>
        </is>
      </c>
      <c r="D134" s="17" t="n">
        <v>1932</v>
      </c>
      <c r="E134" s="17" t="n">
        <v>2013</v>
      </c>
      <c r="F134" s="5" t="n"/>
      <c r="G134" s="5" t="inlineStr">
        <is>
          <t>Hindi cinema</t>
        </is>
      </c>
      <c r="H134" s="5" t="inlineStr">
        <is>
          <t>A Lucknow satirist and poet who worked for Indian Railways, wrote vyangya (satire) for most major Hindi magazines and performed at kavi sammelans; expert in Hindi, Urdu and Awadhi.</t>
        </is>
      </c>
      <c r="I134" s="5" t="inlineStr">
        <is>
          <t>First satire collection Koi Patthar Se Na Mare (1982); television: Bibi Natiyon Wali.</t>
        </is>
      </c>
      <c r="J134" s="5" t="inlineStr">
        <is>
          <t>With Khan: Lagaan (2001). Wider work: Swades, Jodhaa Akbar, Hulchul (dialogue).</t>
        </is>
      </c>
      <c r="K134" s="19" t="inlineStr">
        <is>
          <t>Awadhi-inflected comic and satirical writing.</t>
        </is>
      </c>
      <c r="L134" s="19" t="n"/>
      <c r="M134" s="5" t="inlineStr">
        <is>
          <t>Padma Shri (2000).</t>
        </is>
      </c>
      <c r="N134" s="19" t="n"/>
      <c r="O134" s="19" t="inlineStr">
        <is>
          <t>Wrote the Hindi dialogue of Ashutosh Gowariker's Lagaan, the Awadhi-tinged speech of villagers in 1893 who challenge British officers to a cricket match; it was a hit and was nominated for the Academy Award.</t>
        </is>
      </c>
      <c r="P134" s="17" t="n">
        <v>1</v>
      </c>
      <c r="Q134" s="5" t="inlineStr">
        <is>
          <t>FILM-033</t>
        </is>
      </c>
      <c r="R134" s="5" t="inlineStr">
        <is>
          <t>Lagaan (2001)</t>
        </is>
      </c>
      <c r="S134" s="5" t="inlineStr">
        <is>
          <t>K. P. Saxena was a botanist by training and a railway employee by profession who became one of the best-known Hindi satirists, a regular at kavi sammelans and in magazines. His command of Awadhi made him the dialogue writer for Lagaan (2001), Ashutosh Gowariker's epic in which Aamir Khan's Bhuvan leads a village team against British cricketers to escape a punitive tax. He continued with Gowariker on Swades and Jodhaa Akbar. He died on 31 October 2013.</t>
        </is>
      </c>
      <c r="T134" s="5" t="inlineStr">
        <is>
          <t>SOURCE-170; SOURCE-039</t>
        </is>
      </c>
      <c r="U134" s="5" t="inlineStr">
        <is>
          <t>Medium</t>
        </is>
      </c>
    </row>
    <row r="135" ht="79" customHeight="1">
      <c r="A135" s="15" t="inlineStr">
        <is>
          <t>PERSON-134</t>
        </is>
      </c>
      <c r="B135" s="5" t="inlineStr">
        <is>
          <t>Kalanithi Maran</t>
        </is>
      </c>
      <c r="C135" s="5" t="inlineStr">
        <is>
          <t>Producer (Sun Pictures)</t>
        </is>
      </c>
      <c r="D135" s="17" t="n">
        <v>1964</v>
      </c>
      <c r="E135" s="18" t="n"/>
      <c r="F135" s="5" t="n"/>
      <c r="G135" s="5" t="inlineStr">
        <is>
          <t>Tamil cinema; media</t>
        </is>
      </c>
      <c r="H135" s="5" t="inlineStr">
        <is>
          <t>A Chennai billionaire media proprietor, son of the Union minister Murasoli Maran, who founded Sun Group, which owns television channels, newspapers, radio, DTH, Sun Pictures and the Sunrisers cricket franchises.</t>
        </is>
      </c>
      <c r="I135" s="5" t="n"/>
      <c r="J135" s="5" t="inlineStr">
        <is>
          <t>With Khan: Coolie (2025). Sun Pictures: Enthiran, Petta, Jailer.</t>
        </is>
      </c>
      <c r="K135" s="19" t="n"/>
      <c r="L135" s="19" t="n"/>
      <c r="M135" s="5" t="n"/>
      <c r="N135" s="19" t="inlineStr">
        <is>
          <t>Called the 'Television king of southern India' by Forbes.</t>
        </is>
      </c>
      <c r="O135" s="19" t="inlineStr">
        <is>
          <t>Produced Lokesh Kanagaraj's Coolie through Sun Pictures, starring Rajinikanth, in which Khan has a cameo; it was commercially successful.</t>
        </is>
      </c>
      <c r="P135" s="17" t="n">
        <v>1</v>
      </c>
      <c r="Q135" s="5" t="inlineStr">
        <is>
          <t>FILM-056</t>
        </is>
      </c>
      <c r="R135" s="5" t="inlineStr">
        <is>
          <t>Coolie (2025)</t>
        </is>
      </c>
      <c r="S135" s="5" t="inlineStr">
        <is>
          <t>Kalanithi Maran built Sun Group into one of India's largest media companies, with Sun TV at its centre and Sun Pictures producing Rajinikanth films such as Enthiran and Jailer. Sun Pictures produced Coolie (2025), Lokesh Kanagaraj's action film starring Rajinikanth, in which Aamir Khan makes a cameo. The film was commercially successful.</t>
        </is>
      </c>
      <c r="T135" s="5" t="inlineStr">
        <is>
          <t>SOURCE-171; SOURCE-062</t>
        </is>
      </c>
      <c r="U135" s="5" t="inlineStr">
        <is>
          <t>Medium</t>
        </is>
      </c>
    </row>
    <row r="136" ht="49" customHeight="1">
      <c r="A136" s="15" t="inlineStr">
        <is>
          <t>PERSON-135</t>
        </is>
      </c>
      <c r="B136" s="5" t="inlineStr">
        <is>
          <t>Kaleidoscope Entertainment</t>
        </is>
      </c>
      <c r="C136" s="5" t="inlineStr">
        <is>
          <t>Production banner</t>
        </is>
      </c>
      <c r="D136" s="18" t="n"/>
      <c r="E136" s="18" t="n"/>
      <c r="F136" s="5" t="n"/>
      <c r="G136" s="5" t="inlineStr">
        <is>
          <t>Hindi cinema</t>
        </is>
      </c>
      <c r="H136" s="5" t="inlineStr">
        <is>
          <t>A Delhi-based film and television production company founded by Bobby Bedi, known for crossover content.</t>
        </is>
      </c>
      <c r="I136" s="5" t="n"/>
      <c r="J136" s="5" t="inlineStr">
        <is>
          <t>With Khan: Mangal Pandey: The Rising (2005). Wider work: Bandit Queen, Fire, Electric Moon, Saathiya, Maqbool.</t>
        </is>
      </c>
      <c r="K136" s="19" t="inlineStr">
        <is>
          <t>Arthouse and crossover cinema.</t>
        </is>
      </c>
      <c r="L136" s="19" t="n"/>
      <c r="M136" s="5" t="n"/>
      <c r="N136" s="19" t="n"/>
      <c r="O136" s="19" t="inlineStr">
        <is>
          <t>Produced Mangal Pandey: The Rising, with Khan in the title role; it was average.</t>
        </is>
      </c>
      <c r="P136" s="17" t="n">
        <v>1</v>
      </c>
      <c r="Q136" s="5" t="inlineStr">
        <is>
          <t>FILM-035</t>
        </is>
      </c>
      <c r="R136" s="5" t="inlineStr">
        <is>
          <t>Mangal Pandey: The Rising (2005)</t>
        </is>
      </c>
      <c r="S136" s="5" t="inlineStr">
        <is>
          <t>Kaleidoscope Entertainment, founded by Bobby Bedi, produced Bandit Queen, Fire and Maqbool and names Aamir Khan among its collaborators. Its Khan film is Mangal Pandey: The Rising (2005), Ketan Mehta's account of the 1857 rebellion, with A. R. Rahman's music and Khan as the sepoy Mangal Pandey.</t>
        </is>
      </c>
      <c r="T136" s="5" t="inlineStr">
        <is>
          <t>SOURCE-152; SOURCE-041</t>
        </is>
      </c>
      <c r="U136" s="5" t="inlineStr">
        <is>
          <t>Medium</t>
        </is>
      </c>
    </row>
    <row r="137" ht="64" customHeight="1">
      <c r="A137" s="15" t="inlineStr">
        <is>
          <t>PERSON-136</t>
        </is>
      </c>
      <c r="B137" s="5" t="inlineStr">
        <is>
          <t>Kalidas</t>
        </is>
      </c>
      <c r="C137" s="5" t="inlineStr">
        <is>
          <t>Director</t>
        </is>
      </c>
      <c r="D137" s="18" t="n"/>
      <c r="E137" s="18" t="n"/>
      <c r="F137" s="5" t="n"/>
      <c r="G137" s="5" t="inlineStr">
        <is>
          <t>Hindi cinema</t>
        </is>
      </c>
      <c r="H137" s="5" t="inlineStr">
        <is>
          <t>A director credited on one film in this filmography, with no Wikipedia article of their own.</t>
        </is>
      </c>
      <c r="I137" s="5" t="n"/>
      <c r="J137" s="5" t="inlineStr">
        <is>
          <t>With Khan: Isi Ka Naam Zindagi (1992).</t>
        </is>
      </c>
      <c r="K137" s="19" t="n"/>
      <c r="L137" s="19" t="n"/>
      <c r="M137" s="5" t="n"/>
      <c r="N137" s="19" t="n"/>
      <c r="O137" s="19" t="inlineStr">
        <is>
          <t>One film with Khan, credited as director: Isi Ka Naam Zindagi (1992), with Khan in a co-lead as Chhotu; verdict: Box office failure.</t>
        </is>
      </c>
      <c r="P137" s="17" t="n">
        <v>1</v>
      </c>
      <c r="Q137" s="5" t="inlineStr">
        <is>
          <t>FILM-016</t>
        </is>
      </c>
      <c r="R137" s="5" t="inlineStr">
        <is>
          <t>Isi Ka Naam Zindagi (1992)</t>
        </is>
      </c>
      <c r="S137" s="5" t="inlineStr">
        <is>
          <t>Kalidas is credited as director on Isi Ka Naam Zindagi (1992). No Wikipedia article or other independent biography was located; this row is built from the film credit alone.</t>
        </is>
      </c>
      <c r="T137" s="5" t="inlineStr">
        <is>
          <t>SOURCE-022</t>
        </is>
      </c>
      <c r="U137" s="5" t="inlineStr">
        <is>
          <t>Low</t>
        </is>
      </c>
    </row>
    <row r="138" ht="64" customHeight="1">
      <c r="A138" s="15" t="inlineStr">
        <is>
          <t>PERSON-137</t>
        </is>
      </c>
      <c r="B138" s="5" t="inlineStr">
        <is>
          <t>Karan Johar</t>
        </is>
      </c>
      <c r="C138" s="5" t="inlineStr">
        <is>
          <t>Director (anthology segment)</t>
        </is>
      </c>
      <c r="D138" s="17" t="n">
        <v>1972</v>
      </c>
      <c r="E138" s="18" t="n"/>
      <c r="F138" s="5" t="inlineStr">
        <is>
          <t>1989–present</t>
        </is>
      </c>
      <c r="G138" s="5" t="inlineStr">
        <is>
          <t>Hindi cinema</t>
        </is>
      </c>
      <c r="H138" s="5" t="inlineStr">
        <is>
          <t>A Hindi-film director, producer and television host, son of Yash Johar, who runs Dharma Productions and has launched many actors and directors.</t>
        </is>
      </c>
      <c r="I138" s="5" t="inlineStr">
        <is>
          <t>Kuch Kuch Hota Hai (1998).</t>
        </is>
      </c>
      <c r="J138" s="5" t="inlineStr">
        <is>
          <t>With Khan: Bombay Talkies (2013). Wider work: Kuch Kuch Hota Hai, Kabhi Khushi Kabhie Gham, Kabhi Alvida Naa Kehna, My Name Is Khan, Rocky Aur Rani Kii Prem Kahaani.</t>
        </is>
      </c>
      <c r="K138" s="19" t="inlineStr">
        <is>
          <t>Glossy family romance; later more personal stories.</t>
        </is>
      </c>
      <c r="L138" s="19" t="n"/>
      <c r="M138" s="5" t="inlineStr">
        <is>
          <t>Four National Film Awards; eight Filmfare Awards; Padma Shri (2020).</t>
        </is>
      </c>
      <c r="N138" s="19" t="n"/>
      <c r="O138" s="19" t="inlineStr">
        <is>
          <t>Directed a segment of Bombay Talkies, in which Khan appears as himself. Johar has otherwise never directed Khan.</t>
        </is>
      </c>
      <c r="P138" s="17" t="n">
        <v>1</v>
      </c>
      <c r="Q138" s="5" t="inlineStr">
        <is>
          <t>FILM-045</t>
        </is>
      </c>
      <c r="R138" s="5" t="inlineStr">
        <is>
          <t>Bombay Talkies (2013)</t>
        </is>
      </c>
      <c r="S138" s="5" t="inlineStr">
        <is>
          <t>Karan Johar directed Kuch Kuch Hota Hai (1998) and a series of family romances starring Shah Rukh Khan, and has run Dharma Productions since his father's death in 2004. His segment of Bombay Talkies (2013), about a married man coming to terms with his sexuality, is his only directing credit on an Aamir Khan film; Khan's appearance in the anthology is as himself.</t>
        </is>
      </c>
      <c r="T138" s="5" t="inlineStr">
        <is>
          <t>SOURCE-172; SOURCE-051</t>
        </is>
      </c>
      <c r="U138" s="5" t="inlineStr">
        <is>
          <t>Medium</t>
        </is>
      </c>
    </row>
    <row r="139" ht="79" customHeight="1">
      <c r="A139" s="15" t="inlineStr">
        <is>
          <t>PERSON-138</t>
        </is>
      </c>
      <c r="B139" s="5" t="inlineStr">
        <is>
          <t>Kausar Munir</t>
        </is>
      </c>
      <c r="C139" s="5" t="inlineStr">
        <is>
          <t>Writer (dialogue); lyricist</t>
        </is>
      </c>
      <c r="D139" s="18" t="n"/>
      <c r="E139" s="18" t="n"/>
      <c r="F139" s="5" t="inlineStr">
        <is>
          <t>2003–present</t>
        </is>
      </c>
      <c r="G139" s="5" t="inlineStr">
        <is>
          <t>Hindi cinema</t>
        </is>
      </c>
      <c r="H139" s="5" t="inlineStr">
        <is>
          <t>A Bandra-born lyricist and dialogue writer, granddaughter of the Urdu novelist Salma Siddiqui, who studied English literature at St. Xavier's and began in television with Jassi Jaisi Koi Nahin.</t>
        </is>
      </c>
      <c r="I139" s="5" t="n"/>
      <c r="J139" s="5" t="inlineStr">
        <is>
          <t>With Khan: Salaam Venky (2022). Lyrics: Ishaqzaade, Ek Tha Tiger, Dhoom 3, Bajrangi Bhaijaan, Dear Zindagi, Secret Superstar.</t>
        </is>
      </c>
      <c r="K139" s="19" t="inlineStr">
        <is>
          <t>Lyrics and dialogue for contemporary drama.</t>
        </is>
      </c>
      <c r="L139" s="19" t="n"/>
      <c r="M139" s="5" t="n"/>
      <c r="N139" s="19" t="n"/>
      <c r="O139" s="19" t="inlineStr">
        <is>
          <t>Wrote the dialogue of Revathi's Salaam Venky, in which Khan has a cameo. She had also written lyrics for Dhoom 3 and Secret Superstar.</t>
        </is>
      </c>
      <c r="P139" s="17" t="n">
        <v>1</v>
      </c>
      <c r="Q139" s="5" t="inlineStr">
        <is>
          <t>FILM-054</t>
        </is>
      </c>
      <c r="R139" s="5" t="inlineStr">
        <is>
          <t>Salaam Venky (2022)</t>
        </is>
      </c>
      <c r="S139" s="5" t="inlineStr">
        <is>
          <t>Kausar Munir started as a television writer and became one of the more prominent Hindi lyricists of the 2010s, with songs in Ek Tha Tiger, Dhoom 3 and Bajrangi Bhaijaan, and also writes dialogue. She is credited as a writer on Salaam Venky (2022), Revathi's drama about a young man with muscular dystrophy and his mother, in which Aamir Khan makes a cameo.</t>
        </is>
      </c>
      <c r="T139" s="5" t="inlineStr">
        <is>
          <t>SOURCE-173; SOURCE-060</t>
        </is>
      </c>
      <c r="U139" s="5" t="inlineStr">
        <is>
          <t>Medium</t>
        </is>
      </c>
    </row>
    <row r="140" ht="64" customHeight="1">
      <c r="A140" s="15" t="inlineStr">
        <is>
          <t>PERSON-139</t>
        </is>
      </c>
      <c r="B140" s="5" t="inlineStr">
        <is>
          <t>Kavi Shastri</t>
        </is>
      </c>
      <c r="C140" s="5" t="inlineStr">
        <is>
          <t>Director; Producer</t>
        </is>
      </c>
      <c r="D140" s="17" t="n">
        <v>1986</v>
      </c>
      <c r="E140" s="18" t="n"/>
      <c r="F140" s="5" t="inlineStr">
        <is>
          <t>1997–present</t>
        </is>
      </c>
      <c r="G140" s="5" t="inlineStr">
        <is>
          <t>British television; Hindi cinema</t>
        </is>
      </c>
      <c r="H140" s="5" t="inlineStr">
        <is>
          <t>A London-born British actor of Gujarati descent, trained at the Italia Conti Academy, who appeared in CBBC's UGetMe and the film It Could Be You.</t>
        </is>
      </c>
      <c r="I140" s="5" t="n"/>
      <c r="J140" s="5" t="inlineStr">
        <is>
          <t>With Khan: Happy Patel: Khatarnak Jasoos (2026), as co-director and producer.</t>
        </is>
      </c>
      <c r="K140" s="19" t="n"/>
      <c r="L140" s="19" t="n"/>
      <c r="M140" s="5" t="n"/>
      <c r="N140" s="19" t="n"/>
      <c r="O140" s="19" t="inlineStr">
        <is>
          <t>Co-directed and co-produced Happy Patel: Khatarnak Jasoos with Vir Das; Khan has a cameo as Jimmy Mario. The film was produced by Aamir Khan Productions.</t>
        </is>
      </c>
      <c r="P140" s="17" t="n">
        <v>1</v>
      </c>
      <c r="Q140" s="5" t="inlineStr">
        <is>
          <t>FILM-057</t>
        </is>
      </c>
      <c r="R140" s="5" t="inlineStr">
        <is>
          <t>Happy Patel: Khatarnak Jasoos (2026)</t>
        </is>
      </c>
      <c r="S140" s="5" t="inlineStr">
        <is>
          <t>Kavi Shastri trained in dance and drama at the Italia Conti Academy in London and acted in British children's television before working with Vir Das, with whom he co-directed Happy Patel: Khatarnak Jasoos (2026), an Aamir Khan Productions spy comedy. Aamir Khan appears in the film in a cameo. The article describes Shastri chiefly as an actor and does not document the film in detail.</t>
        </is>
      </c>
      <c r="T140" s="5" t="inlineStr">
        <is>
          <t>SOURCE-174; SOURCE-063</t>
        </is>
      </c>
      <c r="U140" s="5" t="inlineStr">
        <is>
          <t>Low</t>
        </is>
      </c>
    </row>
    <row r="141" ht="49" customHeight="1">
      <c r="A141" s="15" t="inlineStr">
        <is>
          <t>PERSON-140</t>
        </is>
      </c>
      <c r="B141" s="5" t="inlineStr">
        <is>
          <t>Krishan Kumar</t>
        </is>
      </c>
      <c r="C141" s="5" t="inlineStr">
        <is>
          <t>Producer (T-Series)</t>
        </is>
      </c>
      <c r="D141" s="18" t="n"/>
      <c r="E141" s="18" t="n"/>
      <c r="F141" s="5" t="inlineStr">
        <is>
          <t>1982–present</t>
        </is>
      </c>
      <c r="G141" s="5" t="inlineStr">
        <is>
          <t>Hindi cinema</t>
        </is>
      </c>
      <c r="H141" s="5" t="inlineStr">
        <is>
          <t>An actor and producer, younger brother of the T-Series founder Gulshan Kumar, who co-runs the company with his nephew Bhushan Kumar.</t>
        </is>
      </c>
      <c r="I141" s="5" t="n"/>
      <c r="J141" s="5" t="inlineStr">
        <is>
          <t>With Khan: Koi Jaane Na (2021). As actor: Bewafa Sanam (1995).</t>
        </is>
      </c>
      <c r="K141" s="19" t="n"/>
      <c r="L141" s="19" t="n"/>
      <c r="M141" s="5" t="n"/>
      <c r="N141" s="19" t="n"/>
      <c r="O141" s="19" t="inlineStr">
        <is>
          <t>Co-produced Koi Jaane Na, in which Khan appears in a song.</t>
        </is>
      </c>
      <c r="P141" s="17" t="n">
        <v>1</v>
      </c>
      <c r="Q141" s="5" t="inlineStr">
        <is>
          <t>FILM-052</t>
        </is>
      </c>
      <c r="R141" s="5" t="inlineStr">
        <is>
          <t>Koi Jaane Na (2021)</t>
        </is>
      </c>
      <c r="S141" s="5" t="inlineStr">
        <is>
          <t>Krishan Kumar Dua, the younger brother of Gulshan Kumar, acted in Bewafa Sanam (1995) and has co-run T-Series with Bhushan Kumar since 1997. He is credited as a producer on Koi Jaane Na (2021), Amin Hajee's thriller, in which Aamir Khan makes a self appearance in a song.</t>
        </is>
      </c>
      <c r="T141" s="5" t="inlineStr">
        <is>
          <t>SOURCE-175; SOURCE-058</t>
        </is>
      </c>
      <c r="U141" s="5" t="inlineStr">
        <is>
          <t>Medium</t>
        </is>
      </c>
    </row>
    <row r="142" ht="64" customHeight="1">
      <c r="A142" s="15" t="inlineStr">
        <is>
          <t>PERSON-141</t>
        </is>
      </c>
      <c r="B142" s="5" t="inlineStr">
        <is>
          <t>Kumar Dave</t>
        </is>
      </c>
      <c r="C142" s="5" t="inlineStr">
        <is>
          <t>Writer</t>
        </is>
      </c>
      <c r="D142" s="18" t="n"/>
      <c r="E142" s="18" t="n"/>
      <c r="F142" s="5" t="n"/>
      <c r="G142" s="5" t="inlineStr">
        <is>
          <t>Hindi cinema</t>
        </is>
      </c>
      <c r="H142" s="5" t="inlineStr">
        <is>
          <t>A writer credited on one film in this filmography, with no Wikipedia article of their own.</t>
        </is>
      </c>
      <c r="I142" s="5" t="n"/>
      <c r="J142" s="5" t="inlineStr">
        <is>
          <t>With Khan: Lagaan (2001).</t>
        </is>
      </c>
      <c r="K142" s="19" t="n"/>
      <c r="L142" s="19" t="n"/>
      <c r="M142" s="5" t="n"/>
      <c r="N142" s="19" t="n"/>
      <c r="O142" s="19" t="inlineStr">
        <is>
          <t>One film with Khan, credited as writer: Lagaan (2001), directed by Ashutosh Gowariker, with Khan in the lead as Bhuvan; verdict: Hit.</t>
        </is>
      </c>
      <c r="P142" s="17" t="n">
        <v>1</v>
      </c>
      <c r="Q142" s="5" t="inlineStr">
        <is>
          <t>FILM-033</t>
        </is>
      </c>
      <c r="R142" s="5" t="inlineStr">
        <is>
          <t>Lagaan (2001)</t>
        </is>
      </c>
      <c r="S142" s="5" t="inlineStr">
        <is>
          <t>Kumar Dave is credited as writer on Lagaan (2001). No Wikipedia article or other independent biography was located; this row is built from the film credit alone.</t>
        </is>
      </c>
      <c r="T142" s="5" t="inlineStr">
        <is>
          <t>SOURCE-039</t>
        </is>
      </c>
      <c r="U142" s="5" t="inlineStr">
        <is>
          <t>Low</t>
        </is>
      </c>
    </row>
    <row r="143" ht="154" customHeight="1">
      <c r="A143" s="15" t="inlineStr">
        <is>
          <t>PERSON-142</t>
        </is>
      </c>
      <c r="B143" s="5" t="inlineStr">
        <is>
          <t>Kunal Kohli</t>
        </is>
      </c>
      <c r="C143" s="5" t="inlineStr">
        <is>
          <t>Director; dialogue writer</t>
        </is>
      </c>
      <c r="D143" s="17" t="n">
        <v>1969</v>
      </c>
      <c r="E143" s="18" t="n"/>
      <c r="F143" s="5" t="inlineStr">
        <is>
          <t>Late 1990s–present</t>
        </is>
      </c>
      <c r="G143" s="5" t="inlineStr">
        <is>
          <t>Hindi</t>
        </is>
      </c>
      <c r="H143" s="5" t="inlineStr">
        <is>
          <t>Film critic in the late 1990s; hosted Chalo Cinema on EL TV and directed about 24 music videos.</t>
        </is>
      </c>
      <c r="I143" s="5" t="inlineStr">
        <is>
          <t>Mujhse Dosti Karoge! (2002), a commercial failure; breakthrough with Hum Tum (2004).</t>
        </is>
      </c>
      <c r="J143" s="5" t="inlineStr">
        <is>
          <t>Mujhse Dosti Karoge! (2002); Hum Tum (2004); Fanaa (2006); Thoda Pyaar Thoda Magic (2008); Break Ke Baad (2010, producer); Teri Meri Kahaani (2012)</t>
        </is>
      </c>
      <c r="K143" s="19" t="inlineStr">
        <is>
          <t>Romantic comedy and romantic thriller</t>
        </is>
      </c>
      <c r="L143" s="19" t="inlineStr">
        <is>
          <t>Glossy romantic films with prominent music, made largely with Yash Raj Films.</t>
        </is>
      </c>
      <c r="M143" s="5" t="inlineStr">
        <is>
          <t>Filmfare Best Director (Hum Tum)</t>
        </is>
      </c>
      <c r="N143" s="19" t="inlineStr">
        <is>
          <t>A leading director of mainstream romantic films in the mid-2000s.</t>
        </is>
      </c>
      <c r="O143" s="19" t="inlineStr">
        <is>
          <t>Directed and wrote the dialogue for Fanaa, pairing Aamir Khan with Kajol.</t>
        </is>
      </c>
      <c r="P143" s="17" t="n">
        <v>1</v>
      </c>
      <c r="Q143" s="5" t="inlineStr">
        <is>
          <t>FILM-037</t>
        </is>
      </c>
      <c r="R143" s="5" t="inlineStr">
        <is>
          <t>Fanaa (2006)</t>
        </is>
      </c>
      <c r="S143" s="5" t="inlineStr">
        <is>
          <t>Kunal Kohli, born in 1969, was a film critic and television host on Chalo Cinema before directing music videos and moving to features. His debut, Mujhse Dosti Karoge! (2002), failed despite an A-list cast, but Hum Tum (2004) was a hit and won him the Filmfare Best Director award. His next film, Fanaa (2006), produced by Aditya and Yash Chopra, was a romantic thriller in which Aamir Khan plays Rehan, a charming Delhi tour guide who is secretly a Kashmiri separatist, and Kajol plays the blind woman he seduces. Kohli also wrote the dialogue. Released during a ban in Gujarat prompted by Aamir's remarks on the Narmada dam, it grossed ₹105.48 crore worldwide and marked Kajol's return after five years. It won Filmfare awards for Kajol, for lyricist Prasoon Joshi and for the singers of 'Chand Sifarish', though some critics found it melodramatic. Kohli's later films, Thoda Pyaar Thoda Magic and Teri Meri Kahaani, did not match its success, and he produced Break Ke Baad and made his acting debut in Phir Se....</t>
        </is>
      </c>
      <c r="T143" s="5" t="inlineStr">
        <is>
          <t>SOURCE-105; SOURCE-043</t>
        </is>
      </c>
      <c r="U143" s="5" t="inlineStr">
        <is>
          <t>Medium</t>
        </is>
      </c>
    </row>
    <row r="144" ht="64" customHeight="1">
      <c r="A144" s="15" t="inlineStr">
        <is>
          <t>PERSON-143</t>
        </is>
      </c>
      <c r="B144" s="5" t="inlineStr">
        <is>
          <t>Lesle Lewis</t>
        </is>
      </c>
      <c r="C144" s="5" t="inlineStr">
        <is>
          <t>Song composer</t>
        </is>
      </c>
      <c r="D144" s="17" t="n">
        <v>1960</v>
      </c>
      <c r="E144" s="18" t="n"/>
      <c r="F144" s="5" t="inlineStr">
        <is>
          <t>1987–present</t>
        </is>
      </c>
      <c r="G144" s="5" t="inlineStr">
        <is>
          <t>Indian pop; Hindi cinema</t>
        </is>
      </c>
      <c r="H144" s="5" t="inlineStr">
        <is>
          <t>A Mumbai singer and composer, son of the choreographer P. L. Raj, who formed Colonial Cousins with Hariharan and created the music for the first season of Coke Studio India.</t>
        </is>
      </c>
      <c r="I144" s="5" t="n"/>
      <c r="J144" s="5" t="inlineStr">
        <is>
          <t>With Khan: Mela (2000). Wider work: the Colonial Cousins albums; Coke Studio India season 1.</t>
        </is>
      </c>
      <c r="K144" s="19" t="inlineStr">
        <is>
          <t>Fusion of Indian classical, rock and pop.</t>
        </is>
      </c>
      <c r="L144" s="19" t="n"/>
      <c r="M144" s="5" t="inlineStr">
        <is>
          <t>MTV Asia Viewer's Choice and US Billboard Viewer's Choice awards for Colonial Cousins.</t>
        </is>
      </c>
      <c r="N144" s="19" t="inlineStr">
        <is>
          <t>One of the first Indian composers to bring rock and pop to a mass Indian audience.</t>
        </is>
      </c>
      <c r="O144" s="19" t="inlineStr">
        <is>
          <t>One film: Dharmesh Darshan's Mela, for which he composed songs; Khan plays the lead.</t>
        </is>
      </c>
      <c r="P144" s="17" t="n">
        <v>1</v>
      </c>
      <c r="Q144" s="5" t="inlineStr">
        <is>
          <t>FILM-032</t>
        </is>
      </c>
      <c r="R144" s="5" t="inlineStr">
        <is>
          <t>Mela (2000)</t>
        </is>
      </c>
      <c r="S144" s="5" t="inlineStr">
        <is>
          <t>Leslee Lewis played guitar in Mumbai hotels and recorded with Kalyanji–Anandji, Laxmikant–Pyarelal and R. D. Burman before forming Colonial Cousins with Hariharan in the 1990s; their debut album won MTV Asia and Billboard viewer's choice awards. He is credited as one of the song composers of Mela (2000), Dharmesh Darshan's Aamir Khan action musical.</t>
        </is>
      </c>
      <c r="T144" s="5" t="inlineStr">
        <is>
          <t>SOURCE-176; SOURCE-038</t>
        </is>
      </c>
      <c r="U144" s="5" t="inlineStr">
        <is>
          <t>Medium</t>
        </is>
      </c>
    </row>
    <row r="145" ht="64" customHeight="1">
      <c r="A145" s="15" t="inlineStr">
        <is>
          <t>PERSON-144</t>
        </is>
      </c>
      <c r="B145" s="5" t="inlineStr">
        <is>
          <t>Lokesh Kanagaraj</t>
        </is>
      </c>
      <c r="C145" s="5" t="inlineStr">
        <is>
          <t>Director; Writer</t>
        </is>
      </c>
      <c r="D145" s="17" t="n">
        <v>1986</v>
      </c>
      <c r="E145" s="18" t="n"/>
      <c r="F145" s="5" t="inlineStr">
        <is>
          <t>2015–present</t>
        </is>
      </c>
      <c r="G145" s="5" t="inlineStr">
        <is>
          <t>Tamil cinema</t>
        </is>
      </c>
      <c r="H145" s="5" t="inlineStr">
        <is>
          <t>A Tamil director and screenwriter from Coimbatore district, a former bank employee with a degree in fashion technology and an MBA, encouraged into filmmaking by Karthik Subbaraj.</t>
        </is>
      </c>
      <c r="I145" s="5" t="inlineStr">
        <is>
          <t>Maanagaram (2017).</t>
        </is>
      </c>
      <c r="J145" s="5" t="inlineStr">
        <is>
          <t>With Khan: Coolie (2025). Wider work: Kaithi, Master, Vikram, Leo; acting debut DC (2026).</t>
        </is>
      </c>
      <c r="K145" s="19" t="inlineStr">
        <is>
          <t>Interlinked action thrillers of the 'Lokesh Cinematic Universe'.</t>
        </is>
      </c>
      <c r="L145" s="19" t="n"/>
      <c r="M145" s="5" t="n"/>
      <c r="N145" s="19" t="n"/>
      <c r="O145" s="19" t="inlineStr">
        <is>
          <t>Wrote and directed Coolie, starring Rajinikanth, in which Khan has a cameo; it was commercially successful.</t>
        </is>
      </c>
      <c r="P145" s="17" t="n">
        <v>1</v>
      </c>
      <c r="Q145" s="5" t="inlineStr">
        <is>
          <t>FILM-056</t>
        </is>
      </c>
      <c r="R145" s="5" t="inlineStr">
        <is>
          <t>Coolie (2025)</t>
        </is>
      </c>
      <c r="S145" s="5" t="inlineStr">
        <is>
          <t>Lokesh Kanagaraj worked in a bank before winning a corporate short-film competition judged by Karthik Subbaraj, who encouraged him to direct. After Maanagaram, his Kaithi (2019) launched a connected series of action films continued in Vikram and Leo. He wrote and directed Coolie (2025), a Rajinikanth action film produced by Sun Pictures, in which Aamir Khan appears in a cameo.</t>
        </is>
      </c>
      <c r="T145" s="5" t="inlineStr">
        <is>
          <t>SOURCE-177; SOURCE-062</t>
        </is>
      </c>
      <c r="U145" s="5" t="inlineStr">
        <is>
          <t>Medium</t>
        </is>
      </c>
    </row>
    <row r="146" ht="64" customHeight="1">
      <c r="A146" s="15" t="inlineStr">
        <is>
          <t>PERSON-145</t>
        </is>
      </c>
      <c r="B146" s="5" t="inlineStr">
        <is>
          <t>M. Kaleem Rahi</t>
        </is>
      </c>
      <c r="C146" s="5" t="inlineStr">
        <is>
          <t>Writer</t>
        </is>
      </c>
      <c r="D146" s="18" t="n"/>
      <c r="E146" s="18" t="n"/>
      <c r="F146" s="5" t="n"/>
      <c r="G146" s="5" t="inlineStr">
        <is>
          <t>Hindi cinema</t>
        </is>
      </c>
      <c r="H146" s="5" t="inlineStr">
        <is>
          <t>A writer credited on one film in this filmography, with no Wikipedia article of their own.</t>
        </is>
      </c>
      <c r="I146" s="5" t="n"/>
      <c r="J146" s="5" t="inlineStr">
        <is>
          <t>With Khan: Tum Mere Ho (1990).</t>
        </is>
      </c>
      <c r="K146" s="19" t="n"/>
      <c r="L146" s="19" t="n"/>
      <c r="M146" s="5" t="n"/>
      <c r="N146" s="19" t="n"/>
      <c r="O146" s="19" t="inlineStr">
        <is>
          <t>One film with Khan, credited as writer: Tum Mere Ho (1990), directed by Tahir Hussain, with Khan in the lead as Shiva; verdict: Disaster.</t>
        </is>
      </c>
      <c r="P146" s="17" t="n">
        <v>1</v>
      </c>
      <c r="Q146" s="5" t="inlineStr">
        <is>
          <t>FILM-008</t>
        </is>
      </c>
      <c r="R146" s="5" t="inlineStr">
        <is>
          <t>Tum Mere Ho (1990)</t>
        </is>
      </c>
      <c r="S146" s="5" t="inlineStr">
        <is>
          <t>M. Kaleem Rahi is credited as writer on Tum Mere Ho (1990). No Wikipedia article or other independent biography was located; this row is built from the film credit alone.</t>
        </is>
      </c>
      <c r="T146" s="5" t="inlineStr">
        <is>
          <t>SOURCE-012</t>
        </is>
      </c>
      <c r="U146" s="5" t="inlineStr">
        <is>
          <t>Low</t>
        </is>
      </c>
    </row>
    <row r="147" ht="64" customHeight="1">
      <c r="A147" s="15" t="inlineStr">
        <is>
          <t>PERSON-146</t>
        </is>
      </c>
      <c r="B147" s="5" t="inlineStr">
        <is>
          <t>M. Parvez</t>
        </is>
      </c>
      <c r="C147" s="5" t="inlineStr">
        <is>
          <t>Writer</t>
        </is>
      </c>
      <c r="D147" s="18" t="n"/>
      <c r="E147" s="18" t="n"/>
      <c r="F147" s="5" t="n"/>
      <c r="G147" s="5" t="inlineStr">
        <is>
          <t>Hindi cinema</t>
        </is>
      </c>
      <c r="H147" s="5" t="inlineStr">
        <is>
          <t>A writer credited on one film in this filmography, with no Wikipedia article of their own.</t>
        </is>
      </c>
      <c r="I147" s="5" t="n"/>
      <c r="J147" s="5" t="inlineStr">
        <is>
          <t>With Khan: Deewana Mujh Sa Nahin (1990).</t>
        </is>
      </c>
      <c r="K147" s="19" t="n"/>
      <c r="L147" s="19" t="n"/>
      <c r="M147" s="5" t="n"/>
      <c r="N147" s="19" t="n"/>
      <c r="O147" s="19" t="inlineStr">
        <is>
          <t>One film with Khan, credited as writer: Deewana Mujh Sa Nahin (1990), directed by Y. Nageshwar Rao, with Khan in the lead as Ajay Sharma.</t>
        </is>
      </c>
      <c r="P147" s="17" t="n">
        <v>1</v>
      </c>
      <c r="Q147" s="5" t="inlineStr">
        <is>
          <t>FILM-010</t>
        </is>
      </c>
      <c r="R147" s="5" t="inlineStr">
        <is>
          <t>Deewana Mujh Sa Nahin (1990)</t>
        </is>
      </c>
      <c r="S147" s="5" t="inlineStr">
        <is>
          <t>M. Parvez is credited as writer on Deewana Mujh Sa Nahin (1990). No Wikipedia article or other independent biography was located; this row is built from the film credit alone.</t>
        </is>
      </c>
      <c r="T147" s="5" t="inlineStr">
        <is>
          <t>SOURCE-015</t>
        </is>
      </c>
      <c r="U147" s="5" t="inlineStr">
        <is>
          <t>Low</t>
        </is>
      </c>
    </row>
    <row r="148" ht="49" customHeight="1">
      <c r="A148" s="15" t="inlineStr">
        <is>
          <t>PERSON-147</t>
        </is>
      </c>
      <c r="B148" s="5" t="inlineStr">
        <is>
          <t>M. R. Shahjahan</t>
        </is>
      </c>
      <c r="C148" s="5" t="inlineStr">
        <is>
          <t>Director</t>
        </is>
      </c>
      <c r="D148" s="18" t="n"/>
      <c r="E148" s="18" t="n"/>
      <c r="F148" s="5" t="n"/>
      <c r="G148" s="5" t="inlineStr">
        <is>
          <t>Hindi cinema</t>
        </is>
      </c>
      <c r="H148" s="5" t="inlineStr">
        <is>
          <t>A director credited on one film in this filmography, with no Wikipedia article of their own.</t>
        </is>
      </c>
      <c r="I148" s="5" t="n"/>
      <c r="J148" s="5" t="inlineStr">
        <is>
          <t>With Khan: Afsana Pyar Ka (1991).</t>
        </is>
      </c>
      <c r="K148" s="19" t="n"/>
      <c r="L148" s="19" t="n"/>
      <c r="M148" s="5" t="n"/>
      <c r="N148" s="19" t="n"/>
      <c r="O148" s="19" t="inlineStr">
        <is>
          <t>One film with Khan, credited as director: Afsana Pyar Ka (1991), with Khan in the lead as Raj.</t>
        </is>
      </c>
      <c r="P148" s="17" t="n">
        <v>1</v>
      </c>
      <c r="Q148" s="5" t="inlineStr">
        <is>
          <t>FILM-012</t>
        </is>
      </c>
      <c r="R148" s="5" t="inlineStr">
        <is>
          <t>Afsana Pyar Ka (1991)</t>
        </is>
      </c>
      <c r="S148" s="5" t="inlineStr">
        <is>
          <t>M. R. Shahjahan is credited as director on Afsana Pyar Ka (1991). No Wikipedia article or other independent biography was located; this row is built from the film credit alone.</t>
        </is>
      </c>
      <c r="T148" s="5" t="inlineStr">
        <is>
          <t>SOURCE-017</t>
        </is>
      </c>
      <c r="U148" s="5" t="inlineStr">
        <is>
          <t>Low</t>
        </is>
      </c>
    </row>
    <row r="149" ht="79" customHeight="1">
      <c r="A149" s="15" t="inlineStr">
        <is>
          <t>PERSON-148</t>
        </is>
      </c>
      <c r="B149" s="5" t="inlineStr">
        <is>
          <t>Madhu Mantena</t>
        </is>
      </c>
      <c r="C149" s="5" t="inlineStr">
        <is>
          <t>Producer</t>
        </is>
      </c>
      <c r="D149" s="17" t="n">
        <v>1975</v>
      </c>
      <c r="E149" s="18" t="n"/>
      <c r="F149" s="5" t="inlineStr">
        <is>
          <t>2002–present</t>
        </is>
      </c>
      <c r="G149" s="5" t="inlineStr">
        <is>
          <t>Hindi, Telugu and Bengali cinema</t>
        </is>
      </c>
      <c r="H149" s="5" t="inlineStr">
        <is>
          <t>A producer and entrepreneur who founded a music label as a teenager, set up Adlabs' international operations, headed Saregama Films, and in 2011 co-founded Phantom Films with Anurag Kashyap, Vikas Bahl and Vikramaditya Motwane.</t>
        </is>
      </c>
      <c r="I149" s="5" t="n"/>
      <c r="J149" s="5" t="inlineStr">
        <is>
          <t>With Khan: Ghajini (2008). Wider work: Rakht Charitra, Rann; through Phantom: Queen, Bombay Velvet, Ugly, Raman Raghav 2.0; later Ramayana.</t>
        </is>
      </c>
      <c r="K149" s="19" t="inlineStr">
        <is>
          <t>Mainstream and independent production.</t>
        </is>
      </c>
      <c r="L149" s="19" t="n"/>
      <c r="M149" s="5" t="n"/>
      <c r="N149" s="19" t="n"/>
      <c r="O149" s="19" t="inlineStr">
        <is>
          <t>Co-produced Ghajini with Allu Aravind; it was the highest-grossing Indian film of 2008.</t>
        </is>
      </c>
      <c r="P149" s="17" t="n">
        <v>1</v>
      </c>
      <c r="Q149" s="5" t="inlineStr">
        <is>
          <t>FILM-039</t>
        </is>
      </c>
      <c r="R149" s="5" t="inlineStr">
        <is>
          <t>Ghajini (2008)</t>
        </is>
      </c>
      <c r="S149" s="5" t="inlineStr">
        <is>
          <t>Madhu Mantena worked in music and film distribution before co-producing Ghajini (2008) with Allu Aravind; A. R. Murugadoss's remake, with Aamir Khan as an amnesiac seeking revenge, was the year's biggest Indian hit. He then produced Ram Gopal Varma's Rakht Charitra and Rann and co-founded Phantom Films, which made Queen and Bombay Velvet.</t>
        </is>
      </c>
      <c r="T149" s="5" t="inlineStr">
        <is>
          <t>SOURCE-178; SOURCE-045</t>
        </is>
      </c>
      <c r="U149" s="5" t="inlineStr">
        <is>
          <t>Medium</t>
        </is>
      </c>
    </row>
    <row r="150" ht="79" customHeight="1">
      <c r="A150" s="15" t="inlineStr">
        <is>
          <t>PERSON-149</t>
        </is>
      </c>
      <c r="B150" s="5" t="inlineStr">
        <is>
          <t>Mahesh Elkunchwar</t>
        </is>
      </c>
      <c r="C150" s="5" t="inlineStr">
        <is>
          <t>Writer</t>
        </is>
      </c>
      <c r="D150" s="17" t="n">
        <v>1939</v>
      </c>
      <c r="E150" s="18" t="n"/>
      <c r="F150" s="5" t="n"/>
      <c r="G150" s="5" t="inlineStr">
        <is>
          <t>Marathi theatre; Hindi cinema</t>
        </is>
      </c>
      <c r="H150" s="5" t="inlineStr">
        <is>
          <t>A Marathi playwright, screenwriter and actor from Vidarbha, author of over 20 plays, regarded as one of the most influential progressive playwrights in Indian theatre.</t>
        </is>
      </c>
      <c r="I150" s="5" t="inlineStr">
        <is>
          <t>Began writing plays after seeing Vijaya Mehta's 1965 production of Vijay Tendulkar's Mee Jinkalo Mee Haralo.</t>
        </is>
      </c>
      <c r="J150" s="5" t="inlineStr">
        <is>
          <t>With Khan: Holi (1984). Plays: Wada Chirebandi, Garbo, Sonata; films: Party, Holi.</t>
        </is>
      </c>
      <c r="K150" s="19" t="inlineStr">
        <is>
          <t>Family decay, rural feudal households and middle-class alienation.</t>
        </is>
      </c>
      <c r="L150" s="19" t="n"/>
      <c r="M150" s="5" t="inlineStr">
        <is>
          <t>Sangeet Natak Akademi Fellowship (2014).</t>
        </is>
      </c>
      <c r="N150" s="19" t="n"/>
      <c r="O150" s="19" t="inlineStr">
        <is>
          <t>Wrote Ketan Mehta's Holi, based on his own play, Khan's first adult screen role, in an ensemble of college students.</t>
        </is>
      </c>
      <c r="P150" s="17" t="n">
        <v>1</v>
      </c>
      <c r="Q150" s="5" t="inlineStr">
        <is>
          <t>FILM-003</t>
        </is>
      </c>
      <c r="R150" s="5" t="inlineStr">
        <is>
          <t>Holi (1984)</t>
        </is>
      </c>
      <c r="S150" s="5" t="inlineStr">
        <is>
          <t>Mahesh Elkunchwar was raised away from cities by a conservative family and only saw his first play when he moved to Nagpur. Vijay Tendulkar's work inspired him to write, and his plays, including Wada Chirebandi, made him a central figure in modern Marathi theatre. He wrote Holi (1984), Ketan Mehta's film about student unrest in a hostel, adapted from his play, which marks Aamir Khan's first appearance on screen as a young adult, in a large ensemble.</t>
        </is>
      </c>
      <c r="T150" s="5" t="inlineStr">
        <is>
          <t>SOURCE-179; SOURCE-006</t>
        </is>
      </c>
      <c r="U150" s="5" t="inlineStr">
        <is>
          <t>Medium</t>
        </is>
      </c>
    </row>
    <row r="151" ht="64" customHeight="1">
      <c r="A151" s="15" t="inlineStr">
        <is>
          <t>PERSON-150</t>
        </is>
      </c>
      <c r="B151" s="5" t="inlineStr">
        <is>
          <t>Mangal</t>
        </is>
      </c>
      <c r="C151" s="5" t="inlineStr">
        <is>
          <t>Producer</t>
        </is>
      </c>
      <c r="D151" s="18" t="n"/>
      <c r="E151" s="18" t="n"/>
      <c r="F151" s="5" t="n"/>
      <c r="G151" s="5" t="inlineStr">
        <is>
          <t>Hindi cinema</t>
        </is>
      </c>
      <c r="H151" s="5" t="inlineStr">
        <is>
          <t>A producer credited on one film in this filmography, with no Wikipedia article of their own.</t>
        </is>
      </c>
      <c r="I151" s="5" t="n"/>
      <c r="J151" s="5" t="inlineStr">
        <is>
          <t>With Khan: Aatank Hi Aatank (1995).</t>
        </is>
      </c>
      <c r="K151" s="19" t="n"/>
      <c r="L151" s="19" t="n"/>
      <c r="M151" s="5" t="n"/>
      <c r="N151" s="19" t="n"/>
      <c r="O151" s="19" t="inlineStr">
        <is>
          <t>One film with Khan, credited as producer: Aatank Hi Aatank (1995), directed by Dilip Shankar, with Khan in a co-lead as Rohan; verdict: Box office failure.</t>
        </is>
      </c>
      <c r="P151" s="17" t="n">
        <v>1</v>
      </c>
      <c r="Q151" s="5" t="inlineStr">
        <is>
          <t>FILM-023</t>
        </is>
      </c>
      <c r="R151" s="5" t="inlineStr">
        <is>
          <t>Aatank Hi Aatank (1995)</t>
        </is>
      </c>
      <c r="S151" s="5" t="inlineStr">
        <is>
          <t>Mangal is credited as producer on Aatank Hi Aatank (1995). No Wikipedia article or other independent biography was located; this row is built from the film credit alone.</t>
        </is>
      </c>
      <c r="T151" s="5" t="inlineStr">
        <is>
          <t>SOURCE-029</t>
        </is>
      </c>
      <c r="U151" s="5" t="inlineStr">
        <is>
          <t>Low</t>
        </is>
      </c>
    </row>
    <row r="152" ht="49" customHeight="1">
      <c r="A152" s="15" t="inlineStr">
        <is>
          <t>PERSON-151</t>
        </is>
      </c>
      <c r="B152" s="5" t="inlineStr">
        <is>
          <t>Manoj Seksaria</t>
        </is>
      </c>
      <c r="C152" s="5" t="inlineStr">
        <is>
          <t>Producer</t>
        </is>
      </c>
      <c r="D152" s="18" t="n"/>
      <c r="E152" s="18" t="n"/>
      <c r="F152" s="5" t="n"/>
      <c r="G152" s="5" t="inlineStr">
        <is>
          <t>Hindi cinema</t>
        </is>
      </c>
      <c r="H152" s="5" t="inlineStr">
        <is>
          <t>A producer credited on one film in this filmography, with no Wikipedia article of their own.</t>
        </is>
      </c>
      <c r="I152" s="5" t="n"/>
      <c r="J152" s="5" t="inlineStr">
        <is>
          <t>With Khan: Afsana Pyar Ka (1991).</t>
        </is>
      </c>
      <c r="K152" s="19" t="n"/>
      <c r="L152" s="19" t="n"/>
      <c r="M152" s="5" t="n"/>
      <c r="N152" s="19" t="n"/>
      <c r="O152" s="19" t="inlineStr">
        <is>
          <t>One film with Khan, credited as producer: Afsana Pyar Ka (1991), directed by M. R. Shahjahan, with Khan in the lead as Raj.</t>
        </is>
      </c>
      <c r="P152" s="17" t="n">
        <v>1</v>
      </c>
      <c r="Q152" s="5" t="inlineStr">
        <is>
          <t>FILM-012</t>
        </is>
      </c>
      <c r="R152" s="5" t="inlineStr">
        <is>
          <t>Afsana Pyar Ka (1991)</t>
        </is>
      </c>
      <c r="S152" s="5" t="inlineStr">
        <is>
          <t>Manoj Seksaria is credited as producer on Afsana Pyar Ka (1991). No Wikipedia article or other independent biography was located; this row is built from the film credit alone.</t>
        </is>
      </c>
      <c r="T152" s="5" t="inlineStr">
        <is>
          <t>SOURCE-017</t>
        </is>
      </c>
      <c r="U152" s="5" t="inlineStr">
        <is>
          <t>Low</t>
        </is>
      </c>
    </row>
    <row r="153" ht="64" customHeight="1">
      <c r="A153" s="15" t="inlineStr">
        <is>
          <t>PERSON-152</t>
        </is>
      </c>
      <c r="B153" s="5" t="inlineStr">
        <is>
          <t>Mithoon</t>
        </is>
      </c>
      <c r="C153" s="5" t="inlineStr">
        <is>
          <t>Song composer</t>
        </is>
      </c>
      <c r="D153" s="17" t="n">
        <v>1985</v>
      </c>
      <c r="E153" s="18" t="n"/>
      <c r="F153" s="5" t="inlineStr">
        <is>
          <t>2005–present</t>
        </is>
      </c>
      <c r="G153" s="5" t="inlineStr">
        <is>
          <t>Hindi cinema</t>
        </is>
      </c>
      <c r="H153" s="5" t="inlineStr">
        <is>
          <t>A composer, lyricist and singer born Mithun Sharma into a family of musicians: his father Naresh Sharma was a leading arranger, and his uncle is Pyarelal of Laxmikant–Pyarelal.</t>
        </is>
      </c>
      <c r="I153" s="5" t="n"/>
      <c r="J153" s="5" t="inlineStr">
        <is>
          <t>With Khan: Salaam Venky (2022). Wider work: 'Tum Hi Ho' (Aashiqui 2), 'Sanam Re'.</t>
        </is>
      </c>
      <c r="K153" s="19" t="inlineStr">
        <is>
          <t>Romantic ballads.</t>
        </is>
      </c>
      <c r="L153" s="19" t="n"/>
      <c r="M153" s="5" t="inlineStr">
        <is>
          <t>Filmfare Award for Best Music Director (Aashiqui 2, shared).</t>
        </is>
      </c>
      <c r="N153" s="19" t="inlineStr">
        <is>
          <t>Launched Arijit Singh with 'Phir Mohabbat' (2011).</t>
        </is>
      </c>
      <c r="O153" s="19" t="inlineStr">
        <is>
          <t>One film: Revathi's Salaam Venky, for which he composed songs; Khan has a cameo.</t>
        </is>
      </c>
      <c r="P153" s="17" t="n">
        <v>1</v>
      </c>
      <c r="Q153" s="5" t="inlineStr">
        <is>
          <t>FILM-054</t>
        </is>
      </c>
      <c r="R153" s="5" t="inlineStr">
        <is>
          <t>Salaam Venky (2022)</t>
        </is>
      </c>
      <c r="S153" s="5" t="inlineStr">
        <is>
          <t>Mithoon grew up among musicians — his grandfather taught music and his father, Naresh Sharma, arranged for most top composers — and wrote 'Tum Hi Ho' for Aashiqui 2 (2013) and 'Sanam Re', one of the most streamed Hindi songs. He is credited as a song composer on Salaam Venky (2022), Revathi's drama about a young man with a terminal illness, in which Aamir Khan makes a cameo.</t>
        </is>
      </c>
      <c r="T153" s="5" t="inlineStr">
        <is>
          <t>SOURCE-180; SOURCE-060</t>
        </is>
      </c>
      <c r="U153" s="5" t="inlineStr">
        <is>
          <t>Medium</t>
        </is>
      </c>
    </row>
    <row r="154" ht="64" customHeight="1">
      <c r="A154" s="15" t="inlineStr">
        <is>
          <t>PERSON-153</t>
        </is>
      </c>
      <c r="B154" s="5" t="inlineStr">
        <is>
          <t>Mohammed A. Rahim</t>
        </is>
      </c>
      <c r="C154" s="5" t="inlineStr">
        <is>
          <t>Producer</t>
        </is>
      </c>
      <c r="D154" s="18" t="n"/>
      <c r="E154" s="18" t="n"/>
      <c r="F154" s="5" t="n"/>
      <c r="G154" s="5" t="inlineStr">
        <is>
          <t>Hindi cinema</t>
        </is>
      </c>
      <c r="H154" s="5" t="inlineStr">
        <is>
          <t>A producer credited on one film in this filmography, with no Wikipedia article of their own.</t>
        </is>
      </c>
      <c r="I154" s="5" t="n"/>
      <c r="J154" s="5" t="inlineStr">
        <is>
          <t>With Khan: Pehla Nasha (1993).</t>
        </is>
      </c>
      <c r="K154" s="19" t="n"/>
      <c r="L154" s="19" t="n"/>
      <c r="M154" s="5" t="n"/>
      <c r="N154" s="19" t="n"/>
      <c r="O154" s="19" t="inlineStr">
        <is>
          <t>One film with Khan, credited as producer: Pehla Nasha (1993), directed by Ashutosh Gowariker, with Khan in a self appearance; verdict: Failure.</t>
        </is>
      </c>
      <c r="P154" s="17" t="n">
        <v>1</v>
      </c>
      <c r="Q154" s="5" t="inlineStr">
        <is>
          <t>FILM-020</t>
        </is>
      </c>
      <c r="R154" s="5" t="inlineStr">
        <is>
          <t>Pehla Nasha (1993)</t>
        </is>
      </c>
      <c r="S154" s="5" t="inlineStr">
        <is>
          <t>Mohammed A. Rahim is credited as producer on Pehla Nasha (1993). No Wikipedia article or other independent biography was located; this row is built from the film credit alone.</t>
        </is>
      </c>
      <c r="T154" s="5" t="inlineStr">
        <is>
          <t>SOURCE-026</t>
        </is>
      </c>
      <c r="U154" s="5" t="inlineStr">
        <is>
          <t>Low</t>
        </is>
      </c>
    </row>
    <row r="155" ht="64" customHeight="1">
      <c r="A155" s="15" t="inlineStr">
        <is>
          <t>PERSON-154</t>
        </is>
      </c>
      <c r="B155" s="5" t="inlineStr">
        <is>
          <t>Naushil Mehta</t>
        </is>
      </c>
      <c r="C155" s="5" t="inlineStr">
        <is>
          <t>Writer</t>
        </is>
      </c>
      <c r="D155" s="18" t="n"/>
      <c r="E155" s="18" t="n"/>
      <c r="F155" s="5" t="n"/>
      <c r="G155" s="5" t="inlineStr">
        <is>
          <t>Hindi cinema</t>
        </is>
      </c>
      <c r="H155" s="5" t="inlineStr">
        <is>
          <t>A writer credited on one film in this filmography, with no Wikipedia article of their own.</t>
        </is>
      </c>
      <c r="I155" s="5" t="n"/>
      <c r="J155" s="5" t="inlineStr">
        <is>
          <t>With Khan: Baazi (1995).</t>
        </is>
      </c>
      <c r="K155" s="19" t="n"/>
      <c r="L155" s="19" t="n"/>
      <c r="M155" s="5" t="n"/>
      <c r="N155" s="19" t="n"/>
      <c r="O155" s="19" t="inlineStr">
        <is>
          <t>One film with Khan, credited as writer: Baazi (1995), directed by Ashutosh Gowariker, with Khan in the lead as Inspector Amar Damjee Rathod.</t>
        </is>
      </c>
      <c r="P155" s="17" t="n">
        <v>1</v>
      </c>
      <c r="Q155" s="5" t="inlineStr">
        <is>
          <t>FILM-022</t>
        </is>
      </c>
      <c r="R155" s="5" t="inlineStr">
        <is>
          <t>Baazi (1995)</t>
        </is>
      </c>
      <c r="S155" s="5" t="inlineStr">
        <is>
          <t>Naushil Mehta is credited as writer on Baazi (1995). No Wikipedia article or other independent biography was located; this row is built from the film credit alone.</t>
        </is>
      </c>
      <c r="T155" s="5" t="inlineStr">
        <is>
          <t>SOURCE-028</t>
        </is>
      </c>
      <c r="U155" s="5" t="inlineStr">
        <is>
          <t>Low</t>
        </is>
      </c>
    </row>
    <row r="156" ht="64" customHeight="1">
      <c r="A156" s="15" t="inlineStr">
        <is>
          <t>PERSON-155</t>
        </is>
      </c>
      <c r="B156" s="5" t="inlineStr">
        <is>
          <t>Naushir Khatau</t>
        </is>
      </c>
      <c r="C156" s="5" t="inlineStr">
        <is>
          <t>Writer</t>
        </is>
      </c>
      <c r="D156" s="18" t="n"/>
      <c r="E156" s="18" t="n"/>
      <c r="F156" s="5" t="n"/>
      <c r="G156" s="5" t="inlineStr">
        <is>
          <t>Hindi cinema</t>
        </is>
      </c>
      <c r="H156" s="5" t="inlineStr">
        <is>
          <t>A writer credited on one film in this filmography, with no Wikipedia article of their own.</t>
        </is>
      </c>
      <c r="I156" s="5" t="n"/>
      <c r="J156" s="5" t="inlineStr">
        <is>
          <t>With Khan: Dil (1990).</t>
        </is>
      </c>
      <c r="K156" s="19" t="n"/>
      <c r="L156" s="19" t="n"/>
      <c r="M156" s="5" t="n"/>
      <c r="N156" s="19" t="n"/>
      <c r="O156" s="19" t="inlineStr">
        <is>
          <t>One film with Khan, credited as writer: Dil (1990), directed by Indra Kumar, with Khan in the lead as Raja Prasad; verdict: Highest-grossing film of the year.</t>
        </is>
      </c>
      <c r="P156" s="17" t="n">
        <v>1</v>
      </c>
      <c r="Q156" s="5" t="inlineStr">
        <is>
          <t>FILM-009</t>
        </is>
      </c>
      <c r="R156" s="5" t="inlineStr">
        <is>
          <t>Dil (1990)</t>
        </is>
      </c>
      <c r="S156" s="5" t="inlineStr">
        <is>
          <t>Naushir Khatau is credited as writer on Dil (1990). No Wikipedia article or other independent biography was located; this row is built from the film credit alone.</t>
        </is>
      </c>
      <c r="T156" s="5" t="inlineStr">
        <is>
          <t>SOURCE-014</t>
        </is>
      </c>
      <c r="U156" s="5" t="inlineStr">
        <is>
          <t>Low</t>
        </is>
      </c>
    </row>
    <row r="157" ht="79" customHeight="1">
      <c r="A157" s="15" t="inlineStr">
        <is>
          <t>PERSON-156</t>
        </is>
      </c>
      <c r="B157" s="5" t="inlineStr">
        <is>
          <t>Nikhil Mehrotra</t>
        </is>
      </c>
      <c r="C157" s="5" t="inlineStr">
        <is>
          <t>Writer</t>
        </is>
      </c>
      <c r="D157" s="18" t="n"/>
      <c r="E157" s="18" t="n"/>
      <c r="F157" s="5" t="n"/>
      <c r="G157" s="5" t="inlineStr">
        <is>
          <t>Hindi cinema</t>
        </is>
      </c>
      <c r="H157" s="5" t="inlineStr">
        <is>
          <t>A writer credited on one film in this filmography, with no Wikipedia article of their own.</t>
        </is>
      </c>
      <c r="I157" s="5" t="n"/>
      <c r="J157" s="5" t="inlineStr">
        <is>
          <t>With Khan: Dangal (2016).</t>
        </is>
      </c>
      <c r="K157" s="19" t="n"/>
      <c r="L157" s="19" t="n"/>
      <c r="M157" s="5" t="n"/>
      <c r="N157" s="19" t="n"/>
      <c r="O157" s="19" t="inlineStr">
        <is>
          <t>One film with Khan, credited as writer: Dangal (2016), directed by Nitesh Tiwari, with Khan in the lead as Mahavir Singh Phogat; verdict: All-time blockbuster; highest-grossing Indian film.</t>
        </is>
      </c>
      <c r="P157" s="17" t="n">
        <v>1</v>
      </c>
      <c r="Q157" s="5" t="inlineStr">
        <is>
          <t>FILM-049</t>
        </is>
      </c>
      <c r="R157" s="5" t="inlineStr">
        <is>
          <t>Dangal (2016)</t>
        </is>
      </c>
      <c r="S157" s="5" t="inlineStr">
        <is>
          <t>Nikhil Mehrotra is credited as writer on Dangal (2016). No Wikipedia article or other independent biography was located; this row is built from the film credit alone.</t>
        </is>
      </c>
      <c r="T157" s="5" t="inlineStr">
        <is>
          <t>SOURCE-055</t>
        </is>
      </c>
      <c r="U157" s="5" t="inlineStr">
        <is>
          <t>Low</t>
        </is>
      </c>
    </row>
    <row r="158" ht="184" customHeight="1">
      <c r="A158" s="15" t="inlineStr">
        <is>
          <t>PERSON-157</t>
        </is>
      </c>
      <c r="B158" s="5" t="inlineStr">
        <is>
          <t>Nitesh Tiwari</t>
        </is>
      </c>
      <c r="C158" s="5" t="inlineStr">
        <is>
          <t>Director; writer</t>
        </is>
      </c>
      <c r="D158" s="17" t="n">
        <v>1973</v>
      </c>
      <c r="E158" s="18" t="n"/>
      <c r="F158" s="5" t="inlineStr">
        <is>
          <t>2011–present</t>
        </is>
      </c>
      <c r="G158" s="5" t="inlineStr">
        <is>
          <t>Hindi</t>
        </is>
      </c>
      <c r="H158" s="5" t="inlineStr">
        <is>
          <t>Graduated from IIT Bombay (1996) in metallurgy; creative director at Leo Burnett.</t>
        </is>
      </c>
      <c r="I158" s="5" t="inlineStr">
        <is>
          <t>Co-directed and co-wrote Chillar Party (2011), which won National Film Awards for Best Children's Film and Best Screenplay.</t>
        </is>
      </c>
      <c r="J158" s="5" t="inlineStr">
        <is>
          <t>Chillar Party (2011); Bhoothnath Returns (2014); Dangal (2016); Chhichhore (2019); Bawaal (2023); Ramayana: Part 1 (2026)</t>
        </is>
      </c>
      <c r="K158" s="19" t="inlineStr">
        <is>
          <t>Emotionally direct stories of family, underdogs and female empowerment</t>
        </is>
      </c>
      <c r="L158" s="19" t="inlineStr">
        <is>
          <t>Grounded, character-driven storytelling that balances commercial appeal with social themes.</t>
        </is>
      </c>
      <c r="M158" s="5" t="inlineStr">
        <is>
          <t>Three National Film Awards (including Best Feature Film in Hindi for Chhichhore); Filmfare Best Director (Dangal)</t>
        </is>
      </c>
      <c r="N158" s="19" t="inlineStr">
        <is>
          <t>Directed Dangal, the highest-grossing Indian film, with unprecedented success in China.</t>
        </is>
      </c>
      <c r="O158" s="19" t="inlineStr">
        <is>
          <t>Directed Aamir Khan in Dangal; the actor reportedly agreed to the film after the first narration.</t>
        </is>
      </c>
      <c r="P158" s="17" t="n">
        <v>1</v>
      </c>
      <c r="Q158" s="5" t="inlineStr">
        <is>
          <t>FILM-049</t>
        </is>
      </c>
      <c r="R158" s="5" t="inlineStr">
        <is>
          <t>Dangal (2016)</t>
        </is>
      </c>
      <c r="S158" s="5" t="inlineStr">
        <is>
          <t>Nitesh Tiwari, born in 1973, graduated in metallurgical engineering from IIT Bombay in 1996 and worked as a creative director at the advertising agency Leo Burnett. He co-directed and co-wrote the children's film Chillar Party (2011), which won National Film Awards for Best Children's Film and Best Screenplay, and directed Bhoothnath Returns (2014). His biography reports that Aamir Khan agreed to Dangal after its first narration, which it presents as a first in Aamir's career. Released in 2016 and written by Tiwari with Piyush Gupta, Shreyas Jain and Nikhil Mehrotra, the film tells the true story of wrestler Mahavir Singh Phogat, who trains his daughters Geeta and Babita into international champions. It won Filmfare Best Film, Best Director for Tiwari and Best Actor for Aamir, and became the highest-grossing Indian film, with extraordinary success in China. Critics praised its honesty while debating whether it truly centres the daughters or the father. Tiwari followed it with Chhichhore (2019), drawn from his IIT years, which won the National Film Award for Best Feature Film in Hindi, and Bawaal (2023), and directed the two-part epic Ramayana. He is married to director Ashwiny Iyer Tiwari.</t>
        </is>
      </c>
      <c r="T158" s="5" t="inlineStr">
        <is>
          <t>SOURCE-119; SOURCE-055</t>
        </is>
      </c>
      <c r="U158" s="5" t="inlineStr">
        <is>
          <t>Medium</t>
        </is>
      </c>
    </row>
    <row r="159" ht="64" customHeight="1">
      <c r="A159" s="15" t="inlineStr">
        <is>
          <t>PERSON-158</t>
        </is>
      </c>
      <c r="B159" s="5" t="inlineStr">
        <is>
          <t>Nitin Keni</t>
        </is>
      </c>
      <c r="C159" s="5" t="inlineStr">
        <is>
          <t>Producer</t>
        </is>
      </c>
      <c r="D159" s="18" t="n"/>
      <c r="E159" s="18" t="n"/>
      <c r="F159" s="5" t="n"/>
      <c r="G159" s="5" t="inlineStr">
        <is>
          <t>Hindi cinema</t>
        </is>
      </c>
      <c r="H159" s="5" t="inlineStr">
        <is>
          <t>A producer credited on one film in this filmography, with no Wikipedia article of their own.</t>
        </is>
      </c>
      <c r="I159" s="5" t="n"/>
      <c r="J159" s="5" t="inlineStr">
        <is>
          <t>With Khan: Secret Superstar (2017).</t>
        </is>
      </c>
      <c r="K159" s="19" t="n"/>
      <c r="L159" s="19" t="n"/>
      <c r="M159" s="5" t="n"/>
      <c r="N159" s="19" t="n"/>
      <c r="O159" s="19" t="inlineStr">
        <is>
          <t>One film with Khan, credited as producer: Secret Superstar (2017), directed by Advait Chandan, with Khan in a supporting role as Shakti Kumar; verdict: Blockbuster.</t>
        </is>
      </c>
      <c r="P159" s="17" t="n">
        <v>1</v>
      </c>
      <c r="Q159" s="5" t="inlineStr">
        <is>
          <t>FILM-050</t>
        </is>
      </c>
      <c r="R159" s="5" t="inlineStr">
        <is>
          <t>Secret Superstar (2017)</t>
        </is>
      </c>
      <c r="S159" s="5" t="inlineStr">
        <is>
          <t>Nitin Keni is credited as producer on Secret Superstar (2017). No Wikipedia article or other independent biography was located; this row is built from the film credit alone.</t>
        </is>
      </c>
      <c r="T159" s="5" t="inlineStr">
        <is>
          <t>SOURCE-056</t>
        </is>
      </c>
      <c r="U159" s="5" t="inlineStr">
        <is>
          <t>Low</t>
        </is>
      </c>
    </row>
    <row r="160" ht="64" customHeight="1">
      <c r="A160" s="15" t="inlineStr">
        <is>
          <t>PERSON-159</t>
        </is>
      </c>
      <c r="B160" s="5" t="inlineStr">
        <is>
          <t>Paramount Pictures</t>
        </is>
      </c>
      <c r="C160" s="5" t="inlineStr">
        <is>
          <t>Production banner</t>
        </is>
      </c>
      <c r="D160" s="18" t="n"/>
      <c r="E160" s="18" t="n"/>
      <c r="F160" s="5" t="n"/>
      <c r="G160" s="5" t="inlineStr">
        <is>
          <t>American cinema</t>
        </is>
      </c>
      <c r="H160" s="5" t="inlineStr">
        <is>
          <t>An American film studio founded in 1912, the second-oldest in the United States, now a division of Skydance.</t>
        </is>
      </c>
      <c r="I160" s="5" t="n"/>
      <c r="J160" s="5" t="inlineStr">
        <is>
          <t>With Khan: Laal Singh Chaddha (2022). Library: The Godfather, Forrest Gump, Titanic, Mission: Impossible.</t>
        </is>
      </c>
      <c r="K160" s="19" t="n"/>
      <c r="L160" s="19" t="n"/>
      <c r="M160" s="5" t="n"/>
      <c r="N160" s="19" t="n"/>
      <c r="O160" s="19" t="inlineStr">
        <is>
          <t>Co-produced Laal Singh Chaddha, the Indian remake of its own Forrest Gump, with Khan in the title role. It was a disaster.</t>
        </is>
      </c>
      <c r="P160" s="17" t="n">
        <v>1</v>
      </c>
      <c r="Q160" s="5" t="inlineStr">
        <is>
          <t>FILM-053</t>
        </is>
      </c>
      <c r="R160" s="5" t="inlineStr">
        <is>
          <t>Laal Singh Chaddha (2022)</t>
        </is>
      </c>
      <c r="S160" s="5" t="inlineStr">
        <is>
          <t>Paramount Pictures owns Forrest Gump, which won it the Academy Award for Best Picture in 1995, and co-produced the Indian adaptation, Laal Singh Chaddha (2022), with Aamir Khan Productions and Viacom18. Khan plays the title role, a simple-hearted Sikh man whose life crosses major events of modern Indian history. The film was a commercial disaster.</t>
        </is>
      </c>
      <c r="T160" s="5" t="inlineStr">
        <is>
          <t>SOURCE-181; SOURCE-059</t>
        </is>
      </c>
      <c r="U160" s="5" t="inlineStr">
        <is>
          <t>Medium</t>
        </is>
      </c>
    </row>
    <row r="161" ht="64" customHeight="1">
      <c r="A161" s="15" t="inlineStr">
        <is>
          <t>PERSON-160</t>
        </is>
      </c>
      <c r="B161" s="5" t="inlineStr">
        <is>
          <t>Pathik Vats</t>
        </is>
      </c>
      <c r="C161" s="5" t="inlineStr">
        <is>
          <t>Writer (dialogue)</t>
        </is>
      </c>
      <c r="D161" s="18" t="n"/>
      <c r="E161" s="18" t="n"/>
      <c r="F161" s="5" t="n"/>
      <c r="G161" s="5" t="inlineStr">
        <is>
          <t>Hindi cinema</t>
        </is>
      </c>
      <c r="H161" s="5" t="inlineStr">
        <is>
          <t>A filmmaker and writer from Patauda, Haryana, also credited as U. S. Pathik, who graduated from Ramjas College and assisted Mrinal Sen on Genesis.</t>
        </is>
      </c>
      <c r="I161" s="5" t="inlineStr">
        <is>
          <t>Co-wrote the dialogue of Mrinal Sen's Genesis.</t>
        </is>
      </c>
      <c r="J161" s="5" t="inlineStr">
        <is>
          <t>With Khan: Sarfarosh (1999), also associate director. Wider work: Mazhab, Qayamat: City Under Threat, Teesri Aankh.</t>
        </is>
      </c>
      <c r="K161" s="19" t="inlineStr">
        <is>
          <t>Dialogue for thrillers.</t>
        </is>
      </c>
      <c r="L161" s="19" t="n"/>
      <c r="M161" s="5" t="inlineStr">
        <is>
          <t>Filmfare Award for Best Dialogue (Sarfarosh, shared with Hriday Lani).</t>
        </is>
      </c>
      <c r="N161" s="19" t="n"/>
      <c r="O161" s="19" t="inlineStr">
        <is>
          <t>Co-wrote the dialogue of Sarfarosh and served as its associate director; Khan plays ACP Ajay Singh Rathod. It was a commercial success.</t>
        </is>
      </c>
      <c r="P161" s="17" t="n">
        <v>1</v>
      </c>
      <c r="Q161" s="5" t="inlineStr">
        <is>
          <t>FILM-029</t>
        </is>
      </c>
      <c r="R161" s="5" t="inlineStr">
        <is>
          <t>Sarfarosh (1999)</t>
        </is>
      </c>
      <c r="S161" s="5" t="inlineStr">
        <is>
          <t>Pathik Vats began as Mrinal Sen's assistant on the Indo-French Genesis, which went to Cannes, and became a dialogue writer for Hindi thrillers. On Sarfarosh (1999), John Matthew Matthan's film about a Muslim police officer, played by Aamir Khan, pursuing arms smugglers linked to Pakistan, he was both associate director and co-writer of the dialogue, which won him and Hriday Lani the Filmfare Award.</t>
        </is>
      </c>
      <c r="T161" s="5" t="inlineStr">
        <is>
          <t>SOURCE-182; SOURCE-036</t>
        </is>
      </c>
      <c r="U161" s="5" t="inlineStr">
        <is>
          <t>Medium</t>
        </is>
      </c>
    </row>
    <row r="162" ht="79" customHeight="1">
      <c r="A162" s="15" t="inlineStr">
        <is>
          <t>PERSON-161</t>
        </is>
      </c>
      <c r="B162" s="5" t="inlineStr">
        <is>
          <t>Piyush Gupta</t>
        </is>
      </c>
      <c r="C162" s="5" t="inlineStr">
        <is>
          <t>Writer</t>
        </is>
      </c>
      <c r="D162" s="18" t="n"/>
      <c r="E162" s="18" t="n"/>
      <c r="F162" s="5" t="n"/>
      <c r="G162" s="5" t="inlineStr">
        <is>
          <t>Hindi cinema</t>
        </is>
      </c>
      <c r="H162" s="5" t="inlineStr">
        <is>
          <t>A writer credited on one film in this filmography, with no Wikipedia article of their own.</t>
        </is>
      </c>
      <c r="I162" s="5" t="n"/>
      <c r="J162" s="5" t="inlineStr">
        <is>
          <t>With Khan: Dangal (2016).</t>
        </is>
      </c>
      <c r="K162" s="19" t="n"/>
      <c r="L162" s="19" t="n"/>
      <c r="M162" s="5" t="n"/>
      <c r="N162" s="19" t="n"/>
      <c r="O162" s="19" t="inlineStr">
        <is>
          <t>One film with Khan, credited as writer: Dangal (2016), directed by Nitesh Tiwari, with Khan in the lead as Mahavir Singh Phogat; verdict: All-time blockbuster; highest-grossing Indian film.</t>
        </is>
      </c>
      <c r="P162" s="17" t="n">
        <v>1</v>
      </c>
      <c r="Q162" s="5" t="inlineStr">
        <is>
          <t>FILM-049</t>
        </is>
      </c>
      <c r="R162" s="5" t="inlineStr">
        <is>
          <t>Dangal (2016)</t>
        </is>
      </c>
      <c r="S162" s="5" t="inlineStr">
        <is>
          <t>Piyush Gupta is credited as writer on Dangal (2016). No Wikipedia article or other independent biography was located; this row is built from the film credit alone.</t>
        </is>
      </c>
      <c r="T162" s="5" t="inlineStr">
        <is>
          <t>SOURCE-055</t>
        </is>
      </c>
      <c r="U162" s="5" t="inlineStr">
        <is>
          <t>Low</t>
        </is>
      </c>
    </row>
    <row r="163" ht="79" customHeight="1">
      <c r="A163" s="15" t="inlineStr">
        <is>
          <t>PERSON-162</t>
        </is>
      </c>
      <c r="B163" s="5" t="inlineStr">
        <is>
          <t>Piyush Mishra</t>
        </is>
      </c>
      <c r="C163" s="5" t="inlineStr">
        <is>
          <t>Writer (dialogue); actor</t>
        </is>
      </c>
      <c r="D163" s="17" t="n">
        <v>1963</v>
      </c>
      <c r="E163" s="18" t="n"/>
      <c r="F163" s="5" t="inlineStr">
        <is>
          <t>1979–present</t>
        </is>
      </c>
      <c r="G163" s="5" t="inlineStr">
        <is>
          <t>Hindi cinema</t>
        </is>
      </c>
      <c r="H163" s="5" t="inlineStr">
        <is>
          <t>A Gwalior-born actor, singer, lyricist, playwright and screenwriter, born Priyakant Sharma, who graduated from the National School of Drama in 1986 and worked in Delhi theatre before moving to Mumbai in 2002.</t>
        </is>
      </c>
      <c r="I163" s="5" t="n"/>
      <c r="J163" s="5" t="inlineStr">
        <is>
          <t>With Khan: Ghajini (2008). As actor: Maqbool, Gangs of Wasseypur; songs: 'Aarambh Hai Prachand' (Gulaal), 'Ik Bagal', 'Husna'.</t>
        </is>
      </c>
      <c r="K163" s="19" t="inlineStr">
        <is>
          <t>Theatre, protest song and character acting.</t>
        </is>
      </c>
      <c r="L163" s="19" t="n"/>
      <c r="M163" s="5" t="n"/>
      <c r="N163" s="19" t="n"/>
      <c r="O163" s="19" t="inlineStr">
        <is>
          <t>Wrote the dialogue of Ghajini, with Khan as an amnesiac businessman; it was an all-time blockbuster.</t>
        </is>
      </c>
      <c r="P163" s="17" t="n">
        <v>1</v>
      </c>
      <c r="Q163" s="5" t="inlineStr">
        <is>
          <t>FILM-039</t>
        </is>
      </c>
      <c r="R163" s="5" t="inlineStr">
        <is>
          <t>Ghajini (2008)</t>
        </is>
      </c>
      <c r="S163" s="5" t="inlineStr">
        <is>
          <t>Piyush Mishra spent more than a decade as a theatre director, actor and songwriter in Delhi before moving to Mumbai, where he became known for Maqbool, Gulaal and Gangs of Wasseypur. He wrote the Hindi dialogue for Ghajini (2008), A. R. Murugadoss's remake of his Tamil thriller, in which Aamir Khan plays a man who has lost his short-term memory.</t>
        </is>
      </c>
      <c r="T163" s="5" t="inlineStr">
        <is>
          <t>SOURCE-183; SOURCE-045</t>
        </is>
      </c>
      <c r="U163" s="5" t="inlineStr">
        <is>
          <t>Medium</t>
        </is>
      </c>
    </row>
    <row r="164" ht="64" customHeight="1">
      <c r="A164" s="15" t="inlineStr">
        <is>
          <t>PERSON-163</t>
        </is>
      </c>
      <c r="B164" s="5" t="inlineStr">
        <is>
          <t>Pradeep Uppoor</t>
        </is>
      </c>
      <c r="C164" s="5" t="inlineStr">
        <is>
          <t>Producer</t>
        </is>
      </c>
      <c r="D164" s="17" t="n">
        <v>1958</v>
      </c>
      <c r="E164" s="17" t="n">
        <v>2023</v>
      </c>
      <c r="F164" s="5" t="n"/>
      <c r="G164" s="5" t="inlineStr">
        <is>
          <t>Hindi cinema</t>
        </is>
      </c>
      <c r="H164" s="5" t="inlineStr">
        <is>
          <t>A Hindi-film producer who also produced commercials, documentaries and television through Neo Films, and co-launched Fireworks Productions, the company behind the series C.I.D.</t>
        </is>
      </c>
      <c r="I164" s="5" t="n"/>
      <c r="J164" s="5" t="inlineStr">
        <is>
          <t>With Khan: Holi (1984). Wider work: Chakra, Ardh Satya, Aghaat, Hip Hip Hurray, Purush; the series C.I.D.; Nail Polish (2021).</t>
        </is>
      </c>
      <c r="K164" s="19" t="inlineStr">
        <is>
          <t>Parallel cinema of the 1980s; television crime drama.</t>
        </is>
      </c>
      <c r="L164" s="19" t="n"/>
      <c r="M164" s="5" t="n"/>
      <c r="N164" s="19" t="n"/>
      <c r="O164" s="19" t="inlineStr">
        <is>
          <t>Produced Ketan Mehta's Holi, Khan's first adult screen appearance.</t>
        </is>
      </c>
      <c r="P164" s="17" t="n">
        <v>1</v>
      </c>
      <c r="Q164" s="5" t="inlineStr">
        <is>
          <t>FILM-003</t>
        </is>
      </c>
      <c r="R164" s="5" t="inlineStr">
        <is>
          <t>Holi (1984)</t>
        </is>
      </c>
      <c r="S164" s="5" t="inlineStr">
        <is>
          <t>Pradeep Uppoor produced several of the key parallel films of the early 1980s, including Chakra and Govind Nihalani's Ardh Satya, and Ketan Mehta's Holi (1984), a drama about a student revolt in which the nineteen-year-old Aamir Khan has a small ensemble role. In 1994 he co-founded Fireworks Productions, whose C.I.D. became one of Indian television's longest-running series. He died on 13 March 2023.</t>
        </is>
      </c>
      <c r="T164" s="5" t="inlineStr">
        <is>
          <t>SOURCE-184; SOURCE-006</t>
        </is>
      </c>
      <c r="U164" s="5" t="inlineStr">
        <is>
          <t>Medium</t>
        </is>
      </c>
    </row>
    <row r="165" ht="109" customHeight="1">
      <c r="A165" s="15" t="inlineStr">
        <is>
          <t>PERSON-164</t>
        </is>
      </c>
      <c r="B165" s="5" t="inlineStr">
        <is>
          <t>Prasoon Joshi</t>
        </is>
      </c>
      <c r="C165" s="5" t="inlineStr">
        <is>
          <t>Writer (dialogue); lyricist</t>
        </is>
      </c>
      <c r="D165" s="17" t="n">
        <v>1971</v>
      </c>
      <c r="E165" s="18" t="n"/>
      <c r="F165" s="5" t="inlineStr">
        <is>
          <t>1992–present</t>
        </is>
      </c>
      <c r="G165" s="5" t="inlineStr">
        <is>
          <t>Hindi cinema</t>
        </is>
      </c>
      <c r="H165" s="5" t="inlineStr">
        <is>
          <t>A poet, lyricist, screenwriter and advertising executive, former CEO of McCann World Group India, chairperson of the Central Board of Film Certification (2017–2026) and, from May 2026, of Prasar Bharati.</t>
        </is>
      </c>
      <c r="I165" s="5" t="n"/>
      <c r="J165" s="5" t="inlineStr">
        <is>
          <t>With Khan: Rang De Basanti (2006). Lyrics: Rang De Basanti, Fanaa, Taare Zameen Par, Ghajini, Delhi-6, Bhaag Milkha Bhaag.</t>
        </is>
      </c>
      <c r="K165" s="19" t="inlineStr">
        <is>
          <t>Lyrical, socially reflective writing for film and advertising.</t>
        </is>
      </c>
      <c r="L165" s="19" t="n"/>
      <c r="M165" s="5" t="inlineStr">
        <is>
          <t>Three Filmfare Awards for Best Lyricist; two National Film Awards for Best Lyrics (Taare Zameen Par, Chittagong); Padma Shri (2015).</t>
        </is>
      </c>
      <c r="N165" s="19" t="n"/>
      <c r="O165" s="19" t="inlineStr">
        <is>
          <t>Wrote the dialogue and lyrics of Rang De Basanti, Rakeysh Omprakash Mehra's drama in which Khan's student DJ is radicalised; it was a major success. He also wrote lyrics for Fanaa, Taare Zameen Par and Ghajini, though this roster records writer and composer credits only.</t>
        </is>
      </c>
      <c r="P165" s="17" t="n">
        <v>1</v>
      </c>
      <c r="Q165" s="5" t="inlineStr">
        <is>
          <t>FILM-036</t>
        </is>
      </c>
      <c r="R165" s="5" t="inlineStr">
        <is>
          <t>Rang De Basanti (2006)</t>
        </is>
      </c>
      <c r="S165" s="5" t="inlineStr">
        <is>
          <t>Prasoon Joshi rose through advertising to run McCann in India and Asia-Pacific while writing lyrics for Hindi films. His work on Aamir Khan's films of the 2000s is extensive: he wrote the dialogue and songs of Rang De Basanti (2006) and the lyrics of Fanaa, Taare Zameen Par — whose 'Maa' won him a National Award — and Ghajini. He chaired the Central Board of Film Certification from 2017 to 2026 and was then appointed to head Prasar Bharati.</t>
        </is>
      </c>
      <c r="T165" s="5" t="inlineStr">
        <is>
          <t>SOURCE-185; SOURCE-042</t>
        </is>
      </c>
      <c r="U165" s="5" t="inlineStr">
        <is>
          <t>Medium</t>
        </is>
      </c>
    </row>
    <row r="166" ht="64" customHeight="1">
      <c r="A166" s="15" t="inlineStr">
        <is>
          <t>PERSON-165</t>
        </is>
      </c>
      <c r="B166" s="5" t="inlineStr">
        <is>
          <t>Prathima Films</t>
        </is>
      </c>
      <c r="C166" s="5" t="inlineStr">
        <is>
          <t>Production banner</t>
        </is>
      </c>
      <c r="D166" s="18" t="n"/>
      <c r="E166" s="18" t="n"/>
      <c r="F166" s="5" t="n"/>
      <c r="G166" s="5" t="inlineStr">
        <is>
          <t>Hindi cinema</t>
        </is>
      </c>
      <c r="H166" s="5" t="inlineStr">
        <is>
          <t>A production banner credited on one film in this filmography, with no Wikipedia article of its own.</t>
        </is>
      </c>
      <c r="I166" s="5" t="n"/>
      <c r="J166" s="5" t="inlineStr">
        <is>
          <t>With Khan: Jawani Zindabad (1990).</t>
        </is>
      </c>
      <c r="K166" s="19" t="n"/>
      <c r="L166" s="19" t="n"/>
      <c r="M166" s="5" t="n"/>
      <c r="N166" s="19" t="n"/>
      <c r="O166" s="19" t="inlineStr">
        <is>
          <t>One film with Khan, credited as production banner: Jawani Zindabad (1990), directed by Arun Bhatt, with Khan in the lead as Shashi Sharma.</t>
        </is>
      </c>
      <c r="P166" s="17" t="n">
        <v>1</v>
      </c>
      <c r="Q166" s="5" t="inlineStr">
        <is>
          <t>FILM-011</t>
        </is>
      </c>
      <c r="R166" s="5" t="inlineStr">
        <is>
          <t>Jawani Zindabad (1990)</t>
        </is>
      </c>
      <c r="S166" s="5" t="inlineStr">
        <is>
          <t>Prathima Films is credited as production banner on Jawani Zindabad (1990). No Wikipedia article or other independent biography was located for the company; this row is built from the film credit alone.</t>
        </is>
      </c>
      <c r="T166" s="5" t="inlineStr">
        <is>
          <t>SOURCE-016</t>
        </is>
      </c>
      <c r="U166" s="5" t="inlineStr">
        <is>
          <t>Low</t>
        </is>
      </c>
    </row>
    <row r="167" ht="64" customHeight="1">
      <c r="A167" s="15" t="inlineStr">
        <is>
          <t>PERSON-166</t>
        </is>
      </c>
      <c r="B167" s="5" t="inlineStr">
        <is>
          <t>PVR Pictures</t>
        </is>
      </c>
      <c r="C167" s="5" t="inlineStr">
        <is>
          <t>Production banner (distributor)</t>
        </is>
      </c>
      <c r="D167" s="18" t="n"/>
      <c r="E167" s="18" t="n"/>
      <c r="F167" s="5" t="n"/>
      <c r="G167" s="5" t="inlineStr">
        <is>
          <t>Hindi cinema</t>
        </is>
      </c>
      <c r="H167" s="5" t="inlineStr">
        <is>
          <t>The film-distribution arm of PVR, the multiplex chain that grew from Priya Cinema in Delhi; renamed PVR INOX Pictures after the 2023 merger with INOX Leisure.</t>
        </is>
      </c>
      <c r="I167" s="5" t="inlineStr">
        <is>
          <t>Production debut in 2007 with Taare Zameen Par and Jaane Tu... Ya Jaane Na.</t>
        </is>
      </c>
      <c r="J167" s="5" t="inlineStr">
        <is>
          <t>With Khan: Taare Zameen Par (2007). Distribution: over 500 Hollywood and 200 Hindi films, including Ghajini and Don.</t>
        </is>
      </c>
      <c r="K167" s="19" t="n"/>
      <c r="L167" s="19" t="n"/>
      <c r="M167" s="5" t="n"/>
      <c r="N167" s="19" t="n"/>
      <c r="O167" s="19" t="inlineStr">
        <is>
          <t>Co-produced and distributed Taare Zameen Par, its first production, which Khan directed and in which he plays the art teacher.</t>
        </is>
      </c>
      <c r="P167" s="17" t="n">
        <v>1</v>
      </c>
      <c r="Q167" s="5" t="inlineStr">
        <is>
          <t>FILM-038</t>
        </is>
      </c>
      <c r="R167" s="5" t="inlineStr">
        <is>
          <t>Taare Zameen Par (2007)</t>
        </is>
      </c>
      <c r="S167" s="5" t="inlineStr">
        <is>
          <t>PVR Pictures was the distribution business of PVR Cinemas, founded by Ajay Bijli after he took over his family's Priya Cinema in 1988. It moved into production in 2007, starting with Taare Zameen Par, Aamir Khan's directorial debut about a dyslexic boy, and the Aamir Khan Productions comedy Jaane Tu... Ya Jaane Na. After PVR merged with INOX Leisure the business was renamed PVR INOX Pictures in 2023.</t>
        </is>
      </c>
      <c r="T167" s="5" t="inlineStr">
        <is>
          <t>SOURCE-186; SOURCE-044</t>
        </is>
      </c>
      <c r="U167" s="5" t="inlineStr">
        <is>
          <t>Medium</t>
        </is>
      </c>
    </row>
    <row r="168" ht="154" customHeight="1">
      <c r="A168" s="15" t="inlineStr">
        <is>
          <t>PERSON-167</t>
        </is>
      </c>
      <c r="B168" s="5" t="inlineStr">
        <is>
          <t>R. S. Prasanna</t>
        </is>
      </c>
      <c r="C168" s="5" t="inlineStr">
        <is>
          <t>Director</t>
        </is>
      </c>
      <c r="D168" s="18" t="n"/>
      <c r="E168" s="18" t="n"/>
      <c r="F168" s="5" t="inlineStr">
        <is>
          <t>2013–present</t>
        </is>
      </c>
      <c r="G168" s="5" t="inlineStr">
        <is>
          <t>Tamil; Hindi</t>
        </is>
      </c>
      <c r="H168" s="5" t="inlineStr">
        <is>
          <t>Gold medal winner at the L. V. Prasad Film Institute.</t>
        </is>
      </c>
      <c r="I168" s="5" t="inlineStr">
        <is>
          <t>Kalyana Samayal Saadham (2013), a Tamil romantic comedy.</t>
        </is>
      </c>
      <c r="J168" s="5" t="inlineStr">
        <is>
          <t>Kalyana Samayal Saadham (2013); Shubh Mangal Saavdhan (2017); Sitaare Zameen Par (2025)</t>
        </is>
      </c>
      <c r="K168" s="19" t="inlineStr">
        <is>
          <t>Sensitive subjects handled through comedy</t>
        </is>
      </c>
      <c r="L168" s="19" t="inlineStr">
        <is>
          <t>Mature, humane comedy about taboo or overlooked issues.</t>
        </is>
      </c>
      <c r="M168" s="5" t="n"/>
      <c r="N168" s="19" t="inlineStr">
        <is>
          <t>Known for mainstream comedies that address subjects such as erectile dysfunction and intellectual disability.</t>
        </is>
      </c>
      <c r="O168" s="19" t="inlineStr">
        <is>
          <t>Directed Aamir Khan in Sitaare Zameen Par, produced by Aamir Khan Productions.</t>
        </is>
      </c>
      <c r="P168" s="17" t="n">
        <v>1</v>
      </c>
      <c r="Q168" s="5" t="inlineStr">
        <is>
          <t>FILM-055</t>
        </is>
      </c>
      <c r="R168" s="5" t="inlineStr">
        <is>
          <t>Sitaare Zameen Par (2025)</t>
        </is>
      </c>
      <c r="S168" s="5" t="inlineStr">
        <is>
          <t>R. S. Prasanna trained at the L. V. Prasad Film Institute, where he won a gold medal, and made his debut with the Tamil romantic comedy Kalyana Samayal Saadham (2013), which treated erectile dysfunction as a modern urban problem with maturity and humour. He remade it in Hindi as Shubh Mangal Saavdhan (2017). His fetched biography does not yet cover his third feature, Sitaare Zameen Par (2025), details of which come from the film's article. An official remake of the Spanish film Campeones, produced by Aamir Khan and Aparna Purohit, it cast Aamir as Gulshan Arora, an arrogant assistant basketball coach sentenced to train a team of intellectually disabled players. The film opened to positive reviews for Aamir's committed performance and its warmth, though some critics found it preachy. It was a hit, and after its theatrical run it was released on YouTube as a pay-per-view film, along with extensive accessibility features. The collaboration continues Prasanna's interest in turning sensitive subjects into accessible mainstream comedy.</t>
        </is>
      </c>
      <c r="T168" s="5" t="inlineStr">
        <is>
          <t>SOURCE-121; SOURCE-061</t>
        </is>
      </c>
      <c r="U168" s="5" t="inlineStr">
        <is>
          <t>Medium</t>
        </is>
      </c>
    </row>
    <row r="169" ht="79" customHeight="1">
      <c r="A169" s="15" t="inlineStr">
        <is>
          <t>PERSON-168</t>
        </is>
      </c>
      <c r="B169" s="5" t="inlineStr">
        <is>
          <t>Rahi Masoom Raza</t>
        </is>
      </c>
      <c r="C169" s="5" t="inlineStr">
        <is>
          <t>Writer (dialogue)</t>
        </is>
      </c>
      <c r="D169" s="17" t="n">
        <v>1927</v>
      </c>
      <c r="E169" s="17" t="n">
        <v>1992</v>
      </c>
      <c r="F169" s="5" t="inlineStr">
        <is>
          <t>1945–1992</t>
        </is>
      </c>
      <c r="G169" s="5" t="inlineStr">
        <is>
          <t>Urdu and Hindi literature; Hindi cinema and television</t>
        </is>
      </c>
      <c r="H169" s="5" t="inlineStr">
        <is>
          <t>An Urdu and Hindi poet, novelist and lyricist from Gangauli, Ghazipur, with a doctorate in Hindustani literature from Aligarh Muslim University, best known for writing the screenplay and dialogue of the television Mahabharat.</t>
        </is>
      </c>
      <c r="I169" s="5" t="n"/>
      <c r="J169" s="5" t="inlineStr">
        <is>
          <t>With Khan: Parampara (1993). Wider work: Main Tulsi Tere Aangan Ki, Tawaif, Lamhe; the Mahabharat serial; the novel Aadha Gaon.</t>
        </is>
      </c>
      <c r="K169" s="19" t="inlineStr">
        <is>
          <t>Urdu-Hindi dialogue for family melodrama and epic.</t>
        </is>
      </c>
      <c r="L169" s="19" t="n"/>
      <c r="M169" s="5" t="inlineStr">
        <is>
          <t>Three Filmfare Awards for Best Dialogue (Main Tulsi Tere Aangan Ki, Tawaif, Lamhe).</t>
        </is>
      </c>
      <c r="N169" s="19" t="n"/>
      <c r="O169" s="19" t="inlineStr">
        <is>
          <t>Wrote the dialogue of Yash Chopra's Parampara, released after his death; Khan has a co-lead. It flopped.</t>
        </is>
      </c>
      <c r="P169" s="17" t="n">
        <v>1</v>
      </c>
      <c r="Q169" s="5" t="inlineStr">
        <is>
          <t>FILM-018</t>
        </is>
      </c>
      <c r="R169" s="5" t="inlineStr">
        <is>
          <t>Parampara (1993)</t>
        </is>
      </c>
      <c r="S169" s="5" t="inlineStr">
        <is>
          <t>Rahi Masoom Raza wrote fiction and poetry in Urdu and Hindi, including the novel Aadha Gaon, and became one of the most respected dialogue writers in Hindi film, winning three Filmfare Awards, the last for Yash Chopra's Lamhe (1991). He wrote the screenplay and dialogue of B. R. Chopra's television Mahabharat. His dialogue for Chopra's Parampara, a generational feud drama in which Aamir Khan plays one of the sons, reached screens in 1993, after Raza's death on 15 March 1992.</t>
        </is>
      </c>
      <c r="T169" s="5" t="inlineStr">
        <is>
          <t>SOURCE-187; SOURCE-024</t>
        </is>
      </c>
      <c r="U169" s="5" t="inlineStr">
        <is>
          <t>Medium</t>
        </is>
      </c>
    </row>
    <row r="170" ht="64" customHeight="1">
      <c r="A170" s="15" t="inlineStr">
        <is>
          <t>PERSON-169</t>
        </is>
      </c>
      <c r="B170" s="5" t="inlineStr">
        <is>
          <t>Rajat Dholakia</t>
        </is>
      </c>
      <c r="C170" s="5" t="inlineStr">
        <is>
          <t>Song composer</t>
        </is>
      </c>
      <c r="D170" s="17" t="n">
        <v>1957</v>
      </c>
      <c r="E170" s="18" t="n"/>
      <c r="F170" s="5" t="inlineStr">
        <is>
          <t>1978–present</t>
        </is>
      </c>
      <c r="G170" s="5" t="inlineStr">
        <is>
          <t>Hindi cinema</t>
        </is>
      </c>
      <c r="H170" s="5" t="inlineStr">
        <is>
          <t>A composer known as Juku, son of the composer Dileep Dholakia, who studied Western notation under Pandit Ramprasad Sharma and is credited with introducing Chhattisgarhi music to Hindi film.</t>
        </is>
      </c>
      <c r="I170" s="5" t="n"/>
      <c r="J170" s="5" t="inlineStr">
        <is>
          <t>With Khan: Holi (1984). Wider work: Mirch Masala, Dharavi, Sunday (short), Firaaq.</t>
        </is>
      </c>
      <c r="K170" s="19" t="inlineStr">
        <is>
          <t>Folk-based scores for parallel cinema.</t>
        </is>
      </c>
      <c r="L170" s="19" t="n"/>
      <c r="M170" s="5" t="inlineStr">
        <is>
          <t>National Film Award for Best Music Direction (Dharavi, 1991); a further award for Sunday (1992).</t>
        </is>
      </c>
      <c r="N170" s="19" t="n"/>
      <c r="O170" s="19" t="inlineStr">
        <is>
          <t>Composed the songs of Ketan Mehta's Holi, Khan's first adult screen role.</t>
        </is>
      </c>
      <c r="P170" s="17" t="n">
        <v>1</v>
      </c>
      <c r="Q170" s="5" t="inlineStr">
        <is>
          <t>FILM-003</t>
        </is>
      </c>
      <c r="R170" s="5" t="inlineStr">
        <is>
          <t>Holi (1984)</t>
        </is>
      </c>
      <c r="S170" s="5" t="inlineStr">
        <is>
          <t>Rajat Dholakia learned music from his father and trained in Western arranging and guitar before becoming the composer for much of 1980s parallel cinema, including Ketan Mehta's Holi (1984) and Mirch Masala (1987) and Sudhir Mishra's Dharavi, which won him a National Award. Holi, a drama about a college hostel uprising, has the young Aamir Khan in its ensemble.</t>
        </is>
      </c>
      <c r="T170" s="5" t="inlineStr">
        <is>
          <t>SOURCE-188; SOURCE-006</t>
        </is>
      </c>
      <c r="U170" s="5" t="inlineStr">
        <is>
          <t>Medium</t>
        </is>
      </c>
    </row>
    <row r="171" ht="64" customHeight="1">
      <c r="A171" s="15" t="inlineStr">
        <is>
          <t>PERSON-170</t>
        </is>
      </c>
      <c r="B171" s="5" t="inlineStr">
        <is>
          <t>Rajesh Roshan</t>
        </is>
      </c>
      <c r="C171" s="5" t="inlineStr">
        <is>
          <t>Song composer</t>
        </is>
      </c>
      <c r="D171" s="17" t="n">
        <v>1955</v>
      </c>
      <c r="E171" s="18" t="n"/>
      <c r="F171" s="5" t="inlineStr">
        <is>
          <t>1974–2017</t>
        </is>
      </c>
      <c r="G171" s="5" t="inlineStr">
        <is>
          <t>Hindi cinema</t>
        </is>
      </c>
      <c r="H171" s="5" t="inlineStr">
        <is>
          <t>A Hindi-film composer, son of the composer Roshan and the singer Ira Nagrath, younger brother of Rakesh Roshan and uncle of Hrithik Roshan.</t>
        </is>
      </c>
      <c r="I171" s="5" t="inlineStr">
        <is>
          <t>Kunwara Baap (1974).</t>
        </is>
      </c>
      <c r="J171" s="5" t="inlineStr">
        <is>
          <t>With Khan: Mela (2000). Wider work: Julie, Swami, Khatta Meetha, Kaala Patthar, Karan Arjun, Kaho Naa... Pyaar Hai, Koi... Mil Gaya, Krrish.</t>
        </is>
      </c>
      <c r="K171" s="19" t="inlineStr">
        <is>
          <t>Melodic mainstream songs; long partnership with Rakesh Roshan.</t>
        </is>
      </c>
      <c r="L171" s="19" t="n"/>
      <c r="M171" s="5" t="inlineStr">
        <is>
          <t>Filmfare Award for Best Music Director (Julie).</t>
        </is>
      </c>
      <c r="N171" s="19" t="n"/>
      <c r="O171" s="19" t="inlineStr">
        <is>
          <t>Composed songs for Dharmesh Darshan's Mela, with Khan as a wandering hero.</t>
        </is>
      </c>
      <c r="P171" s="17" t="n">
        <v>1</v>
      </c>
      <c r="Q171" s="5" t="inlineStr">
        <is>
          <t>FILM-032</t>
        </is>
      </c>
      <c r="R171" s="5" t="inlineStr">
        <is>
          <t>Mela (2000)</t>
        </is>
      </c>
      <c r="S171" s="5" t="inlineStr">
        <is>
          <t>Rajesh Roshan made his name with Kunwara Baap (1974) and Julie, which won him the Filmfare Award, worked often with Basu Chatterjee and Dev Anand, and has scored nearly all of his brother Rakesh Roshan's films, from Karan Arjun to Krrish. He is one of the song composers of Mela (2000), Dharmesh Darshan's action musical with Aamir Khan and Faisal Khan.</t>
        </is>
      </c>
      <c r="T171" s="5" t="inlineStr">
        <is>
          <t>SOURCE-189; SOURCE-038</t>
        </is>
      </c>
      <c r="U171" s="5" t="inlineStr">
        <is>
          <t>Medium</t>
        </is>
      </c>
    </row>
    <row r="172" ht="64" customHeight="1">
      <c r="A172" s="15" t="inlineStr">
        <is>
          <t>PERSON-171</t>
        </is>
      </c>
      <c r="B172" s="5" t="inlineStr">
        <is>
          <t>Rajkumar Hirani Films</t>
        </is>
      </c>
      <c r="C172" s="5" t="inlineStr">
        <is>
          <t>Production banner</t>
        </is>
      </c>
      <c r="D172" s="18" t="n"/>
      <c r="E172" s="18" t="n"/>
      <c r="F172" s="5" t="n"/>
      <c r="G172" s="5" t="inlineStr">
        <is>
          <t>Hindi cinema</t>
        </is>
      </c>
      <c r="H172" s="5" t="inlineStr">
        <is>
          <t>Rajkumar Hirani's production company. It has no article of its own; this profile uses the article on Hirani.</t>
        </is>
      </c>
      <c r="I172" s="5" t="n"/>
      <c r="J172" s="5" t="inlineStr">
        <is>
          <t>With Khan: PK (2014), co-produced with Vinod Chopra Films.</t>
        </is>
      </c>
      <c r="K172" s="19" t="n"/>
      <c r="L172" s="19" t="n"/>
      <c r="M172" s="5" t="n"/>
      <c r="N172" s="19" t="n"/>
      <c r="O172" s="19" t="inlineStr">
        <is>
          <t>Co-produced PK, Hirani's satire with Khan as an alien questioning religion; it was an all-time blockbuster.</t>
        </is>
      </c>
      <c r="P172" s="17" t="n">
        <v>1</v>
      </c>
      <c r="Q172" s="5" t="inlineStr">
        <is>
          <t>FILM-047</t>
        </is>
      </c>
      <c r="R172" s="5" t="inlineStr">
        <is>
          <t>PK (2014)</t>
        </is>
      </c>
      <c r="S172" s="5" t="inlineStr">
        <is>
          <t>Rajkumar Hirani Films is the company of Rajkumar Hirani, director of the Munna Bhai films and of Aamir Khan's 3 Idiots and PK. It is credited alongside Vinod Chopra Films on PK (2014), in which Khan plays an alien who loses his means of returning home and wanders India asking which god will help him; it was the highest-grossing Indian film on release. The company has no separate documentation.</t>
        </is>
      </c>
      <c r="T172" s="5" t="inlineStr">
        <is>
          <t>SOURCE-109; SOURCE-053</t>
        </is>
      </c>
      <c r="U172" s="5" t="inlineStr">
        <is>
          <t>Low</t>
        </is>
      </c>
    </row>
    <row r="173" ht="199" customHeight="1">
      <c r="A173" s="15" t="inlineStr">
        <is>
          <t>PERSON-172</t>
        </is>
      </c>
      <c r="B173" s="5" t="inlineStr">
        <is>
          <t>Rakeysh Omprakash Mehra</t>
        </is>
      </c>
      <c r="C173" s="5" t="inlineStr">
        <is>
          <t>Director; producer; writer</t>
        </is>
      </c>
      <c r="D173" s="17" t="n">
        <v>1963</v>
      </c>
      <c r="E173" s="18" t="n"/>
      <c r="F173" s="5" t="inlineStr">
        <is>
          <t>2001–present</t>
        </is>
      </c>
      <c r="G173" s="5" t="inlineStr">
        <is>
          <t>Hindi</t>
        </is>
      </c>
      <c r="H173" s="5" t="inlineStr">
        <is>
          <t>Born in Delhi; studied at Shri Ram College of Commerce; sold vacuum cleaners for Eureka Forbes, then founded Flicks Motion Picture Company in 1986 to make commercials.</t>
        </is>
      </c>
      <c r="I173" s="5" t="inlineStr">
        <is>
          <t>Aks (2001), a commercial failure; breakthrough with Rang De Basanti (2006).</t>
        </is>
      </c>
      <c r="J173" s="5" t="inlineStr">
        <is>
          <t>Aks (2001); Rang De Basanti (2006); Delhi-6 (2009); Bhaag Milkha Bhaag (2013); Mirzya (2016); Mere Pyare Prime Minister (2019); Toofaan (2021)</t>
        </is>
      </c>
      <c r="K173" s="19" t="inlineStr">
        <is>
          <t>Youth activism, national identity, marks-driven education and vote-bank politics</t>
        </is>
      </c>
      <c r="L173" s="19" t="inlineStr">
        <is>
          <t>Ensemble socio-political drama with music by A. R. Rahman and editing by P. S. Bharathi, his wife.</t>
        </is>
      </c>
      <c r="M173" s="5" t="inlineStr">
        <is>
          <t>Two Filmfare Best Director awards (Rang De Basanti; Bhaag Milkha Bhaag); two National Film Awards for Best Popular Film; BAFTA nomination; Nargis Dutt Award</t>
        </is>
      </c>
      <c r="N173" s="19" t="inlineStr">
        <is>
          <t>Rang De Basanti's influence on youth protest was dubbed the 'RDB effect'.</t>
        </is>
      </c>
      <c r="O173" s="19" t="inlineStr">
        <is>
          <t>Directed Aamir Khan in Rang De Basanti, which won him the Filmfare Best Actor (Critics) award.</t>
        </is>
      </c>
      <c r="P173" s="17" t="n">
        <v>1</v>
      </c>
      <c r="Q173" s="5" t="inlineStr">
        <is>
          <t>FILM-036</t>
        </is>
      </c>
      <c r="R173" s="5" t="inlineStr">
        <is>
          <t>Rang De Basanti (2006)</t>
        </is>
      </c>
      <c r="S173" s="5" t="inlineStr">
        <is>
          <t>Rakeysh Omprakash Mehra was born in Delhi in 1963 and studied commerce before working in sales for Eureka Forbes. In 1986 he founded Flicks Motion Picture Company and directed commercials for brands such as Coca-Cola and Pepsi. His first feature, the supernatural thriller Aks (2001) with Amitabh Bachchan, failed commercially. His second, Rang De Basanti (2006), was inspired partly by the Mandal Commission protests and follows a group of Delhi students cast in a British filmmaker's documentary about revolutionaries. Aamir Khan plays DJ, their charismatic, cynical leader, who is also cast as Chandrashekhar Azad. The film broke opening records, won the Filmfare awards for Best Film and Best Director, the National Film Award for Best Popular Film and a BAFTA nomination, and was India's Academy Award submission. Aamir won the Filmfare Best Actor (Critics) award. Its candlelight protests were copied in real life after the Jessica Lall verdict, and the media coined the term 'RDB effect' for such activism. Mehra later made Delhi-6, the Milkha Singh biopic Bhaag Milkha Bhaag (his second Filmfare Best Director award), Mirzya and Toofaan. He is married to P. S. Bharathi, who won the National and Filmfare editing awards for Rang De Basanti. In 2025 he chaired the international jury at IFFI.</t>
        </is>
      </c>
      <c r="T173" s="5" t="inlineStr">
        <is>
          <t>SOURCE-103; SOURCE-042</t>
        </is>
      </c>
      <c r="U173" s="5" t="inlineStr">
        <is>
          <t>Medium</t>
        </is>
      </c>
    </row>
    <row r="174" ht="79" customHeight="1">
      <c r="A174" s="15" t="inlineStr">
        <is>
          <t>PERSON-173</t>
        </is>
      </c>
      <c r="B174" s="5" t="inlineStr">
        <is>
          <t>Rakeysh Omprakash Mehra Pictures</t>
        </is>
      </c>
      <c r="C174" s="5" t="inlineStr">
        <is>
          <t>Production banner</t>
        </is>
      </c>
      <c r="D174" s="18" t="n"/>
      <c r="E174" s="18" t="n"/>
      <c r="F174" s="5" t="n"/>
      <c r="G174" s="5" t="inlineStr">
        <is>
          <t>Hindi cinema</t>
        </is>
      </c>
      <c r="H174" s="5" t="inlineStr">
        <is>
          <t>The production company of the director Rakeysh Omprakash Mehra. It has no article of its own; this profile uses the article on Mehra.</t>
        </is>
      </c>
      <c r="I174" s="5" t="n"/>
      <c r="J174" s="5" t="inlineStr">
        <is>
          <t>With Khan: Rang De Basanti (2006). Mehra's films: Aks, Delhi-6, Bhaag Milkha Bhaag, Mirzya.</t>
        </is>
      </c>
      <c r="K174" s="19" t="n"/>
      <c r="L174" s="19" t="n"/>
      <c r="M174" s="5" t="n"/>
      <c r="N174" s="19" t="n"/>
      <c r="O174" s="19" t="inlineStr">
        <is>
          <t>Produced Rang De Basanti, which Mehra wrote and directed, with Khan in the ensemble lead; it was a major success.</t>
        </is>
      </c>
      <c r="P174" s="17" t="n">
        <v>1</v>
      </c>
      <c r="Q174" s="5" t="inlineStr">
        <is>
          <t>FILM-036</t>
        </is>
      </c>
      <c r="R174" s="5" t="inlineStr">
        <is>
          <t>Rang De Basanti (2006)</t>
        </is>
      </c>
      <c r="S174" s="5" t="inlineStr">
        <is>
          <t>Rakeysh Omprakash Mehra Pictures is the banner of the director of Aks, Rang De Basanti, Delhi-6 and Bhaag Milkha Bhaag. Mehra has said that the politics around the Mandal Commission led him to write Rang De Basanti (2006), in which Aamir Khan's character DJ and his friends, cast in a documentary about 1920s revolutionaries, take up protest after a friend dies in a MiG crash. The film was a major success and won Mehra the Filmfare Award for Best Director.</t>
        </is>
      </c>
      <c r="T174" s="5" t="inlineStr">
        <is>
          <t>SOURCE-103; SOURCE-042</t>
        </is>
      </c>
      <c r="U174" s="5" t="inlineStr">
        <is>
          <t>Low</t>
        </is>
      </c>
    </row>
    <row r="175" ht="169" customHeight="1">
      <c r="A175" s="15" t="inlineStr">
        <is>
          <t>PERSON-174</t>
        </is>
      </c>
      <c r="B175" s="5" t="inlineStr">
        <is>
          <t>Ram Gopal Varma</t>
        </is>
      </c>
      <c r="C175" s="5" t="inlineStr">
        <is>
          <t>Director; producer; writer</t>
        </is>
      </c>
      <c r="D175" s="17" t="n">
        <v>1962</v>
      </c>
      <c r="E175" s="18" t="n"/>
      <c r="F175" s="5" t="inlineStr">
        <is>
          <t>1989–present</t>
        </is>
      </c>
      <c r="G175" s="5" t="inlineStr">
        <is>
          <t>Telugu; Hindi</t>
        </is>
      </c>
      <c r="H175" s="5" t="inlineStr">
        <is>
          <t>Born in Hyderabad; studied civil engineering and ran a video rental store, then assisted on Telugu films.</t>
        </is>
      </c>
      <c r="I175" s="5" t="inlineStr">
        <is>
          <t>Siva (1989), a Telugu crime thriller that introduced the Steadicam to Indian cinema; Hindi breakthrough with Rangeela (1995).</t>
        </is>
      </c>
      <c r="J175" s="5" t="inlineStr">
        <is>
          <t>Siva (1989); Kshana Kshanam (1991); Rangeela (1995); Satya (1998); Company (2002); Bhoot (2003); Sarkar (2005); Rakta Charitra (2010)</t>
        </is>
      </c>
      <c r="K175" s="19" t="inlineStr">
        <is>
          <t>Gangster noir, horror and political crime; one major musical romance</t>
        </is>
      </c>
      <c r="L175" s="19" t="inlineStr">
        <is>
          <t>Pioneer of 'Mumbai noir'; gritty realism and technical innovation.</t>
        </is>
      </c>
      <c r="M175" s="5" t="inlineStr">
        <is>
          <t>National Film Award for Shool (1999, as producer); Nandi Awards for Siva; Filmfare Best Story (Rangeela)</t>
        </is>
      </c>
      <c r="N175" s="19" t="inlineStr">
        <is>
          <t>Regarded as a pioneer of new-age Indian cinema; launched directors including Anurag Kashyap and Madhur Bhandarkar.</t>
        </is>
      </c>
      <c r="O175" s="19" t="inlineStr">
        <is>
          <t>Directed Rangeela, a turning point that recast Aamir Khan as a streetwise Mumbai lover.</t>
        </is>
      </c>
      <c r="P175" s="17" t="n">
        <v>1</v>
      </c>
      <c r="Q175" s="5" t="inlineStr">
        <is>
          <t>FILM-024</t>
        </is>
      </c>
      <c r="R175" s="5" t="inlineStr">
        <is>
          <t>Rangeela (1995)</t>
        </is>
      </c>
      <c r="S175" s="5" t="inlineStr">
        <is>
          <t>Ram Gopal Varma was born in Hyderabad in 1962, studied civil engineering and briefly worked as a site engineer before running a video rental store, where he studied which films audiences chose. After assisting on Telugu films he directed Siva (1989), a crime thriller that won Nandi Awards and introduced the Steadicam to Indian cinema. His Hindi breakthrough came with Rangeela (1995), a musical romance with Aamir Khan as Munna, a black-market ticket seller in love with his childhood friend Mili, played by Urmila Matondkar, who is being groomed for stardom. With A. R. Rahman's music and Manish Malhotra's costumes, the film was hailed for bringing a modern sensibility to mid-1990s Hindi cinema; it won Filmfare awards including Best Music Director and Best Story for Varma, and marked a turning point for both leads. Varma then redefined Hindi crime cinema with Satya (1998), Company (2002) and Sarkar (2005), pioneering a 'Mumbai noir' style, and scored a horror hit with Bhoot. His production 'factory' launched directors such as Anurag Kashyap and Madhur Bhandarkar. Rangeela remains his only film with Aamir Khan.</t>
        </is>
      </c>
      <c r="T175" s="5" t="inlineStr">
        <is>
          <t>SOURCE-093; SOURCE-030</t>
        </is>
      </c>
      <c r="U175" s="5" t="inlineStr">
        <is>
          <t>Medium</t>
        </is>
      </c>
    </row>
    <row r="176" ht="49" customHeight="1">
      <c r="A176" s="15" t="inlineStr">
        <is>
          <t>PERSON-175</t>
        </is>
      </c>
      <c r="B176" s="5" t="inlineStr">
        <is>
          <t>Ramesh Pant</t>
        </is>
      </c>
      <c r="C176" s="5" t="inlineStr">
        <is>
          <t>Writer</t>
        </is>
      </c>
      <c r="D176" s="18" t="n"/>
      <c r="E176" s="18" t="n"/>
      <c r="F176" s="5" t="n"/>
      <c r="G176" s="5" t="inlineStr">
        <is>
          <t>Hindi cinema</t>
        </is>
      </c>
      <c r="H176" s="5" t="inlineStr">
        <is>
          <t>A writer credited on one film in this filmography, with no Wikipedia article of their own.</t>
        </is>
      </c>
      <c r="I176" s="5" t="n"/>
      <c r="J176" s="5" t="inlineStr">
        <is>
          <t>With Khan: Afsana Pyar Ka (1991).</t>
        </is>
      </c>
      <c r="K176" s="19" t="n"/>
      <c r="L176" s="19" t="n"/>
      <c r="M176" s="5" t="n"/>
      <c r="N176" s="19" t="n"/>
      <c r="O176" s="19" t="inlineStr">
        <is>
          <t>One film with Khan, credited as writer: Afsana Pyar Ka (1991), directed by M. R. Shahjahan, with Khan in the lead as Raj.</t>
        </is>
      </c>
      <c r="P176" s="17" t="n">
        <v>1</v>
      </c>
      <c r="Q176" s="5" t="inlineStr">
        <is>
          <t>FILM-012</t>
        </is>
      </c>
      <c r="R176" s="5" t="inlineStr">
        <is>
          <t>Afsana Pyar Ka (1991)</t>
        </is>
      </c>
      <c r="S176" s="5" t="inlineStr">
        <is>
          <t>Ramesh Pant is credited as writer on Afsana Pyar Ka (1991). No Wikipedia article or other independent biography was located; this row is built from the film credit alone.</t>
        </is>
      </c>
      <c r="T176" s="5" t="inlineStr">
        <is>
          <t>SOURCE-017</t>
        </is>
      </c>
      <c r="U176" s="5" t="inlineStr">
        <is>
          <t>Low</t>
        </is>
      </c>
    </row>
    <row r="177" ht="64" customHeight="1">
      <c r="A177" s="15" t="inlineStr">
        <is>
          <t>PERSON-176</t>
        </is>
      </c>
      <c r="B177" s="5" t="inlineStr">
        <is>
          <t>Ranjit Barot</t>
        </is>
      </c>
      <c r="C177" s="5" t="inlineStr">
        <is>
          <t>Background-score composer</t>
        </is>
      </c>
      <c r="D177" s="18" t="n"/>
      <c r="E177" s="18" t="n"/>
      <c r="F177" s="5" t="inlineStr">
        <is>
          <t>1980–present</t>
        </is>
      </c>
      <c r="G177" s="5" t="inlineStr">
        <is>
          <t>Hindi cinema</t>
        </is>
      </c>
      <c r="H177" s="5" t="inlineStr">
        <is>
          <t>A film-score composer, music director, arranger, drummer and singer, son of the Kathak dancer Sitara Devi, and a longtime associate of A. R. Rahman.</t>
        </is>
      </c>
      <c r="I177" s="5" t="inlineStr">
        <is>
          <t>Music career from the 1980s.</t>
        </is>
      </c>
      <c r="J177" s="5" t="inlineStr">
        <is>
          <t>With Khan: Raakh (1989). Wider work: drumming with John McLaughlin's Shakti; scores for Hindi films.</t>
        </is>
      </c>
      <c r="K177" s="19" t="inlineStr">
        <is>
          <t>Jazz-fusion and percussion-led scoring.</t>
        </is>
      </c>
      <c r="L177" s="19" t="n"/>
      <c r="M177" s="5" t="n"/>
      <c r="N177" s="19" t="n"/>
      <c r="O177" s="19" t="inlineStr">
        <is>
          <t>Wrote the background score of Aditya Bhattacharya's Raakh, an early Khan lead as a young man seeking revenge.</t>
        </is>
      </c>
      <c r="P177" s="17" t="n">
        <v>1</v>
      </c>
      <c r="Q177" s="5" t="inlineStr">
        <is>
          <t>FILM-005</t>
        </is>
      </c>
      <c r="R177" s="5" t="inlineStr">
        <is>
          <t>Raakh (1989)</t>
        </is>
      </c>
      <c r="S177" s="5" t="inlineStr">
        <is>
          <t>Ranjit Barot, son of the Kathak dancer Sitara Devi, is one of India's best-known drummers, praised by John McLaughlin, and a frequent collaborator of A. R. Rahman. Early in his career he wrote the background score for Raakh (1989), Aditya Bhattacharya's neo-noir in which Aamir Khan plays a young man who turns vigilante after the woman he loves is raped. The film was made before Qayamat Se Qayamat Tak but released after it.</t>
        </is>
      </c>
      <c r="T177" s="5" t="inlineStr">
        <is>
          <t>SOURCE-190; SOURCE-008</t>
        </is>
      </c>
      <c r="U177" s="5" t="inlineStr">
        <is>
          <t>Medium</t>
        </is>
      </c>
    </row>
    <row r="178" ht="64" customHeight="1">
      <c r="A178" s="15" t="inlineStr">
        <is>
          <t>PERSON-177</t>
        </is>
      </c>
      <c r="B178" s="5" t="inlineStr">
        <is>
          <t>Ranjit Kapoor</t>
        </is>
      </c>
      <c r="C178" s="5" t="inlineStr">
        <is>
          <t>Writer</t>
        </is>
      </c>
      <c r="D178" s="18" t="n"/>
      <c r="E178" s="18" t="n"/>
      <c r="F178" s="5" t="n"/>
      <c r="G178" s="5" t="inlineStr">
        <is>
          <t>Hindi cinema</t>
        </is>
      </c>
      <c r="H178" s="5" t="inlineStr">
        <is>
          <t>A writer credited on one film in this filmography, with no Wikipedia article of their own.</t>
        </is>
      </c>
      <c r="I178" s="5" t="n"/>
      <c r="J178" s="5" t="inlineStr">
        <is>
          <t>With Khan: Mangal Pandey: The Rising (2005).</t>
        </is>
      </c>
      <c r="K178" s="19" t="n"/>
      <c r="L178" s="19" t="n"/>
      <c r="M178" s="5" t="n"/>
      <c r="N178" s="19" t="n"/>
      <c r="O178" s="19" t="inlineStr">
        <is>
          <t>One film with Khan, credited as writer: Mangal Pandey: The Rising (2005), directed by Ketan Mehta, with Khan in the lead as Mangal Pandey; verdict: Average.</t>
        </is>
      </c>
      <c r="P178" s="17" t="n">
        <v>1</v>
      </c>
      <c r="Q178" s="5" t="inlineStr">
        <is>
          <t>FILM-035</t>
        </is>
      </c>
      <c r="R178" s="5" t="inlineStr">
        <is>
          <t>Mangal Pandey: The Rising (2005)</t>
        </is>
      </c>
      <c r="S178" s="5" t="inlineStr">
        <is>
          <t>Ranjit Kapoor is credited as writer on Mangal Pandey: The Rising (2005). No Wikipedia article or other independent biography was located; this row is built from the film credit alone.</t>
        </is>
      </c>
      <c r="T178" s="5" t="inlineStr">
        <is>
          <t>SOURCE-041</t>
        </is>
      </c>
      <c r="U178" s="5" t="inlineStr">
        <is>
          <t>Low</t>
        </is>
      </c>
    </row>
    <row r="179" ht="64" customHeight="1">
      <c r="A179" s="15" t="inlineStr">
        <is>
          <t>PERSON-178</t>
        </is>
      </c>
      <c r="B179" s="5" t="inlineStr">
        <is>
          <t>Ratan Jain</t>
        </is>
      </c>
      <c r="C179" s="5" t="inlineStr">
        <is>
          <t>Producer</t>
        </is>
      </c>
      <c r="D179" s="18" t="n"/>
      <c r="E179" s="18" t="n"/>
      <c r="F179" s="5" t="n"/>
      <c r="G179" s="5" t="inlineStr">
        <is>
          <t>Hindi cinema</t>
        </is>
      </c>
      <c r="H179" s="5" t="inlineStr">
        <is>
          <t>A producer credited on one film in this filmography, with no Wikipedia article of their own.</t>
        </is>
      </c>
      <c r="I179" s="5" t="n"/>
      <c r="J179" s="5" t="inlineStr">
        <is>
          <t>With Khan: Akele Hum Akele Tum (1995).</t>
        </is>
      </c>
      <c r="K179" s="19" t="n"/>
      <c r="L179" s="19" t="n"/>
      <c r="M179" s="5" t="n"/>
      <c r="N179" s="19" t="n"/>
      <c r="O179" s="19" t="inlineStr">
        <is>
          <t>One film with Khan, credited as producer: Akele Hum Akele Tum (1995), directed by Mansoor Khan, with Khan in the lead as Rohit Kumar; verdict: Successful.</t>
        </is>
      </c>
      <c r="P179" s="17" t="n">
        <v>1</v>
      </c>
      <c r="Q179" s="5" t="inlineStr">
        <is>
          <t>FILM-025</t>
        </is>
      </c>
      <c r="R179" s="5" t="inlineStr">
        <is>
          <t>Akele Hum Akele Tum (1995)</t>
        </is>
      </c>
      <c r="S179" s="5" t="inlineStr">
        <is>
          <t>Ratan Jain is credited as producer on Akele Hum Akele Tum (1995). No Wikipedia article or other independent biography was located; this row is built from the film credit alone.</t>
        </is>
      </c>
      <c r="T179" s="5" t="inlineStr">
        <is>
          <t>SOURCE-031</t>
        </is>
      </c>
      <c r="U179" s="5" t="inlineStr">
        <is>
          <t>Low</t>
        </is>
      </c>
    </row>
    <row r="180" ht="64" customHeight="1">
      <c r="A180" s="15" t="inlineStr">
        <is>
          <t>PERSON-179</t>
        </is>
      </c>
      <c r="B180" s="5" t="inlineStr">
        <is>
          <t>Ratan Mukherjee</t>
        </is>
      </c>
      <c r="C180" s="5" t="inlineStr">
        <is>
          <t>Producer</t>
        </is>
      </c>
      <c r="D180" s="18" t="n"/>
      <c r="E180" s="18" t="n"/>
      <c r="F180" s="5" t="n"/>
      <c r="G180" s="5" t="inlineStr">
        <is>
          <t>Hindi cinema</t>
        </is>
      </c>
      <c r="H180" s="5" t="inlineStr">
        <is>
          <t>A producer credited on one film in this filmography, with no Wikipedia article of their own.</t>
        </is>
      </c>
      <c r="I180" s="5" t="n"/>
      <c r="J180" s="5" t="inlineStr">
        <is>
          <t>With Khan: Isi Ka Naam Zindagi (1992).</t>
        </is>
      </c>
      <c r="K180" s="19" t="n"/>
      <c r="L180" s="19" t="n"/>
      <c r="M180" s="5" t="n"/>
      <c r="N180" s="19" t="n"/>
      <c r="O180" s="19" t="inlineStr">
        <is>
          <t>One film with Khan, credited as producer: Isi Ka Naam Zindagi (1992), directed by Kalidas, with Khan in a co-lead as Chhotu; verdict: Box office failure.</t>
        </is>
      </c>
      <c r="P180" s="17" t="n">
        <v>1</v>
      </c>
      <c r="Q180" s="5" t="inlineStr">
        <is>
          <t>FILM-016</t>
        </is>
      </c>
      <c r="R180" s="5" t="inlineStr">
        <is>
          <t>Isi Ka Naam Zindagi (1992)</t>
        </is>
      </c>
      <c r="S180" s="5" t="inlineStr">
        <is>
          <t>Ratan Mukherjee is credited as producer on Isi Ka Naam Zindagi (1992). No Wikipedia article or other independent biography was located; this row is built from the film credit alone.</t>
        </is>
      </c>
      <c r="T180" s="5" t="inlineStr">
        <is>
          <t>SOURCE-022</t>
        </is>
      </c>
      <c r="U180" s="5" t="inlineStr">
        <is>
          <t>Low</t>
        </is>
      </c>
    </row>
    <row r="181" ht="79" customHeight="1">
      <c r="A181" s="15" t="inlineStr">
        <is>
          <t>PERSON-180</t>
        </is>
      </c>
      <c r="B181" s="5" t="inlineStr">
        <is>
          <t>Rensil D'Silva</t>
        </is>
      </c>
      <c r="C181" s="5" t="inlineStr">
        <is>
          <t>Writer</t>
        </is>
      </c>
      <c r="D181" s="18" t="n"/>
      <c r="E181" s="18" t="n"/>
      <c r="F181" s="5" t="n"/>
      <c r="G181" s="5" t="inlineStr">
        <is>
          <t>Hindi cinema</t>
        </is>
      </c>
      <c r="H181" s="5" t="inlineStr">
        <is>
          <t>An advertising creative director with nearly two decades at agencies including JWT, Rediffusion, Saatchi &amp; Saatchi and Ogilvy &amp; Mather, where he started its second agency Meridian in 2008; also an ad filmmaker.</t>
        </is>
      </c>
      <c r="I181" s="5" t="inlineStr">
        <is>
          <t>Story writer for Aks (2001).</t>
        </is>
      </c>
      <c r="J181" s="5" t="inlineStr">
        <is>
          <t>With Khan: Rang De Basanti (2006). Wider work: Aks, Johnny Mastana (screenplay); directed Kurbaan (2009).</t>
        </is>
      </c>
      <c r="K181" s="19" t="inlineStr">
        <is>
          <t>Political drama and thrillers.</t>
        </is>
      </c>
      <c r="L181" s="19" t="n"/>
      <c r="M181" s="5" t="n"/>
      <c r="N181" s="19" t="n"/>
      <c r="O181" s="19" t="inlineStr">
        <is>
          <t>Co-wrote the screenplay of Rang De Basanti, which was nominated for the BAFTA for Best Film Not in the English Language.</t>
        </is>
      </c>
      <c r="P181" s="17" t="n">
        <v>1</v>
      </c>
      <c r="Q181" s="5" t="inlineStr">
        <is>
          <t>FILM-036</t>
        </is>
      </c>
      <c r="R181" s="5" t="inlineStr">
        <is>
          <t>Rang De Basanti (2006)</t>
        </is>
      </c>
      <c r="S181" s="5" t="inlineStr">
        <is>
          <t>Rensil D'Silva came from advertising and began writing films with the story of Rakeysh Omprakash Mehra's Aks (2001). He co-wrote Mehra's Rang De Basanti (2006), in which Aamir Khan plays one of a group of Delhi students drawn into protest while acting in a film about revolutionaries; it was a major commercial success and received a BAFTA nomination. Karan Johar then gave him Kurbaan (2009) to direct.</t>
        </is>
      </c>
      <c r="T181" s="5" t="inlineStr">
        <is>
          <t>SOURCE-191; SOURCE-042</t>
        </is>
      </c>
      <c r="U181" s="5" t="inlineStr">
        <is>
          <t>Medium</t>
        </is>
      </c>
    </row>
    <row r="182" ht="64" customHeight="1">
      <c r="A182" s="15" t="inlineStr">
        <is>
          <t>PERSON-181</t>
        </is>
      </c>
      <c r="B182" s="5" t="inlineStr">
        <is>
          <t>Revathi</t>
        </is>
      </c>
      <c r="C182" s="5" t="inlineStr">
        <is>
          <t>Director; actress</t>
        </is>
      </c>
      <c r="D182" s="17" t="n">
        <v>1966</v>
      </c>
      <c r="E182" s="18" t="n"/>
      <c r="F182" s="5" t="inlineStr">
        <is>
          <t>1983–present</t>
        </is>
      </c>
      <c r="G182" s="5" t="inlineStr">
        <is>
          <t>Tamil and Malayalam cinema; Hindi cinema</t>
        </is>
      </c>
      <c r="H182" s="5" t="inlineStr">
        <is>
          <t>An actress, director, voice actress and Bharatanatyam dancer, born Asha Kelunni, regarded as one of South Indian cinema's most accomplished actresses.</t>
        </is>
      </c>
      <c r="I182" s="5" t="inlineStr">
        <is>
          <t>As actress, Mann Vasanai (1983); as director, Mitr, My Friend (2002).</t>
        </is>
      </c>
      <c r="J182" s="5" t="inlineStr">
        <is>
          <t>With Khan: Salaam Venky (2022). As actress: Mouna Ragam, Kizhakku Vasal, Thevar Magan.</t>
        </is>
      </c>
      <c r="K182" s="19" t="n"/>
      <c r="L182" s="19" t="n"/>
      <c r="M182" s="5" t="inlineStr">
        <is>
          <t>Three National Film Awards; seven Filmfare Awards South; Kalaimamani (1993).</t>
        </is>
      </c>
      <c r="N182" s="19" t="n"/>
      <c r="O182" s="19" t="inlineStr">
        <is>
          <t>Directed Salaam Venky, a drama about a young man with muscular dystrophy and his mother, in which Khan has a cameo.</t>
        </is>
      </c>
      <c r="P182" s="17" t="n">
        <v>1</v>
      </c>
      <c r="Q182" s="5" t="inlineStr">
        <is>
          <t>FILM-054</t>
        </is>
      </c>
      <c r="R182" s="5" t="inlineStr">
        <is>
          <t>Salaam Venky (2022)</t>
        </is>
      </c>
      <c r="S182" s="5" t="inlineStr">
        <is>
          <t>Revathi became a leading Tamil and Malayalam actress after Mann Vasanai (1983), winning National Awards and seven Filmfare Awards South, and later turned to directing. Salaam Venky (2022), her Hindi film starring Kajol as the mother of a young chess player with Duchenne muscular dystrophy who wants to donate his organs, includes a cameo by Aamir Khan.</t>
        </is>
      </c>
      <c r="T182" s="5" t="inlineStr">
        <is>
          <t>SOURCE-192; SOURCE-060</t>
        </is>
      </c>
      <c r="U182" s="5" t="inlineStr">
        <is>
          <t>Medium</t>
        </is>
      </c>
    </row>
    <row r="183" ht="64" customHeight="1">
      <c r="A183" s="15" t="inlineStr">
        <is>
          <t>PERSON-182</t>
        </is>
      </c>
      <c r="B183" s="5" t="inlineStr">
        <is>
          <t>Rochak Kohli</t>
        </is>
      </c>
      <c r="C183" s="5" t="inlineStr">
        <is>
          <t>Song composer</t>
        </is>
      </c>
      <c r="D183" s="18" t="n"/>
      <c r="E183" s="18" t="n"/>
      <c r="F183" s="5" t="n"/>
      <c r="G183" s="5" t="inlineStr">
        <is>
          <t>Hindi cinema</t>
        </is>
      </c>
      <c r="H183" s="5" t="inlineStr">
        <is>
          <t>A Chandigarh-born Hindi-film composer and singer, a qualified lawyer and former national creative head of BIG FM.</t>
        </is>
      </c>
      <c r="I183" s="5" t="inlineStr">
        <is>
          <t>'Pani Da Rang' in Vicky Donor (2012).</t>
        </is>
      </c>
      <c r="J183" s="5" t="inlineStr">
        <is>
          <t>With Khan: Koi Jaane Na (2021). Wider work: 'Paaniyon Sa' (Satyameva Jayate), 'Tera Yaar Hoon Main' (Sonu Ke Titu Ki Sweety), 'Lae Dooba' (Aiyaary).</t>
        </is>
      </c>
      <c r="K183" s="19" t="inlineStr">
        <is>
          <t>Soft romantic songs.</t>
        </is>
      </c>
      <c r="L183" s="19" t="n"/>
      <c r="M183" s="5" t="n"/>
      <c r="N183" s="19" t="n"/>
      <c r="O183" s="19" t="inlineStr">
        <is>
          <t>Composed songs for Koi Jaane Na, in which Khan appears in a song.</t>
        </is>
      </c>
      <c r="P183" s="17" t="n">
        <v>1</v>
      </c>
      <c r="Q183" s="5" t="inlineStr">
        <is>
          <t>FILM-052</t>
        </is>
      </c>
      <c r="R183" s="5" t="inlineStr">
        <is>
          <t>Koi Jaane Na (2021)</t>
        </is>
      </c>
      <c r="S183" s="5" t="inlineStr">
        <is>
          <t>Rochak Kohli studied law at Panjab University and worked in radio before his music debut with 'Pani Da Rang' in Vicky Donor (2012). He is one of the song composers of Koi Jaane Na (2021), the thriller in which Aamir Khan makes a self appearance in a song.</t>
        </is>
      </c>
      <c r="T183" s="5" t="inlineStr">
        <is>
          <t>SOURCE-193; SOURCE-058</t>
        </is>
      </c>
      <c r="U183" s="5" t="inlineStr">
        <is>
          <t>Medium</t>
        </is>
      </c>
    </row>
    <row r="184" ht="64" customHeight="1">
      <c r="A184" s="15" t="inlineStr">
        <is>
          <t>PERSON-183</t>
        </is>
      </c>
      <c r="B184" s="5" t="inlineStr">
        <is>
          <t>RTake Studios</t>
        </is>
      </c>
      <c r="C184" s="5" t="inlineStr">
        <is>
          <t>Production banner</t>
        </is>
      </c>
      <c r="D184" s="18" t="n"/>
      <c r="E184" s="18" t="n"/>
      <c r="F184" s="5" t="n"/>
      <c r="G184" s="5" t="inlineStr">
        <is>
          <t>Hindi cinema</t>
        </is>
      </c>
      <c r="H184" s="5" t="inlineStr">
        <is>
          <t>A production banner credited on one film in this filmography, with no Wikipedia article of its own.</t>
        </is>
      </c>
      <c r="I184" s="5" t="n"/>
      <c r="J184" s="5" t="inlineStr">
        <is>
          <t>With Khan: Salaam Venky (2022).</t>
        </is>
      </c>
      <c r="K184" s="19" t="n"/>
      <c r="L184" s="19" t="n"/>
      <c r="M184" s="5" t="n"/>
      <c r="N184" s="19" t="n"/>
      <c r="O184" s="19" t="inlineStr">
        <is>
          <t>One film with Khan, credited as production banner: Salaam Venky (2022), directed by Revathi, with Khan in a cameo as Sujata's illusion.</t>
        </is>
      </c>
      <c r="P184" s="17" t="n">
        <v>1</v>
      </c>
      <c r="Q184" s="5" t="inlineStr">
        <is>
          <t>FILM-054</t>
        </is>
      </c>
      <c r="R184" s="5" t="inlineStr">
        <is>
          <t>Salaam Venky (2022)</t>
        </is>
      </c>
      <c r="S184" s="5" t="inlineStr">
        <is>
          <t>RTake Studios is credited as production banner on Salaam Venky (2022). No Wikipedia article or other independent biography was located for the company; this row is built from the film credit alone.</t>
        </is>
      </c>
      <c r="T184" s="5" t="inlineStr">
        <is>
          <t>SOURCE-060</t>
        </is>
      </c>
      <c r="U184" s="5" t="inlineStr">
        <is>
          <t>Low</t>
        </is>
      </c>
    </row>
    <row r="185" ht="64" customHeight="1">
      <c r="A185" s="15" t="inlineStr">
        <is>
          <t>PERSON-184</t>
        </is>
      </c>
      <c r="B185" s="5" t="inlineStr">
        <is>
          <t>S. A. Kader</t>
        </is>
      </c>
      <c r="C185" s="5" t="inlineStr">
        <is>
          <t>Director</t>
        </is>
      </c>
      <c r="D185" s="18" t="n"/>
      <c r="E185" s="18" t="n"/>
      <c r="F185" s="5" t="n"/>
      <c r="G185" s="5" t="inlineStr">
        <is>
          <t>Hindi cinema</t>
        </is>
      </c>
      <c r="H185" s="5" t="inlineStr">
        <is>
          <t>A director credited on one film in this filmography, with no Wikipedia article of their own.</t>
        </is>
      </c>
      <c r="I185" s="5" t="n"/>
      <c r="J185" s="5" t="inlineStr">
        <is>
          <t>With Khan: Daulat Ki Jung (1992).</t>
        </is>
      </c>
      <c r="K185" s="19" t="n"/>
      <c r="L185" s="19" t="n"/>
      <c r="M185" s="5" t="n"/>
      <c r="N185" s="19" t="n"/>
      <c r="O185" s="19" t="inlineStr">
        <is>
          <t>One film with Khan, credited as director: Daulat Ki Jung (1992), with Khan in the lead as Rajesh Chaudhry; verdict: Box office failure.</t>
        </is>
      </c>
      <c r="P185" s="17" t="n">
        <v>1</v>
      </c>
      <c r="Q185" s="5" t="inlineStr">
        <is>
          <t>FILM-014</t>
        </is>
      </c>
      <c r="R185" s="5" t="inlineStr">
        <is>
          <t>Daulat Ki Jung (1992)</t>
        </is>
      </c>
      <c r="S185" s="5" t="inlineStr">
        <is>
          <t>S. A. Kader is credited as director on Daulat Ki Jung (1992). No Wikipedia article or other independent biography was located; this row is built from the film credit alone.</t>
        </is>
      </c>
      <c r="T185" s="5" t="inlineStr">
        <is>
          <t>SOURCE-020</t>
        </is>
      </c>
      <c r="U185" s="5" t="inlineStr">
        <is>
          <t>Low</t>
        </is>
      </c>
    </row>
    <row r="186" ht="64" customHeight="1">
      <c r="A186" s="15" t="inlineStr">
        <is>
          <t>PERSON-185</t>
        </is>
      </c>
      <c r="B186" s="5" t="inlineStr">
        <is>
          <t>Salim Akhtar</t>
        </is>
      </c>
      <c r="C186" s="5" t="inlineStr">
        <is>
          <t>Producer</t>
        </is>
      </c>
      <c r="D186" s="18" t="n"/>
      <c r="E186" s="18" t="n"/>
      <c r="F186" s="5" t="n"/>
      <c r="G186" s="5" t="inlineStr">
        <is>
          <t>Hindi cinema</t>
        </is>
      </c>
      <c r="H186" s="5" t="inlineStr">
        <is>
          <t>A producer credited on one film in this filmography, with no Wikipedia article of their own.</t>
        </is>
      </c>
      <c r="I186" s="5" t="n"/>
      <c r="J186" s="5" t="inlineStr">
        <is>
          <t>With Khan: Baazi (1995).</t>
        </is>
      </c>
      <c r="K186" s="19" t="n"/>
      <c r="L186" s="19" t="n"/>
      <c r="M186" s="5" t="n"/>
      <c r="N186" s="19" t="n"/>
      <c r="O186" s="19" t="inlineStr">
        <is>
          <t>One film with Khan, credited as producer: Baazi (1995), directed by Ashutosh Gowariker, with Khan in the lead as Inspector Amar Damjee Rathod.</t>
        </is>
      </c>
      <c r="P186" s="17" t="n">
        <v>1</v>
      </c>
      <c r="Q186" s="5" t="inlineStr">
        <is>
          <t>FILM-022</t>
        </is>
      </c>
      <c r="R186" s="5" t="inlineStr">
        <is>
          <t>Baazi (1995)</t>
        </is>
      </c>
      <c r="S186" s="5" t="inlineStr">
        <is>
          <t>Salim Akhtar is credited as producer on Baazi (1995). No Wikipedia article or other independent biography was located; this row is built from the film credit alone.</t>
        </is>
      </c>
      <c r="T186" s="5" t="inlineStr">
        <is>
          <t>SOURCE-028</t>
        </is>
      </c>
      <c r="U186" s="5" t="inlineStr">
        <is>
          <t>Low</t>
        </is>
      </c>
    </row>
    <row r="187" ht="64" customHeight="1">
      <c r="A187" s="15" t="inlineStr">
        <is>
          <t>PERSON-186</t>
        </is>
      </c>
      <c r="B187" s="5" t="inlineStr">
        <is>
          <t>Salim–Javed</t>
        </is>
      </c>
      <c r="C187" s="5" t="inlineStr">
        <is>
          <t>Writer (screenwriting duo)</t>
        </is>
      </c>
      <c r="D187" s="18" t="n"/>
      <c r="E187" s="18" t="n"/>
      <c r="F187" s="5" t="n"/>
      <c r="G187" s="5" t="inlineStr">
        <is>
          <t>Hindi cinema</t>
        </is>
      </c>
      <c r="H187" s="5" t="inlineStr">
        <is>
          <t>The screenwriting duo of Salim Khan and Javed Akhtar, among the first Indian screenwriters to achieve star status; they wrote 24 films together between 1971 and 1987, 20 of them successes.</t>
        </is>
      </c>
      <c r="I187" s="5" t="inlineStr">
        <is>
          <t>Andaz and Haathi Mere Saathi (1971); breakthrough Zanjeer (1973).</t>
        </is>
      </c>
      <c r="J187" s="5" t="inlineStr">
        <is>
          <t>With Khan: Yaadon Ki Baaraat (1973). Wider work: Seeta Aur Geeta, Zanjeer, Deewaar, Sholay, Trishul, Don.</t>
        </is>
      </c>
      <c r="K187" s="19" t="inlineStr">
        <is>
          <t>The angry young man, the masala film, the dacoit western and the Bombay underworld film.</t>
        </is>
      </c>
      <c r="L187" s="19" t="n"/>
      <c r="M187" s="5" t="n"/>
      <c r="N187" s="19" t="inlineStr">
        <is>
          <t>Regarded among Hindi cinema's greatest screenwriters.</t>
        </is>
      </c>
      <c r="O187" s="19" t="inlineStr">
        <is>
          <t>Wrote Nasir Hussain's Yaadon Ki Baaraat, in which the eight-year-old Khan appears as the young version of Tariq Khan's character in his first screen role.</t>
        </is>
      </c>
      <c r="P187" s="17" t="n">
        <v>1</v>
      </c>
      <c r="Q187" s="5" t="inlineStr">
        <is>
          <t>FILM-001</t>
        </is>
      </c>
      <c r="R187" s="5" t="inlineStr">
        <is>
          <t>Yaadon Ki Baaraat (1973)</t>
        </is>
      </c>
      <c r="S187" s="5" t="inlineStr">
        <is>
          <t>Salim Khan and Javed Akhtar transformed Hindi cinema in the 1970s, creating Amitabh Bachchan's 'angry young man' in Zanjeer and Deewaar and the template of the masala blockbuster with Sholay. They wrote Yaadon Ki Baaraat (1973) for Nasir Hussain, the story of brothers separated as children and reunited by a family song, which gave Hussain's nephew Aamir Khan his first screen appearance as one of the boys. The duo split in 1982.</t>
        </is>
      </c>
      <c r="T187" s="5" t="inlineStr">
        <is>
          <t>SOURCE-194; SOURCE-004</t>
        </is>
      </c>
      <c r="U187" s="5" t="inlineStr">
        <is>
          <t>Medium</t>
        </is>
      </c>
    </row>
    <row r="188" ht="64" customHeight="1">
      <c r="A188" s="15" t="inlineStr">
        <is>
          <t>PERSON-187</t>
        </is>
      </c>
      <c r="B188" s="5" t="inlineStr">
        <is>
          <t>Salim–Sulaiman</t>
        </is>
      </c>
      <c r="C188" s="5" t="inlineStr">
        <is>
          <t>Background-score composer (composing duo)</t>
        </is>
      </c>
      <c r="D188" s="18" t="n"/>
      <c r="E188" s="18" t="n"/>
      <c r="F188" s="5" t="inlineStr">
        <is>
          <t>1993–present</t>
        </is>
      </c>
      <c r="G188" s="5" t="inlineStr">
        <is>
          <t>Hindi cinema</t>
        </is>
      </c>
      <c r="H188" s="5" t="inlineStr">
        <is>
          <t>A composing duo of the brothers Salim and Sulaiman Merchant from a Kutchi family, who began in Indi-pop and advertising.</t>
        </is>
      </c>
      <c r="I188" s="5" t="n"/>
      <c r="J188" s="5" t="inlineStr">
        <is>
          <t>With Khan: Fanaa (2006). Wider work: Chak De! India, Rab Ne Bana Di Jodi, Fashion, Band Baaja Baaraat.</t>
        </is>
      </c>
      <c r="K188" s="19" t="inlineStr">
        <is>
          <t>Contemporary orchestral scoring and songs for Yash Raj Films.</t>
        </is>
      </c>
      <c r="L188" s="19" t="n"/>
      <c r="M188" s="5" t="n"/>
      <c r="N188" s="19" t="n"/>
      <c r="O188" s="19" t="inlineStr">
        <is>
          <t>Wrote the background score of Fanaa, with Khan as a Kashmiri militant in love with a blind woman; it was a major commercial success.</t>
        </is>
      </c>
      <c r="P188" s="17" t="n">
        <v>1</v>
      </c>
      <c r="Q188" s="5" t="inlineStr">
        <is>
          <t>FILM-037</t>
        </is>
      </c>
      <c r="R188" s="5" t="inlineStr">
        <is>
          <t>Fanaa (2006)</t>
        </is>
      </c>
      <c r="S188" s="5" t="inlineStr">
        <is>
          <t>Salim and Sulaiman Merchant composed for Indi-pop acts and commercials before becoming regular composers for Yash Raj Films, scoring Chak De! India and Rab Ne Bana Di Jodi. They wrote the background score of Fanaa (2006), Kunal Kohli's romance in which Aamir Khan plays Rehan, a tour guide who seduces a blind Kashmiri woman (Kajol) and is revealed to be a militant.</t>
        </is>
      </c>
      <c r="T188" s="5" t="inlineStr">
        <is>
          <t>SOURCE-195; SOURCE-043</t>
        </is>
      </c>
      <c r="U188" s="5" t="inlineStr">
        <is>
          <t>Medium</t>
        </is>
      </c>
    </row>
    <row r="189" ht="49" customHeight="1">
      <c r="A189" s="15" t="inlineStr">
        <is>
          <t>PERSON-188</t>
        </is>
      </c>
      <c r="B189" s="5" t="inlineStr">
        <is>
          <t>Sammeer Arora</t>
        </is>
      </c>
      <c r="C189" s="5" t="inlineStr">
        <is>
          <t>Writer</t>
        </is>
      </c>
      <c r="D189" s="18" t="n"/>
      <c r="E189" s="18" t="n"/>
      <c r="F189" s="5" t="n"/>
      <c r="G189" s="5" t="inlineStr">
        <is>
          <t>Hindi cinema</t>
        </is>
      </c>
      <c r="H189" s="5" t="inlineStr">
        <is>
          <t>A writer credited on one film in this filmography, with no Wikipedia article of their own.</t>
        </is>
      </c>
      <c r="I189" s="5" t="n"/>
      <c r="J189" s="5" t="inlineStr">
        <is>
          <t>With Khan: Salaam Venky (2022).</t>
        </is>
      </c>
      <c r="K189" s="19" t="n"/>
      <c r="L189" s="19" t="n"/>
      <c r="M189" s="5" t="n"/>
      <c r="N189" s="19" t="n"/>
      <c r="O189" s="19" t="inlineStr">
        <is>
          <t>One film with Khan, credited as writer: Salaam Venky (2022), directed by Revathi, with Khan in a cameo as Sujata's illusion.</t>
        </is>
      </c>
      <c r="P189" s="17" t="n">
        <v>1</v>
      </c>
      <c r="Q189" s="5" t="inlineStr">
        <is>
          <t>FILM-054</t>
        </is>
      </c>
      <c r="R189" s="5" t="inlineStr">
        <is>
          <t>Salaam Venky (2022)</t>
        </is>
      </c>
      <c r="S189" s="5" t="inlineStr">
        <is>
          <t>Sammeer Arora is credited as writer on Salaam Venky (2022). No Wikipedia article or other independent biography was located; this row is built from the film credit alone.</t>
        </is>
      </c>
      <c r="T189" s="5" t="inlineStr">
        <is>
          <t>SOURCE-060</t>
        </is>
      </c>
      <c r="U189" s="5" t="inlineStr">
        <is>
          <t>Low</t>
        </is>
      </c>
    </row>
    <row r="190" ht="64" customHeight="1">
      <c r="A190" s="15" t="inlineStr">
        <is>
          <t>PERSON-189</t>
        </is>
      </c>
      <c r="B190" s="5" t="inlineStr">
        <is>
          <t>Sangeeth Sivan</t>
        </is>
      </c>
      <c r="C190" s="5" t="inlineStr">
        <is>
          <t>Producer (executive producer)</t>
        </is>
      </c>
      <c r="D190" s="18" t="n"/>
      <c r="E190" s="18" t="n"/>
      <c r="F190" s="5" t="n"/>
      <c r="G190" s="5" t="inlineStr">
        <is>
          <t>Malayalam and Hindi cinema</t>
        </is>
      </c>
      <c r="H190" s="5" t="inlineStr">
        <is>
          <t>A Malayalam and Hindi film director and screenwriter, who started as executive producer of Raakh when Basu Bhattacharya brought him on board for his son Aditya's debut.</t>
        </is>
      </c>
      <c r="I190" s="5" t="inlineStr">
        <is>
          <t>As producer, Raakh (1989); as director, Vyooham (1990).</t>
        </is>
      </c>
      <c r="J190" s="5" t="inlineStr">
        <is>
          <t>With Khan: Raakh (1989). As director: Vyooham, Yodha, Gandharvam, Zor, Kyaa Kool Hai Hum, Apna Sapna Money Money, Yamla Pagla Deewana 2.</t>
        </is>
      </c>
      <c r="K190" s="19" t="inlineStr">
        <is>
          <t>Malayalam action thrillers; Hindi comedies.</t>
        </is>
      </c>
      <c r="L190" s="19" t="n"/>
      <c r="M190" s="5" t="n"/>
      <c r="N190" s="19" t="n"/>
      <c r="O190" s="19" t="inlineStr">
        <is>
          <t>Produced Raakh, Aditya Bhattacharya's debut, with Khan and Pankaj Kapur.</t>
        </is>
      </c>
      <c r="P190" s="17" t="n">
        <v>1</v>
      </c>
      <c r="Q190" s="5" t="inlineStr">
        <is>
          <t>FILM-005</t>
        </is>
      </c>
      <c r="R190" s="5" t="inlineStr">
        <is>
          <t>Raakh (1989)</t>
        </is>
      </c>
      <c r="S190" s="5" t="inlineStr">
        <is>
          <t>Sangeeth Sivan began in film as executive producer of Raakh (1989), Aditya Bhattacharya's dark revenge thriller starring Aamir Khan and Pankaj Kapur, at the invitation of Basu Bhattacharya. He then directed the Malayalam hits Vyooham and Yodha with Mohanlal before moving into Hindi with Zor, Kyaa Kool Hai Hum and Apna Sapna Money Money. He died on 8 May 2024; his birth year is uncertain (1958 or 1959) and is left blank.</t>
        </is>
      </c>
      <c r="T190" s="5" t="inlineStr">
        <is>
          <t>SOURCE-196; SOURCE-008</t>
        </is>
      </c>
      <c r="U190" s="5" t="inlineStr">
        <is>
          <t>Medium</t>
        </is>
      </c>
    </row>
    <row r="191" ht="64" customHeight="1">
      <c r="A191" s="15" t="inlineStr">
        <is>
          <t>PERSON-190</t>
        </is>
      </c>
      <c r="B191" s="5" t="inlineStr">
        <is>
          <t>Sanjay Dayma</t>
        </is>
      </c>
      <c r="C191" s="5" t="inlineStr">
        <is>
          <t>Writer</t>
        </is>
      </c>
      <c r="D191" s="18" t="n"/>
      <c r="E191" s="18" t="n"/>
      <c r="F191" s="5" t="n"/>
      <c r="G191" s="5" t="inlineStr">
        <is>
          <t>Hindi cinema</t>
        </is>
      </c>
      <c r="H191" s="5" t="inlineStr">
        <is>
          <t>A writer credited on one film in this filmography, with no Wikipedia article of their own.</t>
        </is>
      </c>
      <c r="I191" s="5" t="n"/>
      <c r="J191" s="5" t="inlineStr">
        <is>
          <t>With Khan: Lagaan (2001).</t>
        </is>
      </c>
      <c r="K191" s="19" t="n"/>
      <c r="L191" s="19" t="n"/>
      <c r="M191" s="5" t="n"/>
      <c r="N191" s="19" t="n"/>
      <c r="O191" s="19" t="inlineStr">
        <is>
          <t>One film with Khan, credited as writer: Lagaan (2001), directed by Ashutosh Gowariker, with Khan in the lead as Bhuvan; verdict: Hit.</t>
        </is>
      </c>
      <c r="P191" s="17" t="n">
        <v>1</v>
      </c>
      <c r="Q191" s="5" t="inlineStr">
        <is>
          <t>FILM-033</t>
        </is>
      </c>
      <c r="R191" s="5" t="inlineStr">
        <is>
          <t>Lagaan (2001)</t>
        </is>
      </c>
      <c r="S191" s="5" t="inlineStr">
        <is>
          <t>Sanjay Dayma is credited as writer on Lagaan (2001). No Wikipedia article or other independent biography was located; this row is built from the film credit alone.</t>
        </is>
      </c>
      <c r="T191" s="5" t="inlineStr">
        <is>
          <t>SOURCE-039</t>
        </is>
      </c>
      <c r="U191" s="5" t="inlineStr">
        <is>
          <t>Low</t>
        </is>
      </c>
    </row>
    <row r="192" ht="49" customHeight="1">
      <c r="A192" s="15" t="inlineStr">
        <is>
          <t>PERSON-191</t>
        </is>
      </c>
      <c r="B192" s="5" t="inlineStr">
        <is>
          <t>Sanjay Seksaria</t>
        </is>
      </c>
      <c r="C192" s="5" t="inlineStr">
        <is>
          <t>Producer</t>
        </is>
      </c>
      <c r="D192" s="18" t="n"/>
      <c r="E192" s="18" t="n"/>
      <c r="F192" s="5" t="n"/>
      <c r="G192" s="5" t="inlineStr">
        <is>
          <t>Hindi cinema</t>
        </is>
      </c>
      <c r="H192" s="5" t="inlineStr">
        <is>
          <t>A producer credited on one film in this filmography, with no Wikipedia article of their own.</t>
        </is>
      </c>
      <c r="I192" s="5" t="n"/>
      <c r="J192" s="5" t="inlineStr">
        <is>
          <t>With Khan: Afsana Pyar Ka (1991).</t>
        </is>
      </c>
      <c r="K192" s="19" t="n"/>
      <c r="L192" s="19" t="n"/>
      <c r="M192" s="5" t="n"/>
      <c r="N192" s="19" t="n"/>
      <c r="O192" s="19" t="inlineStr">
        <is>
          <t>One film with Khan, credited as producer: Afsana Pyar Ka (1991), directed by M. R. Shahjahan, with Khan in the lead as Raj.</t>
        </is>
      </c>
      <c r="P192" s="17" t="n">
        <v>1</v>
      </c>
      <c r="Q192" s="5" t="inlineStr">
        <is>
          <t>FILM-012</t>
        </is>
      </c>
      <c r="R192" s="5" t="inlineStr">
        <is>
          <t>Afsana Pyar Ka (1991)</t>
        </is>
      </c>
      <c r="S192" s="5" t="inlineStr">
        <is>
          <t>Sanjay Seksaria is credited as producer on Afsana Pyar Ka (1991). No Wikipedia article or other independent biography was located; this row is built from the film credit alone.</t>
        </is>
      </c>
      <c r="T192" s="5" t="inlineStr">
        <is>
          <t>SOURCE-017</t>
        </is>
      </c>
      <c r="U192" s="5" t="inlineStr">
        <is>
          <t>Low</t>
        </is>
      </c>
    </row>
    <row r="193" ht="49" customHeight="1">
      <c r="A193" s="15" t="inlineStr">
        <is>
          <t>PERSON-192</t>
        </is>
      </c>
      <c r="B193" s="5" t="inlineStr">
        <is>
          <t>Sanjeev Duggal</t>
        </is>
      </c>
      <c r="C193" s="5" t="inlineStr">
        <is>
          <t>Writer</t>
        </is>
      </c>
      <c r="D193" s="18" t="n"/>
      <c r="E193" s="18" t="n"/>
      <c r="F193" s="5" t="n"/>
      <c r="G193" s="5" t="inlineStr">
        <is>
          <t>Hindi cinema</t>
        </is>
      </c>
      <c r="H193" s="5" t="inlineStr">
        <is>
          <t>A writer credited on one film in this filmography, with no Wikipedia article of their own.</t>
        </is>
      </c>
      <c r="I193" s="5" t="n"/>
      <c r="J193" s="5" t="inlineStr">
        <is>
          <t>With Khan: Mela (2000).</t>
        </is>
      </c>
      <c r="K193" s="19" t="n"/>
      <c r="L193" s="19" t="n"/>
      <c r="M193" s="5" t="n"/>
      <c r="N193" s="19" t="n"/>
      <c r="O193" s="19" t="inlineStr">
        <is>
          <t>One film with Khan, credited as writer: Mela (2000), directed by Dharmesh Darshan, with Khan in the lead as Kishan Pyare.</t>
        </is>
      </c>
      <c r="P193" s="17" t="n">
        <v>1</v>
      </c>
      <c r="Q193" s="5" t="inlineStr">
        <is>
          <t>FILM-032</t>
        </is>
      </c>
      <c r="R193" s="5" t="inlineStr">
        <is>
          <t>Mela (2000)</t>
        </is>
      </c>
      <c r="S193" s="5" t="inlineStr">
        <is>
          <t>Sanjeev Duggal is credited as writer on Mela (2000). No Wikipedia article or other independent biography was located; this row is built from the film credit alone.</t>
        </is>
      </c>
      <c r="T193" s="5" t="inlineStr">
        <is>
          <t>SOURCE-038</t>
        </is>
      </c>
      <c r="U193" s="5" t="inlineStr">
        <is>
          <t>Low</t>
        </is>
      </c>
    </row>
    <row r="194" ht="64" customHeight="1">
      <c r="A194" s="15" t="inlineStr">
        <is>
          <t>PERSON-193</t>
        </is>
      </c>
      <c r="B194" s="5" t="inlineStr">
        <is>
          <t>Sanjeev–Darshan</t>
        </is>
      </c>
      <c r="C194" s="5" t="inlineStr">
        <is>
          <t>Song composer (composing duo)</t>
        </is>
      </c>
      <c r="D194" s="18" t="n"/>
      <c r="E194" s="18" t="n"/>
      <c r="F194" s="5" t="inlineStr">
        <is>
          <t>1999–present</t>
        </is>
      </c>
      <c r="G194" s="5" t="inlineStr">
        <is>
          <t>Hindi cinema</t>
        </is>
      </c>
      <c r="H194" s="5" t="inlineStr">
        <is>
          <t>A composing duo of the brothers Sanjeev and Darshan Rathod, sons of Shravan Rathod of Nadeem–Shravan and nephews of the singers Vinod and Roop Kumar Rathod.</t>
        </is>
      </c>
      <c r="I194" s="5" t="inlineStr">
        <is>
          <t>Mann (1999), their first released soundtrack.</t>
        </is>
      </c>
      <c r="J194" s="5" t="inlineStr">
        <is>
          <t>With Khan: Mann (1999). Wider work: Tumse Achcha Kaun Hai, Kyaa Dil Ne Kahaa.</t>
        </is>
      </c>
      <c r="K194" s="19" t="inlineStr">
        <is>
          <t>Melodic romantic songs in the Nadeem–Shravan tradition.</t>
        </is>
      </c>
      <c r="L194" s="19" t="n"/>
      <c r="M194" s="5" t="n"/>
      <c r="N194" s="19" t="n"/>
      <c r="O194" s="19" t="inlineStr">
        <is>
          <t>Their debut soundtrack, for Indra Kumar's romance Mann, with Khan as a playboy who falls for a woman promised to another; it was profitable.</t>
        </is>
      </c>
      <c r="P194" s="17" t="n">
        <v>1</v>
      </c>
      <c r="Q194" s="5" t="inlineStr">
        <is>
          <t>FILM-030</t>
        </is>
      </c>
      <c r="R194" s="5" t="inlineStr">
        <is>
          <t>Mann (1999)</t>
        </is>
      </c>
      <c r="S194" s="5" t="inlineStr">
        <is>
          <t>Sanjeev and Darshan Rathod grew up in a musical family — their father is Shravan of Nadeem–Shravan — with Sanjeev trained in classical music and Darshan largely self-taught. Their first released soundtrack was Mann (1999), Indra Kumar's remake of An Affair to Remember, in which Aamir Khan and Manisha Koirala meet on a cruise and agree to reunite six months later. The film was profitable and its songs did well.</t>
        </is>
      </c>
      <c r="T194" s="5" t="inlineStr">
        <is>
          <t>SOURCE-197; SOURCE-037</t>
        </is>
      </c>
      <c r="U194" s="5" t="inlineStr">
        <is>
          <t>Medium</t>
        </is>
      </c>
    </row>
    <row r="195" ht="64" customHeight="1">
      <c r="A195" s="15" t="inlineStr">
        <is>
          <t>PERSON-194</t>
        </is>
      </c>
      <c r="B195" s="5" t="inlineStr">
        <is>
          <t>Sanjoy Chowdhury</t>
        </is>
      </c>
      <c r="C195" s="5" t="inlineStr">
        <is>
          <t>Background-score composer</t>
        </is>
      </c>
      <c r="D195" s="18" t="n"/>
      <c r="E195" s="18" t="n"/>
      <c r="F195" s="5" t="n"/>
      <c r="G195" s="5" t="inlineStr">
        <is>
          <t>Hindi cinema</t>
        </is>
      </c>
      <c r="H195" s="5" t="inlineStr">
        <is>
          <t>An Indian film-score composer, son of the composer Salil Chowdhury, who specialises in background scores.</t>
        </is>
      </c>
      <c r="I195" s="5" t="inlineStr">
        <is>
          <t>The Malayalam film Ennu Swantham Janakikutty (1998).</t>
        </is>
      </c>
      <c r="J195" s="5" t="inlineStr">
        <is>
          <t>With Khan: Sarfarosh (1999). Wider work: background scores for Hindi and Malayalam films.</t>
        </is>
      </c>
      <c r="K195" s="19" t="inlineStr">
        <is>
          <t>Background scoring.</t>
        </is>
      </c>
      <c r="L195" s="19" t="n"/>
      <c r="M195" s="5" t="n"/>
      <c r="N195" s="19" t="n"/>
      <c r="O195" s="19" t="inlineStr">
        <is>
          <t>Wrote the background score of John Matthew Matthan's Sarfarosh shortly after his debut; Khan plays a police officer. It was a commercial success.</t>
        </is>
      </c>
      <c r="P195" s="17" t="n">
        <v>1</v>
      </c>
      <c r="Q195" s="5" t="inlineStr">
        <is>
          <t>FILM-029</t>
        </is>
      </c>
      <c r="R195" s="5" t="inlineStr">
        <is>
          <t>Sarfarosh (1999)</t>
        </is>
      </c>
      <c r="S195" s="5" t="inlineStr">
        <is>
          <t>Sanjoy Chowdhury, son of Salil Chowdhury, debuted with the background score of the Malayalam film Ennu Swantham Janakikutty (1998) and was then hired by John Matthew Matthan for Sarfarosh (1999), the thriller in which Aamir Khan plays ACP Ajay Singh Rathod. He has worked mainly as a background composer since.</t>
        </is>
      </c>
      <c r="T195" s="5" t="inlineStr">
        <is>
          <t>SOURCE-198; SOURCE-036</t>
        </is>
      </c>
      <c r="U195" s="5" t="inlineStr">
        <is>
          <t>Medium</t>
        </is>
      </c>
    </row>
    <row r="196" ht="64" customHeight="1">
      <c r="A196" s="15" t="inlineStr">
        <is>
          <t>PERSON-195</t>
        </is>
      </c>
      <c r="B196" s="5" t="inlineStr">
        <is>
          <t>Santosh Saroj</t>
        </is>
      </c>
      <c r="C196" s="5" t="inlineStr">
        <is>
          <t>Writer</t>
        </is>
      </c>
      <c r="D196" s="18" t="n"/>
      <c r="E196" s="18" t="n"/>
      <c r="F196" s="5" t="n"/>
      <c r="G196" s="5" t="inlineStr">
        <is>
          <t>Hindi cinema</t>
        </is>
      </c>
      <c r="H196" s="5" t="inlineStr">
        <is>
          <t>A Hindi-film screenwriter and dialogue writer who assisted on Mausam and Raaste Ka Patthar and directed two films, best known for Agneepath.</t>
        </is>
      </c>
      <c r="I196" s="5" t="n"/>
      <c r="J196" s="5" t="inlineStr">
        <is>
          <t>With Khan: Baazi (1995). Wider work: Kaalia, Shahenshah, Agneepath, Khuda Gawah, Major Saab, Sirf (2008).</t>
        </is>
      </c>
      <c r="K196" s="19" t="inlineStr">
        <is>
          <t>Action-drama dialogue, especially for Mukul S. Anand and Tinnu Anand.</t>
        </is>
      </c>
      <c r="L196" s="19" t="n"/>
      <c r="M196" s="5" t="n"/>
      <c r="N196" s="19" t="n"/>
      <c r="O196" s="19" t="inlineStr">
        <is>
          <t>Wrote the dialogue of Ashutosh Gowariker's Baazi, with Khan as an undercover police inspector.</t>
        </is>
      </c>
      <c r="P196" s="17" t="n">
        <v>1</v>
      </c>
      <c r="Q196" s="5" t="inlineStr">
        <is>
          <t>FILM-022</t>
        </is>
      </c>
      <c r="R196" s="5" t="inlineStr">
        <is>
          <t>Baazi (1995)</t>
        </is>
      </c>
      <c r="S196" s="5" t="inlineStr">
        <is>
          <t>Santosh Saroj wrote dialogue for Amitabh Bachchan's action films of the 1980s and 1990s, among them Kaalia, Shahenshah, Agneepath and Khuda Gawah, and directed Waqt Waqt Ki Baat and Pyar Mein Sauda Nahin. He wrote the dialogue for Baazi (1995), Ashutosh Gowariker's action film in which Aamir Khan plays a police officer, Amar Damjee, who goes undercover to expose a corrupt politician.</t>
        </is>
      </c>
      <c r="T196" s="5" t="inlineStr">
        <is>
          <t>SOURCE-199; SOURCE-028</t>
        </is>
      </c>
      <c r="U196" s="5" t="inlineStr">
        <is>
          <t>Medium</t>
        </is>
      </c>
    </row>
    <row r="197" ht="79" customHeight="1">
      <c r="A197" s="15" t="inlineStr">
        <is>
          <t>PERSON-196</t>
        </is>
      </c>
      <c r="B197" s="5" t="inlineStr">
        <is>
          <t>Shailendra Barve</t>
        </is>
      </c>
      <c r="C197" s="5" t="inlineStr">
        <is>
          <t>Song composer</t>
        </is>
      </c>
      <c r="D197" s="18" t="n"/>
      <c r="E197" s="18" t="n"/>
      <c r="F197" s="5" t="n"/>
      <c r="G197" s="5" t="inlineStr">
        <is>
          <t>Hindi cinema</t>
        </is>
      </c>
      <c r="H197" s="5" t="inlineStr">
        <is>
          <t>A song composer credited on one film in this filmography, with no Wikipedia article of their own.</t>
        </is>
      </c>
      <c r="I197" s="5" t="n"/>
      <c r="J197" s="5" t="inlineStr">
        <is>
          <t>With Khan: Taare Zameen Par (2007).</t>
        </is>
      </c>
      <c r="K197" s="19" t="n"/>
      <c r="L197" s="19" t="n"/>
      <c r="M197" s="5" t="n"/>
      <c r="N197" s="19" t="n"/>
      <c r="O197" s="19" t="inlineStr">
        <is>
          <t>One film with Khan, credited as song composer: Taare Zameen Par (2007), directed by Aamir Khan, with Khan in a supporting role as Ram Shankar Nikumbh; verdict: Commercially successful.</t>
        </is>
      </c>
      <c r="P197" s="17" t="n">
        <v>1</v>
      </c>
      <c r="Q197" s="5" t="inlineStr">
        <is>
          <t>FILM-038</t>
        </is>
      </c>
      <c r="R197" s="5" t="inlineStr">
        <is>
          <t>Taare Zameen Par (2007)</t>
        </is>
      </c>
      <c r="S197" s="5" t="inlineStr">
        <is>
          <t>Shailendra Barve is credited as song composer on Taare Zameen Par (2007). No Wikipedia article or other independent biography was located; this row is built from the film credit alone.</t>
        </is>
      </c>
      <c r="T197" s="5" t="inlineStr">
        <is>
          <t>SOURCE-044</t>
        </is>
      </c>
      <c r="U197" s="5" t="inlineStr">
        <is>
          <t>Low</t>
        </is>
      </c>
    </row>
    <row r="198" ht="79" customHeight="1">
      <c r="A198" s="15" t="inlineStr">
        <is>
          <t>PERSON-197</t>
        </is>
      </c>
      <c r="B198" s="5" t="inlineStr">
        <is>
          <t>Sharad Joshi</t>
        </is>
      </c>
      <c r="C198" s="5" t="inlineStr">
        <is>
          <t>Writer (dialogue)</t>
        </is>
      </c>
      <c r="D198" s="17" t="n">
        <v>1931</v>
      </c>
      <c r="E198" s="17" t="n">
        <v>1991</v>
      </c>
      <c r="F198" s="5" t="n"/>
      <c r="G198" s="5" t="inlineStr">
        <is>
          <t>Hindi literature and television; Hindi cinema</t>
        </is>
      </c>
      <c r="H198" s="5" t="inlineStr">
        <is>
          <t>A Hindi poet, satirist and dialogue writer from Ujjain who wrote for newspapers and radio in Indore and became known for satirical essays and plays.</t>
        </is>
      </c>
      <c r="I198" s="5" t="n"/>
      <c r="J198" s="5" t="inlineStr">
        <is>
          <t>With Khan: Dil Hai Ke Manta Nahin (1991). Plays: Ek Tha Gadha Urf Aladad Khan, Andhon Ka Haathi; television: Yeh Jo Hai Zindagi.</t>
        </is>
      </c>
      <c r="K198" s="19" t="inlineStr">
        <is>
          <t>Political and social satire.</t>
        </is>
      </c>
      <c r="L198" s="19" t="n"/>
      <c r="M198" s="5" t="inlineStr">
        <is>
          <t>Padma Shri (1990).</t>
        </is>
      </c>
      <c r="N198" s="19" t="n"/>
      <c r="O198" s="19" t="inlineStr">
        <is>
          <t>Wrote the dialogue of Mahesh Bhatt's Dil Hai Ke Manta Nahin, a box-office success with Khan as a reporter.</t>
        </is>
      </c>
      <c r="P198" s="17" t="n">
        <v>1</v>
      </c>
      <c r="Q198" s="5" t="inlineStr">
        <is>
          <t>FILM-013</t>
        </is>
      </c>
      <c r="R198" s="5" t="inlineStr">
        <is>
          <t>Dil Hai Ke Manta Nahin (1991)</t>
        </is>
      </c>
      <c r="S198" s="5" t="inlineStr">
        <is>
          <t>Sharad Joshi was one of the most widely read Hindi satirists, the author of essays and plays such as Ek Tha Gadha Urf Aladad Khan, and also wrote for television and film. He wrote the Hindi dialogue of Dil Hai Ke Manta Nahin (1991), Mahesh Bhatt's adaptation of It Happened One Night, in which Aamir Khan plays a journalist who helps a runaway heiress (Pooja Bhatt) in exchange for her story. Joshi received the Padma Shri in 1990 and died in 1991.</t>
        </is>
      </c>
      <c r="T198" s="5" t="inlineStr">
        <is>
          <t>SOURCE-200; SOURCE-018</t>
        </is>
      </c>
      <c r="U198" s="5" t="inlineStr">
        <is>
          <t>Medium</t>
        </is>
      </c>
    </row>
    <row r="199" ht="64" customHeight="1">
      <c r="A199" s="15" t="inlineStr">
        <is>
          <t>PERSON-198</t>
        </is>
      </c>
      <c r="B199" s="5" t="inlineStr">
        <is>
          <t>Shibani Bathija</t>
        </is>
      </c>
      <c r="C199" s="5" t="inlineStr">
        <is>
          <t>Writer</t>
        </is>
      </c>
      <c r="D199" s="18" t="n"/>
      <c r="E199" s="18" t="n"/>
      <c r="F199" s="5" t="n"/>
      <c r="G199" s="5" t="inlineStr">
        <is>
          <t>Hindi cinema</t>
        </is>
      </c>
      <c r="H199" s="5" t="inlineStr">
        <is>
          <t>An Indian screenwriter who studied at DePauw University and San Francisco State and worked in advertising with Sony before Karan Johar passed her script to Yash Raj Films.</t>
        </is>
      </c>
      <c r="I199" s="5" t="inlineStr">
        <is>
          <t>Fanaa and Kabhi Alvida Naa Kehna (both 2006).</t>
        </is>
      </c>
      <c r="J199" s="5" t="inlineStr">
        <is>
          <t>With Khan: Fanaa (2006). Wider work: Kabhi Alvida Naa Kehna, Kidnap, My Name Is Khan.</t>
        </is>
      </c>
      <c r="K199" s="19" t="inlineStr">
        <is>
          <t>Romantic and social drama.</t>
        </is>
      </c>
      <c r="L199" s="19" t="n"/>
      <c r="M199" s="5" t="inlineStr">
        <is>
          <t>Filmfare nomination for Best Screenplay (Kabhi Alvida Naa Kehna).</t>
        </is>
      </c>
      <c r="N199" s="19" t="n"/>
      <c r="O199" s="19" t="inlineStr">
        <is>
          <t>Wrote Fanaa, with Khan as a militant who romances a blind woman; it was a major commercial success.</t>
        </is>
      </c>
      <c r="P199" s="17" t="n">
        <v>1</v>
      </c>
      <c r="Q199" s="5" t="inlineStr">
        <is>
          <t>FILM-037</t>
        </is>
      </c>
      <c r="R199" s="5" t="inlineStr">
        <is>
          <t>Fanaa (2006)</t>
        </is>
      </c>
      <c r="S199" s="5" t="inlineStr">
        <is>
          <t>Shibani Bathija's first produced script was Fanaa (2006), Kunal Kohli's romance for Yash Raj Films, in which Aamir Khan's charming Delhi tour guide Rehan turns out to be a militant and must later confront the blind woman (Kajol) he loved and left. The film was a major commercial success. The same year she co-wrote Kabhi Alvida Naa Kehna and later My Name Is Khan.</t>
        </is>
      </c>
      <c r="T199" s="5" t="inlineStr">
        <is>
          <t>SOURCE-201; SOURCE-043</t>
        </is>
      </c>
      <c r="U199" s="5" t="inlineStr">
        <is>
          <t>Medium</t>
        </is>
      </c>
    </row>
    <row r="200" ht="49" customHeight="1">
      <c r="A200" s="15" t="inlineStr">
        <is>
          <t>PERSON-199</t>
        </is>
      </c>
      <c r="B200" s="5" t="inlineStr">
        <is>
          <t>Shiv–Hari</t>
        </is>
      </c>
      <c r="C200" s="5" t="inlineStr">
        <is>
          <t>Song composer (composing duo)</t>
        </is>
      </c>
      <c r="D200" s="18" t="n"/>
      <c r="E200" s="18" t="n"/>
      <c r="F200" s="5" t="inlineStr">
        <is>
          <t>1967–2022</t>
        </is>
      </c>
      <c r="G200" s="5" t="inlineStr">
        <is>
          <t>Hindustani classical music; Hindi cinema</t>
        </is>
      </c>
      <c r="H200" s="5" t="inlineStr">
        <is>
          <t>A composing duo of the santoor player Shivkumar Sharma and the flautist Hariprasad Chaurasia, who worked chiefly for Yash Chopra.</t>
        </is>
      </c>
      <c r="I200" s="5" t="inlineStr">
        <is>
          <t>The album Call of the Valley (1967); film debut Silsila (1981).</t>
        </is>
      </c>
      <c r="J200" s="5" t="inlineStr">
        <is>
          <t>With Khan: Parampara (1993). Wider work: Silsila, Faasle, Chandni, Lamhe, Darr.</t>
        </is>
      </c>
      <c r="K200" s="19" t="inlineStr">
        <is>
          <t>Classical-instrument melody in romantic film.</t>
        </is>
      </c>
      <c r="L200" s="19" t="n"/>
      <c r="M200" s="5" t="n"/>
      <c r="N200" s="19" t="n"/>
      <c r="O200" s="19" t="inlineStr">
        <is>
          <t>Composed the songs of Yash Chopra's Parampara, in which Khan has a co-lead; it flopped.</t>
        </is>
      </c>
      <c r="P200" s="17" t="n">
        <v>1</v>
      </c>
      <c r="Q200" s="5" t="inlineStr">
        <is>
          <t>FILM-018</t>
        </is>
      </c>
      <c r="R200" s="5" t="inlineStr">
        <is>
          <t>Parampara (1993)</t>
        </is>
      </c>
      <c r="S200" s="5" t="inlineStr">
        <is>
          <t>Shiv–Hari, Shivkumar Sharma and Hariprasad Chaurasia, brought Hindustani classical instruments into Yash Chopra's films from Silsila to Darr. They composed the songs for Parampara (1993), Chopra's feud drama in which Aamir Khan and Saif Ali Khan play half-brothers, which was a flop. Shivkumar Sharma died on 10 May 2022.</t>
        </is>
      </c>
      <c r="T200" s="5" t="inlineStr">
        <is>
          <t>SOURCE-202; SOURCE-024</t>
        </is>
      </c>
      <c r="U200" s="5" t="inlineStr">
        <is>
          <t>Medium</t>
        </is>
      </c>
    </row>
    <row r="201" ht="49" customHeight="1">
      <c r="A201" s="15" t="inlineStr">
        <is>
          <t>PERSON-200</t>
        </is>
      </c>
      <c r="B201" s="5" t="inlineStr">
        <is>
          <t>Shraddha Agrawal</t>
        </is>
      </c>
      <c r="C201" s="5" t="inlineStr">
        <is>
          <t>Producer</t>
        </is>
      </c>
      <c r="D201" s="18" t="n"/>
      <c r="E201" s="18" t="n"/>
      <c r="F201" s="5" t="n"/>
      <c r="G201" s="5" t="inlineStr">
        <is>
          <t>Hindi cinema</t>
        </is>
      </c>
      <c r="H201" s="5" t="inlineStr">
        <is>
          <t>A producer credited on one film in this filmography, with no Wikipedia article of their own.</t>
        </is>
      </c>
      <c r="I201" s="5" t="n"/>
      <c r="J201" s="5" t="inlineStr">
        <is>
          <t>With Khan: Salaam Venky (2022).</t>
        </is>
      </c>
      <c r="K201" s="19" t="n"/>
      <c r="L201" s="19" t="n"/>
      <c r="M201" s="5" t="n"/>
      <c r="N201" s="19" t="n"/>
      <c r="O201" s="19" t="inlineStr">
        <is>
          <t>One film with Khan, credited as producer: Salaam Venky (2022), directed by Revathi, with Khan in a cameo as Sujata's illusion.</t>
        </is>
      </c>
      <c r="P201" s="17" t="n">
        <v>1</v>
      </c>
      <c r="Q201" s="5" t="inlineStr">
        <is>
          <t>FILM-054</t>
        </is>
      </c>
      <c r="R201" s="5" t="inlineStr">
        <is>
          <t>Salaam Venky (2022)</t>
        </is>
      </c>
      <c r="S201" s="5" t="inlineStr">
        <is>
          <t>Shraddha Agrawal is credited as producer on Salaam Venky (2022). No Wikipedia article or other independent biography was located; this row is built from the film credit alone.</t>
        </is>
      </c>
      <c r="T201" s="5" t="inlineStr">
        <is>
          <t>SOURCE-060</t>
        </is>
      </c>
      <c r="U201" s="5" t="inlineStr">
        <is>
          <t>Low</t>
        </is>
      </c>
    </row>
    <row r="202" ht="79" customHeight="1">
      <c r="A202" s="15" t="inlineStr">
        <is>
          <t>PERSON-201</t>
        </is>
      </c>
      <c r="B202" s="5" t="inlineStr">
        <is>
          <t>Shreyas Jain</t>
        </is>
      </c>
      <c r="C202" s="5" t="inlineStr">
        <is>
          <t>Writer</t>
        </is>
      </c>
      <c r="D202" s="18" t="n"/>
      <c r="E202" s="18" t="n"/>
      <c r="F202" s="5" t="n"/>
      <c r="G202" s="5" t="inlineStr">
        <is>
          <t>Hindi cinema</t>
        </is>
      </c>
      <c r="H202" s="5" t="inlineStr">
        <is>
          <t>A writer credited on one film in this filmography, with no Wikipedia article of their own.</t>
        </is>
      </c>
      <c r="I202" s="5" t="n"/>
      <c r="J202" s="5" t="inlineStr">
        <is>
          <t>With Khan: Dangal (2016).</t>
        </is>
      </c>
      <c r="K202" s="19" t="n"/>
      <c r="L202" s="19" t="n"/>
      <c r="M202" s="5" t="n"/>
      <c r="N202" s="19" t="n"/>
      <c r="O202" s="19" t="inlineStr">
        <is>
          <t>One film with Khan, credited as writer: Dangal (2016), directed by Nitesh Tiwari, with Khan in the lead as Mahavir Singh Phogat; verdict: All-time blockbuster; highest-grossing Indian film.</t>
        </is>
      </c>
      <c r="P202" s="17" t="n">
        <v>1</v>
      </c>
      <c r="Q202" s="5" t="inlineStr">
        <is>
          <t>FILM-049</t>
        </is>
      </c>
      <c r="R202" s="5" t="inlineStr">
        <is>
          <t>Dangal (2016)</t>
        </is>
      </c>
      <c r="S202" s="5" t="inlineStr">
        <is>
          <t>Shreyas Jain is credited as writer on Dangal (2016). No Wikipedia article or other independent biography was located; this row is built from the film credit alone.</t>
        </is>
      </c>
      <c r="T202" s="5" t="inlineStr">
        <is>
          <t>SOURCE-055</t>
        </is>
      </c>
      <c r="U202" s="5" t="inlineStr">
        <is>
          <t>Low</t>
        </is>
      </c>
    </row>
    <row r="203" ht="49" customHeight="1">
      <c r="A203" s="15" t="inlineStr">
        <is>
          <t>PERSON-202</t>
        </is>
      </c>
      <c r="B203" s="5" t="inlineStr">
        <is>
          <t>Shrikant Murthy</t>
        </is>
      </c>
      <c r="C203" s="5" t="inlineStr">
        <is>
          <t>Writer</t>
        </is>
      </c>
      <c r="D203" s="18" t="n"/>
      <c r="E203" s="18" t="n"/>
      <c r="F203" s="5" t="n"/>
      <c r="G203" s="5" t="inlineStr">
        <is>
          <t>Hindi cinema</t>
        </is>
      </c>
      <c r="H203" s="5" t="inlineStr">
        <is>
          <t>A writer credited on one film in this filmography, with no Wikipedia article of their own.</t>
        </is>
      </c>
      <c r="I203" s="5" t="n"/>
      <c r="J203" s="5" t="inlineStr">
        <is>
          <t>With Khan: Salaam Venky (2022).</t>
        </is>
      </c>
      <c r="K203" s="19" t="n"/>
      <c r="L203" s="19" t="n"/>
      <c r="M203" s="5" t="n"/>
      <c r="N203" s="19" t="n"/>
      <c r="O203" s="19" t="inlineStr">
        <is>
          <t>One film with Khan, credited as writer: Salaam Venky (2022), directed by Revathi, with Khan in a cameo as Sujata's illusion.</t>
        </is>
      </c>
      <c r="P203" s="17" t="n">
        <v>1</v>
      </c>
      <c r="Q203" s="5" t="inlineStr">
        <is>
          <t>FILM-054</t>
        </is>
      </c>
      <c r="R203" s="5" t="inlineStr">
        <is>
          <t>Salaam Venky (2022)</t>
        </is>
      </c>
      <c r="S203" s="5" t="inlineStr">
        <is>
          <t>Shrikant Murthy is credited as writer on Salaam Venky (2022). No Wikipedia article or other independent biography was located; this row is built from the film credit alone.</t>
        </is>
      </c>
      <c r="T203" s="5" t="inlineStr">
        <is>
          <t>SOURCE-060</t>
        </is>
      </c>
      <c r="U203" s="5" t="inlineStr">
        <is>
          <t>Low</t>
        </is>
      </c>
    </row>
    <row r="204" ht="64" customHeight="1">
      <c r="A204" s="15" t="inlineStr">
        <is>
          <t>PERSON-203</t>
        </is>
      </c>
      <c r="B204" s="5" t="inlineStr">
        <is>
          <t>Shyam–Surender</t>
        </is>
      </c>
      <c r="C204" s="5" t="inlineStr">
        <is>
          <t>Background-score composer</t>
        </is>
      </c>
      <c r="D204" s="18" t="n"/>
      <c r="E204" s="18" t="n"/>
      <c r="F204" s="5" t="n"/>
      <c r="G204" s="5" t="inlineStr">
        <is>
          <t>Hindi cinema</t>
        </is>
      </c>
      <c r="H204" s="5" t="inlineStr">
        <is>
          <t>A background-score composer credited on one film in this filmography, with no Wikipedia article of their own.</t>
        </is>
      </c>
      <c r="I204" s="5" t="n"/>
      <c r="J204" s="5" t="inlineStr">
        <is>
          <t>With Khan: Hum Hain Rahi Pyar Ke (1993).</t>
        </is>
      </c>
      <c r="K204" s="19" t="n"/>
      <c r="L204" s="19" t="n"/>
      <c r="M204" s="5" t="n"/>
      <c r="N204" s="19" t="n"/>
      <c r="O204" s="19" t="inlineStr">
        <is>
          <t>One film with Khan, credited as background-score composer: Hum Hain Rahi Pyar Ke (1993), directed by Mahesh Bhatt, with Khan in the lead as Rahul Malhotra.</t>
        </is>
      </c>
      <c r="P204" s="17" t="n">
        <v>1</v>
      </c>
      <c r="Q204" s="5" t="inlineStr">
        <is>
          <t>FILM-019</t>
        </is>
      </c>
      <c r="R204" s="5" t="inlineStr">
        <is>
          <t>Hum Hain Rahi Pyar Ke (1993)</t>
        </is>
      </c>
      <c r="S204" s="5" t="inlineStr">
        <is>
          <t>Shyam–Surender is credited as background-score composer on Hum Hain Rahi Pyar Ke (1993). No Wikipedia article or other independent biography was located; this row is built from the film credit alone.</t>
        </is>
      </c>
      <c r="T204" s="5" t="inlineStr">
        <is>
          <t>SOURCE-025</t>
        </is>
      </c>
      <c r="U204" s="5" t="inlineStr">
        <is>
          <t>Low</t>
        </is>
      </c>
    </row>
    <row r="205" ht="64" customHeight="1">
      <c r="A205" s="15" t="inlineStr">
        <is>
          <t>PERSON-204</t>
        </is>
      </c>
      <c r="B205" s="5" t="inlineStr">
        <is>
          <t>Siddharth Roy Kapur</t>
        </is>
      </c>
      <c r="C205" s="5" t="inlineStr">
        <is>
          <t>Producer (Disney India)</t>
        </is>
      </c>
      <c r="D205" s="17" t="n">
        <v>1974</v>
      </c>
      <c r="E205" s="18" t="n"/>
      <c r="F205" s="5" t="inlineStr">
        <is>
          <t>1997–present</t>
        </is>
      </c>
      <c r="G205" s="5" t="inlineStr">
        <is>
          <t>Hindi cinema</t>
        </is>
      </c>
      <c r="H205" s="5" t="inlineStr">
        <is>
          <t>A Mumbai-born producer, founder of Roy Kapur Films, former managing director of The Walt Disney Company India and six-term president of the Producers Guild of India; AMPAS member from 2023.</t>
        </is>
      </c>
      <c r="I205" s="5" t="n"/>
      <c r="J205" s="5" t="inlineStr">
        <is>
          <t>With Khan: Dangal (2016). Wider work: UTV and Disney India releases.</t>
        </is>
      </c>
      <c r="K205" s="19" t="n"/>
      <c r="L205" s="19" t="n"/>
      <c r="M205" s="5" t="n"/>
      <c r="N205" s="19" t="inlineStr">
        <is>
          <t>On Variety's Top 500 list eight years running.</t>
        </is>
      </c>
      <c r="O205" s="19" t="inlineStr">
        <is>
          <t>Co-produced Dangal as head of Disney India; Khan plays the wrestler and coach Mahavir Singh Phogat. It became the highest-grossing Indian film.</t>
        </is>
      </c>
      <c r="P205" s="17" t="n">
        <v>1</v>
      </c>
      <c r="Q205" s="5" t="inlineStr">
        <is>
          <t>FILM-049</t>
        </is>
      </c>
      <c r="R205" s="5" t="inlineStr">
        <is>
          <t>Dangal (2016)</t>
        </is>
      </c>
      <c r="S205" s="5" t="inlineStr">
        <is>
          <t>Siddharth Roy Kapur led UTV and then Disney's India business before founding Roy Kapur Films. He is credited as a producer on Dangal (2016), Nitesh Tiwari's biographical sports drama in which Aamir Khan plays Mahavir Singh Phogat, a former wrestler who trains his daughters Geeta and Babita to international success. Dangal became the highest-grossing Indian film, with a large part of its earnings from China.</t>
        </is>
      </c>
      <c r="T205" s="5" t="inlineStr">
        <is>
          <t>SOURCE-203; SOURCE-055</t>
        </is>
      </c>
      <c r="U205" s="5" t="inlineStr">
        <is>
          <t>Medium</t>
        </is>
      </c>
    </row>
    <row r="206" ht="64" customHeight="1">
      <c r="A206" s="15" t="inlineStr">
        <is>
          <t>PERSON-205</t>
        </is>
      </c>
      <c r="B206" s="5" t="inlineStr">
        <is>
          <t>Sikhya Entertainment</t>
        </is>
      </c>
      <c r="C206" s="5" t="inlineStr">
        <is>
          <t>Production banner</t>
        </is>
      </c>
      <c r="D206" s="18" t="n"/>
      <c r="E206" s="18" t="n"/>
      <c r="F206" s="5" t="n"/>
      <c r="G206" s="5" t="inlineStr">
        <is>
          <t>Hindi cinema</t>
        </is>
      </c>
      <c r="H206" s="5" t="inlineStr">
        <is>
          <t>A production and distribution company established in 2008 by Guneet Monga and Achin Jain, known for independent films and international co-productions.</t>
        </is>
      </c>
      <c r="I206" s="5" t="n"/>
      <c r="J206" s="5" t="inlineStr">
        <is>
          <t>With Khan: Bombay Talkies (2013). Wider work: Dasvidaniya, That Girl in Yellow Boots, The Lunchbox, Masaan, The Elephant Whisperers.</t>
        </is>
      </c>
      <c r="K206" s="19" t="inlineStr">
        <is>
          <t>Independent cinema and documentary.</t>
        </is>
      </c>
      <c r="L206" s="19" t="n"/>
      <c r="M206" s="5" t="n"/>
      <c r="N206" s="19" t="n"/>
      <c r="O206" s="19" t="inlineStr">
        <is>
          <t>Co-produced the anthology Bombay Talkies, in which Khan appears as himself.</t>
        </is>
      </c>
      <c r="P206" s="17" t="n">
        <v>1</v>
      </c>
      <c r="Q206" s="5" t="inlineStr">
        <is>
          <t>FILM-045</t>
        </is>
      </c>
      <c r="R206" s="5" t="inlineStr">
        <is>
          <t>Bombay Talkies (2013)</t>
        </is>
      </c>
      <c r="S206" s="5" t="inlineStr">
        <is>
          <t>Sikhya Entertainment, founded by Guneet Monga and Achin Jain, produced The Lunchbox and Masaan and the Oscar-winning documentary short The Elephant Whisperers, and works with international directors such as Danis Tanović and Michael Winterbottom. It is one of the co-producers of Bombay Talkies (2013), in which Aamir Khan appears as himself.</t>
        </is>
      </c>
      <c r="T206" s="5" t="inlineStr">
        <is>
          <t>SOURCE-204; SOURCE-051</t>
        </is>
      </c>
      <c r="U206" s="5" t="inlineStr">
        <is>
          <t>Medium</t>
        </is>
      </c>
    </row>
    <row r="207" ht="49" customHeight="1">
      <c r="A207" s="15" t="inlineStr">
        <is>
          <t>PERSON-206</t>
        </is>
      </c>
      <c r="B207" s="5" t="inlineStr">
        <is>
          <t>Sun Pictures</t>
        </is>
      </c>
      <c r="C207" s="5" t="inlineStr">
        <is>
          <t>Production banner</t>
        </is>
      </c>
      <c r="D207" s="18" t="n"/>
      <c r="E207" s="18" t="n"/>
      <c r="F207" s="5" t="n"/>
      <c r="G207" s="5" t="inlineStr">
        <is>
          <t>Tamil cinema</t>
        </is>
      </c>
      <c r="H207" s="5" t="inlineStr">
        <is>
          <t>A Chennai film production and distribution studio, a division of Sun TV Network, established in 2008.</t>
        </is>
      </c>
      <c r="I207" s="5" t="inlineStr">
        <is>
          <t>Enthiran (2010), its first production, reported as the most expensive Indian film yet made.</t>
        </is>
      </c>
      <c r="J207" s="5" t="inlineStr">
        <is>
          <t>With Khan: Coolie (2025). Wider work: Enthiran, Sarkar, Petta, Beast, Jailer.</t>
        </is>
      </c>
      <c r="K207" s="19" t="inlineStr">
        <is>
          <t>Big-star Tamil commercial cinema.</t>
        </is>
      </c>
      <c r="L207" s="19" t="n"/>
      <c r="M207" s="5" t="n"/>
      <c r="N207" s="19" t="n"/>
      <c r="O207" s="19" t="inlineStr">
        <is>
          <t>Produced Coolie, starring Rajinikanth, in which Khan has a cameo; it was commercially successful.</t>
        </is>
      </c>
      <c r="P207" s="17" t="n">
        <v>1</v>
      </c>
      <c r="Q207" s="5" t="inlineStr">
        <is>
          <t>FILM-056</t>
        </is>
      </c>
      <c r="R207" s="5" t="inlineStr">
        <is>
          <t>Coolie (2025)</t>
        </is>
      </c>
      <c r="S207" s="5" t="inlineStr">
        <is>
          <t>Sun Pictures, part of Kalanithi Maran's Sun Group, entered production by taking over Rajinikanth's Enthiran in 2009 and has since produced a string of Tamil blockbusters, including Petta and Jailer. It produced Coolie (2025), Lokesh Kanagaraj's action film starring Rajinikanth, in which Aamir Khan makes a cameo appearance.</t>
        </is>
      </c>
      <c r="T207" s="5" t="inlineStr">
        <is>
          <t>SOURCE-205; SOURCE-062</t>
        </is>
      </c>
      <c r="U207" s="5" t="inlineStr">
        <is>
          <t>Medium</t>
        </is>
      </c>
    </row>
    <row r="208" ht="49" customHeight="1">
      <c r="A208" s="15" t="inlineStr">
        <is>
          <t>PERSON-207</t>
        </is>
      </c>
      <c r="B208" s="5" t="inlineStr">
        <is>
          <t>Suneel Darshan</t>
        </is>
      </c>
      <c r="C208" s="5" t="inlineStr">
        <is>
          <t>Writer</t>
        </is>
      </c>
      <c r="D208" s="18" t="n"/>
      <c r="E208" s="18" t="n"/>
      <c r="F208" s="5" t="n"/>
      <c r="G208" s="5" t="inlineStr">
        <is>
          <t>Hindi cinema</t>
        </is>
      </c>
      <c r="H208" s="5" t="inlineStr">
        <is>
          <t>A Hindi-film producer, director and writer, brother of the director Dharmesh Darshan, who began producing in 1987.</t>
        </is>
      </c>
      <c r="I208" s="5" t="inlineStr">
        <is>
          <t>As producer, Inteqam (1988); as director, Ajay (1996).</t>
        </is>
      </c>
      <c r="J208" s="5" t="inlineStr">
        <is>
          <t>With Khan: Mela (2000). Wider work: Lootere, Jaanwar, Ek Rishtaa, Andaaz, Barsaat (2005).</t>
        </is>
      </c>
      <c r="K208" s="19" t="inlineStr">
        <is>
          <t>Action and family melodrama, often with Sunny Deol and Akshay Kumar.</t>
        </is>
      </c>
      <c r="L208" s="19" t="n"/>
      <c r="M208" s="5" t="n"/>
      <c r="N208" s="19" t="n"/>
      <c r="O208" s="19" t="inlineStr">
        <is>
          <t>Wrote the story of Mela, directed by his brother Dharmesh Darshan, with Khan in the lead.</t>
        </is>
      </c>
      <c r="P208" s="17" t="n">
        <v>1</v>
      </c>
      <c r="Q208" s="5" t="inlineStr">
        <is>
          <t>FILM-032</t>
        </is>
      </c>
      <c r="R208" s="5" t="inlineStr">
        <is>
          <t>Mela (2000)</t>
        </is>
      </c>
      <c r="S208" s="5" t="inlineStr">
        <is>
          <t>Suneel Darshan produced Inteqam and his brother Dharmesh's debut, Lootere (1993), and directed Ajay, Jaanwar and Ek Rishtaa. He is credited with the story of Mela (2000), Dharmesh's action musical in which Aamir Khan plays a traveller who helps a village against a bandit.</t>
        </is>
      </c>
      <c r="T208" s="5" t="inlineStr">
        <is>
          <t>SOURCE-206; SOURCE-038</t>
        </is>
      </c>
      <c r="U208" s="5" t="inlineStr">
        <is>
          <t>Medium</t>
        </is>
      </c>
    </row>
    <row r="209" ht="49" customHeight="1">
      <c r="A209" s="15" t="inlineStr">
        <is>
          <t>PERSON-208</t>
        </is>
      </c>
      <c r="B209" s="5" t="inlineStr">
        <is>
          <t>Suraj Singh</t>
        </is>
      </c>
      <c r="C209" s="5" t="inlineStr">
        <is>
          <t>Producer</t>
        </is>
      </c>
      <c r="D209" s="18" t="n"/>
      <c r="E209" s="18" t="n"/>
      <c r="F209" s="5" t="n"/>
      <c r="G209" s="5" t="inlineStr">
        <is>
          <t>Hindi cinema</t>
        </is>
      </c>
      <c r="H209" s="5" t="inlineStr">
        <is>
          <t>A producer credited on one film in this filmography, with no Wikipedia article of their own.</t>
        </is>
      </c>
      <c r="I209" s="5" t="n"/>
      <c r="J209" s="5" t="inlineStr">
        <is>
          <t>With Khan: Salaam Venky (2022).</t>
        </is>
      </c>
      <c r="K209" s="19" t="n"/>
      <c r="L209" s="19" t="n"/>
      <c r="M209" s="5" t="n"/>
      <c r="N209" s="19" t="n"/>
      <c r="O209" s="19" t="inlineStr">
        <is>
          <t>One film with Khan, credited as producer: Salaam Venky (2022), directed by Revathi, with Khan in a cameo as Sujata's illusion.</t>
        </is>
      </c>
      <c r="P209" s="17" t="n">
        <v>1</v>
      </c>
      <c r="Q209" s="5" t="inlineStr">
        <is>
          <t>FILM-054</t>
        </is>
      </c>
      <c r="R209" s="5" t="inlineStr">
        <is>
          <t>Salaam Venky (2022)</t>
        </is>
      </c>
      <c r="S209" s="5" t="inlineStr">
        <is>
          <t>Suraj Singh is credited as producer on Salaam Venky (2022). No Wikipedia article or other independent biography was located; this row is built from the film credit alone.</t>
        </is>
      </c>
      <c r="T209" s="5" t="inlineStr">
        <is>
          <t>SOURCE-060</t>
        </is>
      </c>
      <c r="U209" s="5" t="inlineStr">
        <is>
          <t>Low</t>
        </is>
      </c>
    </row>
    <row r="210" ht="64" customHeight="1">
      <c r="A210" s="15" t="inlineStr">
        <is>
          <t>PERSON-209</t>
        </is>
      </c>
      <c r="B210" s="5" t="inlineStr">
        <is>
          <t>Surinder Singh</t>
        </is>
      </c>
      <c r="C210" s="5" t="inlineStr">
        <is>
          <t>Writer</t>
        </is>
      </c>
      <c r="D210" s="18" t="n"/>
      <c r="E210" s="18" t="n"/>
      <c r="F210" s="5" t="n"/>
      <c r="G210" s="5" t="inlineStr">
        <is>
          <t>Hindi cinema</t>
        </is>
      </c>
      <c r="H210" s="5" t="inlineStr">
        <is>
          <t>A writer credited on one film in this filmography, with no Wikipedia article of their own.</t>
        </is>
      </c>
      <c r="I210" s="5" t="n"/>
      <c r="J210" s="5" t="inlineStr">
        <is>
          <t>With Khan: Tum Mere Ho (1990).</t>
        </is>
      </c>
      <c r="K210" s="19" t="n"/>
      <c r="L210" s="19" t="n"/>
      <c r="M210" s="5" t="n"/>
      <c r="N210" s="19" t="n"/>
      <c r="O210" s="19" t="inlineStr">
        <is>
          <t>One film with Khan, credited as writer: Tum Mere Ho (1990), directed by Tahir Hussain, with Khan in the lead as Shiva; verdict: Disaster.</t>
        </is>
      </c>
      <c r="P210" s="17" t="n">
        <v>1</v>
      </c>
      <c r="Q210" s="5" t="inlineStr">
        <is>
          <t>FILM-008</t>
        </is>
      </c>
      <c r="R210" s="5" t="inlineStr">
        <is>
          <t>Tum Mere Ho (1990)</t>
        </is>
      </c>
      <c r="S210" s="5" t="inlineStr">
        <is>
          <t>Surinder Singh is credited as writer on Tum Mere Ho (1990). No Wikipedia article or other independent biography was located; this row is built from the film credit alone.</t>
        </is>
      </c>
      <c r="T210" s="5" t="inlineStr">
        <is>
          <t>SOURCE-012</t>
        </is>
      </c>
      <c r="U210" s="5" t="inlineStr">
        <is>
          <t>Low</t>
        </is>
      </c>
    </row>
    <row r="211" ht="49" customHeight="1">
      <c r="A211" s="15" t="inlineStr">
        <is>
          <t>PERSON-210</t>
        </is>
      </c>
      <c r="B211" s="5" t="inlineStr">
        <is>
          <t>Sutanu Gupta</t>
        </is>
      </c>
      <c r="C211" s="5" t="inlineStr">
        <is>
          <t>Writer</t>
        </is>
      </c>
      <c r="D211" s="18" t="n"/>
      <c r="E211" s="18" t="n"/>
      <c r="F211" s="5" t="n"/>
      <c r="G211" s="5" t="inlineStr">
        <is>
          <t>Hindi cinema</t>
        </is>
      </c>
      <c r="H211" s="5" t="inlineStr">
        <is>
          <t>A writer credited on one film in this filmography, with no Wikipedia article of their own.</t>
        </is>
      </c>
      <c r="I211" s="5" t="n"/>
      <c r="J211" s="5" t="inlineStr">
        <is>
          <t>With Khan: Damini (1993).</t>
        </is>
      </c>
      <c r="K211" s="19" t="n"/>
      <c r="L211" s="19" t="n"/>
      <c r="M211" s="5" t="n"/>
      <c r="N211" s="19" t="n"/>
      <c r="O211" s="19" t="inlineStr">
        <is>
          <t>One film with Khan, credited as writer: Damini (1993), directed by Rajkumar Santoshi, with Khan in a self appearance.</t>
        </is>
      </c>
      <c r="P211" s="17" t="n">
        <v>1</v>
      </c>
      <c r="Q211" s="5" t="inlineStr">
        <is>
          <t>FILM-017</t>
        </is>
      </c>
      <c r="R211" s="5" t="inlineStr">
        <is>
          <t>Damini (1993)</t>
        </is>
      </c>
      <c r="S211" s="5" t="inlineStr">
        <is>
          <t>Sutanu Gupta is credited as writer on Damini (1993). No Wikipedia article or other independent biography was located; this row is built from the film credit alone.</t>
        </is>
      </c>
      <c r="T211" s="5" t="inlineStr">
        <is>
          <t>SOURCE-023</t>
        </is>
      </c>
      <c r="U211" s="5" t="inlineStr">
        <is>
          <t>Low</t>
        </is>
      </c>
    </row>
    <row r="212" ht="64" customHeight="1">
      <c r="A212" s="15" t="inlineStr">
        <is>
          <t>PERSON-211</t>
        </is>
      </c>
      <c r="B212" s="5" t="inlineStr">
        <is>
          <t>Suyash Films</t>
        </is>
      </c>
      <c r="C212" s="5" t="inlineStr">
        <is>
          <t>Production banner</t>
        </is>
      </c>
      <c r="D212" s="18" t="n"/>
      <c r="E212" s="18" t="n"/>
      <c r="F212" s="5" t="n"/>
      <c r="G212" s="5" t="inlineStr">
        <is>
          <t>Hindi cinema</t>
        </is>
      </c>
      <c r="H212" s="5" t="inlineStr">
        <is>
          <t>A production banner credited on one film in this filmography, with no Wikipedia article of its own.</t>
        </is>
      </c>
      <c r="I212" s="5" t="n"/>
      <c r="J212" s="5" t="inlineStr">
        <is>
          <t>With Khan: Aatank Hi Aatank (1995).</t>
        </is>
      </c>
      <c r="K212" s="19" t="n"/>
      <c r="L212" s="19" t="n"/>
      <c r="M212" s="5" t="n"/>
      <c r="N212" s="19" t="n"/>
      <c r="O212" s="19" t="inlineStr">
        <is>
          <t>One film with Khan, credited as production banner: Aatank Hi Aatank (1995), directed by Dilip Shankar, with Khan in a co-lead as Rohan; verdict: Box office failure.</t>
        </is>
      </c>
      <c r="P212" s="17" t="n">
        <v>1</v>
      </c>
      <c r="Q212" s="5" t="inlineStr">
        <is>
          <t>FILM-023</t>
        </is>
      </c>
      <c r="R212" s="5" t="inlineStr">
        <is>
          <t>Aatank Hi Aatank (1995)</t>
        </is>
      </c>
      <c r="S212" s="5" t="inlineStr">
        <is>
          <t>Suyash Films is credited as production banner on Aatank Hi Aatank (1995). No Wikipedia article or other independent biography was located for the company; this row is built from the film credit alone.</t>
        </is>
      </c>
      <c r="T212" s="5" t="inlineStr">
        <is>
          <t>SOURCE-029</t>
        </is>
      </c>
      <c r="U212" s="5" t="inlineStr">
        <is>
          <t>Low</t>
        </is>
      </c>
    </row>
    <row r="213" ht="64" customHeight="1">
      <c r="A213" s="15" t="inlineStr">
        <is>
          <t>PERSON-212</t>
        </is>
      </c>
      <c r="B213" s="5" t="inlineStr">
        <is>
          <t>Tagore B. Madhu</t>
        </is>
      </c>
      <c r="C213" s="5" t="inlineStr">
        <is>
          <t>Producer</t>
        </is>
      </c>
      <c r="D213" s="18" t="n"/>
      <c r="E213" s="18" t="n"/>
      <c r="F213" s="5" t="n"/>
      <c r="G213" s="5" t="inlineStr">
        <is>
          <t>Hindi cinema</t>
        </is>
      </c>
      <c r="H213" s="5" t="inlineStr">
        <is>
          <t>A producer credited on one film in this filmography, with no Wikipedia article of their own.</t>
        </is>
      </c>
      <c r="I213" s="5" t="n"/>
      <c r="J213" s="5" t="inlineStr">
        <is>
          <t>With Khan: Ghajini (2008).</t>
        </is>
      </c>
      <c r="K213" s="19" t="n"/>
      <c r="L213" s="19" t="n"/>
      <c r="M213" s="5" t="n"/>
      <c r="N213" s="19" t="n"/>
      <c r="O213" s="19" t="inlineStr">
        <is>
          <t>One film with Khan, credited as producer: Ghajini (2008), directed by A. R. Murugadoss, with Khan in the lead as Sanjay Singhania; verdict: All-time blockbuster.</t>
        </is>
      </c>
      <c r="P213" s="17" t="n">
        <v>1</v>
      </c>
      <c r="Q213" s="5" t="inlineStr">
        <is>
          <t>FILM-039</t>
        </is>
      </c>
      <c r="R213" s="5" t="inlineStr">
        <is>
          <t>Ghajini (2008)</t>
        </is>
      </c>
      <c r="S213" s="5" t="inlineStr">
        <is>
          <t>Tagore B. Madhu is credited as producer on Ghajini (2008). No Wikipedia article or other independent biography was located; this row is built from the film credit alone.</t>
        </is>
      </c>
      <c r="T213" s="5" t="inlineStr">
        <is>
          <t>SOURCE-045</t>
        </is>
      </c>
      <c r="U213" s="5" t="inlineStr">
        <is>
          <t>Low</t>
        </is>
      </c>
    </row>
    <row r="214" ht="64" customHeight="1">
      <c r="A214" s="15" t="inlineStr">
        <is>
          <t>PERSON-213</t>
        </is>
      </c>
      <c r="B214" s="5" t="inlineStr">
        <is>
          <t>Tanishk Bagchi</t>
        </is>
      </c>
      <c r="C214" s="5" t="inlineStr">
        <is>
          <t>Song composer</t>
        </is>
      </c>
      <c r="D214" s="17" t="n">
        <v>1980</v>
      </c>
      <c r="E214" s="18" t="n"/>
      <c r="F214" s="5" t="inlineStr">
        <is>
          <t>2007–present</t>
        </is>
      </c>
      <c r="G214" s="5" t="inlineStr">
        <is>
          <t>Hindi cinema</t>
        </is>
      </c>
      <c r="H214" s="5" t="inlineStr">
        <is>
          <t>A Kolkata-born music producer, composer, singer and lyricist, son of the musicians Nand Kumar Bagchi and Sharmistha Das, known for original songs and many recreations of older hits.</t>
        </is>
      </c>
      <c r="I214" s="5" t="inlineStr">
        <is>
          <t>The Bengali album City Life (2007); Hindi film debut 'Banno' (Tanu Weds Manu Returns, 2015).</t>
        </is>
      </c>
      <c r="J214" s="5" t="inlineStr">
        <is>
          <t>With Khan: Koi Jaane Na (2021). Wider work: 'Vaaste', 'Bolna', 'Ve Maahi', recreated 'Aankh Maarey' and 'Dilbar'.</t>
        </is>
      </c>
      <c r="K214" s="19" t="inlineStr">
        <is>
          <t>Recreations and dance-pop.</t>
        </is>
      </c>
      <c r="L214" s="19" t="n"/>
      <c r="M214" s="5" t="n"/>
      <c r="N214" s="19" t="n"/>
      <c r="O214" s="19" t="inlineStr">
        <is>
          <t>Composed songs for Koi Jaane Na, in which Khan appears in a song.</t>
        </is>
      </c>
      <c r="P214" s="17" t="n">
        <v>1</v>
      </c>
      <c r="Q214" s="5" t="inlineStr">
        <is>
          <t>FILM-052</t>
        </is>
      </c>
      <c r="R214" s="5" t="inlineStr">
        <is>
          <t>Koi Jaane Na (2021)</t>
        </is>
      </c>
      <c r="S214" s="5" t="inlineStr">
        <is>
          <t>Tanishk Bagchi worked as a producer and arranger for television before Aanand L. Rai's team picked up his song 'Banno' for Tanu Weds Manu Returns (2015); he became known for recreating older hits such as 'Aankh Maarey' and 'Dilbar'. He is one of the composers on Koi Jaane Na (2021), Amin Hajee's thriller, in which Aamir Khan appears in a song.</t>
        </is>
      </c>
      <c r="T214" s="5" t="inlineStr">
        <is>
          <t>SOURCE-207; SOURCE-058</t>
        </is>
      </c>
      <c r="U214" s="5" t="inlineStr">
        <is>
          <t>Medium</t>
        </is>
      </c>
    </row>
    <row r="215" ht="79" customHeight="1">
      <c r="A215" s="15" t="inlineStr">
        <is>
          <t>PERSON-214</t>
        </is>
      </c>
      <c r="B215" s="5" t="inlineStr">
        <is>
          <t>Tanuj Tiku</t>
        </is>
      </c>
      <c r="C215" s="5" t="inlineStr">
        <is>
          <t>Background-score composer</t>
        </is>
      </c>
      <c r="D215" s="18" t="n"/>
      <c r="E215" s="18" t="n"/>
      <c r="F215" s="5" t="n"/>
      <c r="G215" s="5" t="inlineStr">
        <is>
          <t>Hindi cinema</t>
        </is>
      </c>
      <c r="H215" s="5" t="inlineStr">
        <is>
          <t>A background-score composer credited on one film in this filmography, with no Wikipedia article of their own.</t>
        </is>
      </c>
      <c r="I215" s="5" t="n"/>
      <c r="J215" s="5" t="inlineStr">
        <is>
          <t>With Khan: Laal Singh Chaddha (2022).</t>
        </is>
      </c>
      <c r="K215" s="19" t="n"/>
      <c r="L215" s="19" t="n"/>
      <c r="M215" s="5" t="n"/>
      <c r="N215" s="19" t="n"/>
      <c r="O215" s="19" t="inlineStr">
        <is>
          <t>One film with Khan, credited as background-score composer: Laal Singh Chaddha (2022), directed by Advait Chandan, with Khan in the lead as Laal Singh Chaddha; verdict: Disaster.</t>
        </is>
      </c>
      <c r="P215" s="17" t="n">
        <v>1</v>
      </c>
      <c r="Q215" s="5" t="inlineStr">
        <is>
          <t>FILM-053</t>
        </is>
      </c>
      <c r="R215" s="5" t="inlineStr">
        <is>
          <t>Laal Singh Chaddha (2022)</t>
        </is>
      </c>
      <c r="S215" s="5" t="inlineStr">
        <is>
          <t>Tanuj Tiku is credited as background-score composer on Laal Singh Chaddha (2022). No Wikipedia article or other independent biography was located; this row is built from the film credit alone.</t>
        </is>
      </c>
      <c r="T215" s="5" t="inlineStr">
        <is>
          <t>SOURCE-059</t>
        </is>
      </c>
      <c r="U215" s="5" t="inlineStr">
        <is>
          <t>Low</t>
        </is>
      </c>
    </row>
    <row r="216" ht="64" customHeight="1">
      <c r="A216" s="15" t="inlineStr">
        <is>
          <t>PERSON-215</t>
        </is>
      </c>
      <c r="B216" s="5" t="inlineStr">
        <is>
          <t>Tanveer Khan</t>
        </is>
      </c>
      <c r="C216" s="5" t="inlineStr">
        <is>
          <t>Writer</t>
        </is>
      </c>
      <c r="D216" s="18" t="n"/>
      <c r="E216" s="18" t="n"/>
      <c r="F216" s="5" t="n"/>
      <c r="G216" s="5" t="inlineStr">
        <is>
          <t>Hindi cinema</t>
        </is>
      </c>
      <c r="H216" s="5" t="inlineStr">
        <is>
          <t>A writer credited on one film in this filmography, with no Wikipedia article of their own.</t>
        </is>
      </c>
      <c r="I216" s="5" t="n"/>
      <c r="J216" s="5" t="inlineStr">
        <is>
          <t>With Khan: Ishq (1997).</t>
        </is>
      </c>
      <c r="K216" s="19" t="n"/>
      <c r="L216" s="19" t="n"/>
      <c r="M216" s="5" t="n"/>
      <c r="N216" s="19" t="n"/>
      <c r="O216" s="19" t="inlineStr">
        <is>
          <t>One film with Khan, credited as writer: Ishq (1997), directed by Indra Kumar, with Khan in a co-lead as Raja; verdict: Commercial success.</t>
        </is>
      </c>
      <c r="P216" s="17" t="n">
        <v>1</v>
      </c>
      <c r="Q216" s="5" t="inlineStr">
        <is>
          <t>FILM-027</t>
        </is>
      </c>
      <c r="R216" s="5" t="inlineStr">
        <is>
          <t>Ishq (1997)</t>
        </is>
      </c>
      <c r="S216" s="5" t="inlineStr">
        <is>
          <t>Tanveer Khan is credited as writer on Ishq (1997). No Wikipedia article or other independent biography was located; this row is built from the film credit alone.</t>
        </is>
      </c>
      <c r="T216" s="5" t="inlineStr">
        <is>
          <t>SOURCE-033</t>
        </is>
      </c>
      <c r="U216" s="5" t="inlineStr">
        <is>
          <t>Low</t>
        </is>
      </c>
    </row>
    <row r="217" ht="79" customHeight="1">
      <c r="A217" s="15" t="inlineStr">
        <is>
          <t>PERSON-216</t>
        </is>
      </c>
      <c r="B217" s="5" t="inlineStr">
        <is>
          <t>The Walt Disney Company India</t>
        </is>
      </c>
      <c r="C217" s="5" t="inlineStr">
        <is>
          <t>Production banner</t>
        </is>
      </c>
      <c r="D217" s="18" t="n"/>
      <c r="E217" s="18" t="n"/>
      <c r="F217" s="5" t="n"/>
      <c r="G217" s="5" t="inlineStr">
        <is>
          <t>Hindi cinema</t>
        </is>
      </c>
      <c r="H217" s="5" t="inlineStr">
        <is>
          <t>The Indian subsidiary of The Walt Disney Company, set up in 2001 after an earlier joint venture with Modi Enterprises; after Disney acquired 21st Century Fox in 2019 it became India's largest television broadcaster through Star India.</t>
        </is>
      </c>
      <c r="I217" s="5" t="n"/>
      <c r="J217" s="5" t="inlineStr">
        <is>
          <t>With Khan: Dangal (2016). Disney India co-productions: Dangal, ABCD 2, Jagga Jasoos.</t>
        </is>
      </c>
      <c r="K217" s="19" t="n"/>
      <c r="L217" s="19" t="n"/>
      <c r="M217" s="5" t="n"/>
      <c r="N217" s="19" t="n"/>
      <c r="O217" s="19" t="inlineStr">
        <is>
          <t>Co-produced Dangal with Aamir Khan Productions; Khan plays Mahavir Singh Phogat. It became the highest-grossing Indian film.</t>
        </is>
      </c>
      <c r="P217" s="17" t="n">
        <v>1</v>
      </c>
      <c r="Q217" s="5" t="inlineStr">
        <is>
          <t>FILM-049</t>
        </is>
      </c>
      <c r="R217" s="5" t="inlineStr">
        <is>
          <t>Dangal (2016)</t>
        </is>
      </c>
      <c r="S217" s="5" t="inlineStr">
        <is>
          <t>The Walt Disney Company India began as a licensing joint venture in 1993 and became a wholly owned subsidiary in the 2000s; through its acquisition of UTV it entered Hindi film production. It co-produced Dangal (2016) with Aamir Khan Productions, the story of the wrestler Mahavir Singh Phogat (Khan) and his daughters, which became the highest-grossing Indian film worldwide.</t>
        </is>
      </c>
      <c r="T217" s="5" t="inlineStr">
        <is>
          <t>SOURCE-208; SOURCE-055</t>
        </is>
      </c>
      <c r="U217" s="5" t="inlineStr">
        <is>
          <t>Medium</t>
        </is>
      </c>
    </row>
    <row r="218" ht="64" customHeight="1">
      <c r="A218" s="15" t="inlineStr">
        <is>
          <t>PERSON-217</t>
        </is>
      </c>
      <c r="B218" s="5" t="inlineStr">
        <is>
          <t>TKF Films</t>
        </is>
      </c>
      <c r="C218" s="5" t="inlineStr">
        <is>
          <t>Production banner</t>
        </is>
      </c>
      <c r="D218" s="18" t="n"/>
      <c r="E218" s="18" t="n"/>
      <c r="F218" s="5" t="n"/>
      <c r="G218" s="5" t="inlineStr">
        <is>
          <t>Hindi cinema</t>
        </is>
      </c>
      <c r="H218" s="5" t="inlineStr">
        <is>
          <t>A production banner credited on one film in this filmography, with no Wikipedia article of its own.</t>
        </is>
      </c>
      <c r="I218" s="5" t="n"/>
      <c r="J218" s="5" t="inlineStr">
        <is>
          <t>With Khan: Mangal Pandey: The Rising (2005).</t>
        </is>
      </c>
      <c r="K218" s="19" t="n"/>
      <c r="L218" s="19" t="n"/>
      <c r="M218" s="5" t="n"/>
      <c r="N218" s="19" t="n"/>
      <c r="O218" s="19" t="inlineStr">
        <is>
          <t>One film with Khan, credited as production banner: Mangal Pandey: The Rising (2005), directed by Ketan Mehta, with Khan in the lead as Mangal Pandey; verdict: Average.</t>
        </is>
      </c>
      <c r="P218" s="17" t="n">
        <v>1</v>
      </c>
      <c r="Q218" s="5" t="inlineStr">
        <is>
          <t>FILM-035</t>
        </is>
      </c>
      <c r="R218" s="5" t="inlineStr">
        <is>
          <t>Mangal Pandey: The Rising (2005)</t>
        </is>
      </c>
      <c r="S218" s="5" t="inlineStr">
        <is>
          <t>TKF Films is credited as production banner on Mangal Pandey: The Rising (2005). No Wikipedia article or other independent biography was located for the company; this row is built from the film credit alone.</t>
        </is>
      </c>
      <c r="T218" s="5" t="inlineStr">
        <is>
          <t>SOURCE-041</t>
        </is>
      </c>
      <c r="U218" s="5" t="inlineStr">
        <is>
          <t>Low</t>
        </is>
      </c>
    </row>
    <row r="219" ht="79" customHeight="1">
      <c r="A219" s="15" t="inlineStr">
        <is>
          <t>PERSON-218</t>
        </is>
      </c>
      <c r="B219" s="5" t="inlineStr">
        <is>
          <t>Tushar Bhatia</t>
        </is>
      </c>
      <c r="C219" s="5" t="inlineStr">
        <is>
          <t>Song composer</t>
        </is>
      </c>
      <c r="D219" s="18" t="n"/>
      <c r="E219" s="18" t="n"/>
      <c r="F219" s="5" t="n"/>
      <c r="G219" s="5" t="inlineStr">
        <is>
          <t>Hindi cinema</t>
        </is>
      </c>
      <c r="H219" s="5" t="inlineStr">
        <is>
          <t>A song composer credited on one film in this filmography, with no Wikipedia article of their own.</t>
        </is>
      </c>
      <c r="I219" s="5" t="n"/>
      <c r="J219" s="5" t="inlineStr">
        <is>
          <t>With Khan: Andaz Apna Apna (1994).</t>
        </is>
      </c>
      <c r="K219" s="19" t="n"/>
      <c r="L219" s="19" t="n"/>
      <c r="M219" s="5" t="n"/>
      <c r="N219" s="19" t="n"/>
      <c r="O219" s="19" t="inlineStr">
        <is>
          <t>One film with Khan, credited as song composer: Andaz Apna Apna (1994), directed by Rajkumar Santoshi, with Khan in the lead as Amar Manohar; verdict: Commercially unsuccessful.</t>
        </is>
      </c>
      <c r="P219" s="17" t="n">
        <v>1</v>
      </c>
      <c r="Q219" s="5" t="inlineStr">
        <is>
          <t>FILM-021</t>
        </is>
      </c>
      <c r="R219" s="5" t="inlineStr">
        <is>
          <t>Andaz Apna Apna (1994)</t>
        </is>
      </c>
      <c r="S219" s="5" t="inlineStr">
        <is>
          <t>Tushar Bhatia is credited as song composer on Andaz Apna Apna (1994). No Wikipedia article or other independent biography was located; this row is built from the film credit alone.</t>
        </is>
      </c>
      <c r="T219" s="5" t="inlineStr">
        <is>
          <t>SOURCE-027</t>
        </is>
      </c>
      <c r="U219" s="5" t="inlineStr">
        <is>
          <t>Low</t>
        </is>
      </c>
    </row>
    <row r="220" ht="64" customHeight="1">
      <c r="A220" s="15" t="inlineStr">
        <is>
          <t>PERSON-219</t>
        </is>
      </c>
      <c r="B220" s="5" t="inlineStr">
        <is>
          <t>Uttankk V. Vora</t>
        </is>
      </c>
      <c r="C220" s="5" t="inlineStr">
        <is>
          <t>Song composer</t>
        </is>
      </c>
      <c r="D220" s="18" t="n"/>
      <c r="E220" s="18" t="n"/>
      <c r="F220" s="5" t="n"/>
      <c r="G220" s="5" t="inlineStr">
        <is>
          <t>Hindi cinema</t>
        </is>
      </c>
      <c r="H220" s="5" t="inlineStr">
        <is>
          <t>A song composer credited on one film in this filmography, with no Wikipedia article of their own.</t>
        </is>
      </c>
      <c r="I220" s="5" t="n"/>
      <c r="J220" s="5" t="inlineStr">
        <is>
          <t>With Khan: Pehla Nasha (1993).</t>
        </is>
      </c>
      <c r="K220" s="19" t="n"/>
      <c r="L220" s="19" t="n"/>
      <c r="M220" s="5" t="n"/>
      <c r="N220" s="19" t="n"/>
      <c r="O220" s="19" t="inlineStr">
        <is>
          <t>One film with Khan, credited as song composer: Pehla Nasha (1993), directed by Ashutosh Gowariker, with Khan in a self appearance; verdict: Failure.</t>
        </is>
      </c>
      <c r="P220" s="17" t="n">
        <v>1</v>
      </c>
      <c r="Q220" s="5" t="inlineStr">
        <is>
          <t>FILM-020</t>
        </is>
      </c>
      <c r="R220" s="5" t="inlineStr">
        <is>
          <t>Pehla Nasha (1993)</t>
        </is>
      </c>
      <c r="S220" s="5" t="inlineStr">
        <is>
          <t>Uttankk V. Vora is credited as song composer on Pehla Nasha (1993). No Wikipedia article or other independent biography was located; this row is built from the film credit alone.</t>
        </is>
      </c>
      <c r="T220" s="5" t="inlineStr">
        <is>
          <t>SOURCE-026</t>
        </is>
      </c>
      <c r="U220" s="5" t="inlineStr">
        <is>
          <t>Low</t>
        </is>
      </c>
    </row>
    <row r="221" ht="64" customHeight="1">
      <c r="A221" s="15" t="inlineStr">
        <is>
          <t>PERSON-220</t>
        </is>
      </c>
      <c r="B221" s="5" t="inlineStr">
        <is>
          <t>Vandana Productions</t>
        </is>
      </c>
      <c r="C221" s="5" t="inlineStr">
        <is>
          <t>Production banner</t>
        </is>
      </c>
      <c r="D221" s="18" t="n"/>
      <c r="E221" s="18" t="n"/>
      <c r="F221" s="5" t="n"/>
      <c r="G221" s="5" t="inlineStr">
        <is>
          <t>Hindi cinema</t>
        </is>
      </c>
      <c r="H221" s="5" t="inlineStr">
        <is>
          <t>A production banner credited on one film in this filmography, with no Wikipedia article of its own.</t>
        </is>
      </c>
      <c r="I221" s="5" t="n"/>
      <c r="J221" s="5" t="inlineStr">
        <is>
          <t>With Khan: Deewana Mujh Sa Nahin (1990).</t>
        </is>
      </c>
      <c r="K221" s="19" t="n"/>
      <c r="L221" s="19" t="n"/>
      <c r="M221" s="5" t="n"/>
      <c r="N221" s="19" t="n"/>
      <c r="O221" s="19" t="inlineStr">
        <is>
          <t>One film with Khan, credited as production banner: Deewana Mujh Sa Nahin (1990), directed by Y. Nageshwar Rao, with Khan in the lead as Ajay Sharma.</t>
        </is>
      </c>
      <c r="P221" s="17" t="n">
        <v>1</v>
      </c>
      <c r="Q221" s="5" t="inlineStr">
        <is>
          <t>FILM-010</t>
        </is>
      </c>
      <c r="R221" s="5" t="inlineStr">
        <is>
          <t>Deewana Mujh Sa Nahin (1990)</t>
        </is>
      </c>
      <c r="S221" s="5" t="inlineStr">
        <is>
          <t>Vandana Productions is credited as production banner on Deewana Mujh Sa Nahin (1990). No Wikipedia article or other independent biography was located for the company; this row is built from the film credit alone.</t>
        </is>
      </c>
      <c r="T221" s="5" t="inlineStr">
        <is>
          <t>SOURCE-015</t>
        </is>
      </c>
      <c r="U221" s="5" t="inlineStr">
        <is>
          <t>Low</t>
        </is>
      </c>
    </row>
    <row r="222" ht="79" customHeight="1">
      <c r="A222" s="15" t="inlineStr">
        <is>
          <t>PERSON-221</t>
        </is>
      </c>
      <c r="B222" s="5" t="inlineStr">
        <is>
          <t>Vanraj Bhatia</t>
        </is>
      </c>
      <c r="C222" s="5" t="inlineStr">
        <is>
          <t>Background-score composer</t>
        </is>
      </c>
      <c r="D222" s="17" t="n">
        <v>1927</v>
      </c>
      <c r="E222" s="17" t="n">
        <v>2021</v>
      </c>
      <c r="F222" s="5" t="n"/>
      <c r="G222" s="5" t="inlineStr">
        <is>
          <t>Hindi cinema</t>
        </is>
      </c>
      <c r="H222" s="5" t="inlineStr">
        <is>
          <t>A composer best known for Indian New Wave cinema and one of the leading Indian composers of Western classical music, who studied at the Royal Academy of Music in London under Howard Ferguson, Alan Bush and William Alwyn.</t>
        </is>
      </c>
      <c r="I222" s="5" t="inlineStr">
        <is>
          <t>Ankur (1974), for Shyam Benegal.</t>
        </is>
      </c>
      <c r="J222" s="5" t="inlineStr">
        <is>
          <t>With Khan: Damini (1993). Wider work: Ankur, Manthan, Bhumika, Junoon, Mandi, Jaane Bhi Do Yaaro, Tamas.</t>
        </is>
      </c>
      <c r="K222" s="19" t="inlineStr">
        <is>
          <t>Spare, classically trained scoring for parallel cinema.</t>
        </is>
      </c>
      <c r="L222" s="19" t="n"/>
      <c r="M222" s="5" t="inlineStr">
        <is>
          <t>National Film Award for Best Music Direction (Tamas, 1988); Sangeet Natak Akademi Award (1989); Padma Shri (2012).</t>
        </is>
      </c>
      <c r="N222" s="19" t="n"/>
      <c r="O222" s="19" t="inlineStr">
        <is>
          <t>Wrote the background score of Rajkumar Santoshi's Damini, in which Khan makes a special appearance.</t>
        </is>
      </c>
      <c r="P222" s="17" t="n">
        <v>1</v>
      </c>
      <c r="Q222" s="5" t="inlineStr">
        <is>
          <t>FILM-017</t>
        </is>
      </c>
      <c r="R222" s="5" t="inlineStr">
        <is>
          <t>Damini (1993)</t>
        </is>
      </c>
      <c r="S222" s="5" t="inlineStr">
        <is>
          <t>Vanraj Bhatia came to Western classical composition after hearing Tchaikovsky as a teenager, studied in London, and became Shyam Benegal's composer from Ankur onward, as well as scoring Jaane Bhi Do Yaaro and Govind Nihalani's Tamas, which won him a National Award. He wrote the background score of Damini (1993), Rajkumar Santoshi's courtroom drama about a woman who testifies to a rape in her husband's family, in which Aamir Khan appears in a special role. Bhatia died on 7 May 2021.</t>
        </is>
      </c>
      <c r="T222" s="5" t="inlineStr">
        <is>
          <t>SOURCE-209; SOURCE-023</t>
        </is>
      </c>
      <c r="U222" s="5" t="inlineStr">
        <is>
          <t>Medium</t>
        </is>
      </c>
    </row>
    <row r="223" ht="64" customHeight="1">
      <c r="A223" s="15" t="inlineStr">
        <is>
          <t>PERSON-222</t>
        </is>
      </c>
      <c r="B223" s="5" t="inlineStr">
        <is>
          <t>Varma Creations</t>
        </is>
      </c>
      <c r="C223" s="5" t="inlineStr">
        <is>
          <t>Production banner</t>
        </is>
      </c>
      <c r="D223" s="18" t="n"/>
      <c r="E223" s="18" t="n"/>
      <c r="F223" s="5" t="n"/>
      <c r="G223" s="5" t="inlineStr">
        <is>
          <t>Hindi cinema</t>
        </is>
      </c>
      <c r="H223" s="5" t="inlineStr">
        <is>
          <t>A production banner credited on one film in this filmography, with no Wikipedia article of its own.</t>
        </is>
      </c>
      <c r="I223" s="5" t="n"/>
      <c r="J223" s="5" t="inlineStr">
        <is>
          <t>With Khan: Rangeela (1995).</t>
        </is>
      </c>
      <c r="K223" s="19" t="n"/>
      <c r="L223" s="19" t="n"/>
      <c r="M223" s="5" t="n"/>
      <c r="N223" s="19" t="n"/>
      <c r="O223" s="19" t="inlineStr">
        <is>
          <t>One film with Khan, credited as production banner: Rangeela (1995), directed by Ram Gopal Varma, with Khan in the lead as Munna; verdict: Blockbuster.</t>
        </is>
      </c>
      <c r="P223" s="17" t="n">
        <v>1</v>
      </c>
      <c r="Q223" s="5" t="inlineStr">
        <is>
          <t>FILM-024</t>
        </is>
      </c>
      <c r="R223" s="5" t="inlineStr">
        <is>
          <t>Rangeela (1995)</t>
        </is>
      </c>
      <c r="S223" s="5" t="inlineStr">
        <is>
          <t>Varma Creations is credited as production banner on Rangeela (1995). No Wikipedia article or other independent biography was located for the company; this row is built from the film credit alone.</t>
        </is>
      </c>
      <c r="T223" s="5" t="inlineStr">
        <is>
          <t>SOURCE-030</t>
        </is>
      </c>
      <c r="U223" s="5" t="inlineStr">
        <is>
          <t>Low</t>
        </is>
      </c>
    </row>
    <row r="224" ht="64" customHeight="1">
      <c r="A224" s="15" t="inlineStr">
        <is>
          <t>PERSON-223</t>
        </is>
      </c>
      <c r="B224" s="5" t="inlineStr">
        <is>
          <t>Viacom18 Studios</t>
        </is>
      </c>
      <c r="C224" s="5" t="inlineStr">
        <is>
          <t>Production banner</t>
        </is>
      </c>
      <c r="D224" s="18" t="n"/>
      <c r="E224" s="18" t="n"/>
      <c r="F224" s="5" t="n"/>
      <c r="G224" s="5" t="inlineStr">
        <is>
          <t>Hindi cinema</t>
        </is>
      </c>
      <c r="H224" s="5" t="inlineStr">
        <is>
          <t>A Mumbai film production and distribution company, a subsidiary of Viacom18 and later JioStar, which distributed Paramount films in India from 2011 and was merged into Star Studio18.</t>
        </is>
      </c>
      <c r="I224" s="5" t="n"/>
      <c r="J224" s="5" t="inlineStr">
        <is>
          <t>With Khan: Laal Singh Chaddha (2022). Wider work: Queen, Kahaani, Padmaavat, Andhadhun.</t>
        </is>
      </c>
      <c r="K224" s="19" t="n"/>
      <c r="L224" s="19" t="n"/>
      <c r="M224" s="5" t="n"/>
      <c r="N224" s="19" t="n"/>
      <c r="O224" s="19" t="inlineStr">
        <is>
          <t>Co-produced Laal Singh Chaddha with Aamir Khan Productions and Paramount; Khan plays the title role. It was a disaster.</t>
        </is>
      </c>
      <c r="P224" s="17" t="n">
        <v>1</v>
      </c>
      <c r="Q224" s="5" t="inlineStr">
        <is>
          <t>FILM-053</t>
        </is>
      </c>
      <c r="R224" s="5" t="inlineStr">
        <is>
          <t>Laal Singh Chaddha (2022)</t>
        </is>
      </c>
      <c r="S224" s="5" t="inlineStr">
        <is>
          <t>Viacom18 Studios ran one of the first studio-model film businesses in India and was Paramount's distributor there from 2011. It co-produced Laal Singh Chaddha (2022), Aamir Khan's Forrest Gump adaptation, which failed commercially. The studio was later merged into Star Studio18 after Viacom18 combined with Disney Star.</t>
        </is>
      </c>
      <c r="T224" s="5" t="inlineStr">
        <is>
          <t>SOURCE-210; SOURCE-059</t>
        </is>
      </c>
      <c r="U224" s="5" t="inlineStr">
        <is>
          <t>Medium</t>
        </is>
      </c>
    </row>
    <row r="225" ht="79" customHeight="1">
      <c r="A225" s="15" t="inlineStr">
        <is>
          <t>PERSON-224</t>
        </is>
      </c>
      <c r="B225" s="5" t="inlineStr">
        <is>
          <t>Viju Shah</t>
        </is>
      </c>
      <c r="C225" s="5" t="inlineStr">
        <is>
          <t>Background-score composer</t>
        </is>
      </c>
      <c r="D225" s="17" t="n">
        <v>1959</v>
      </c>
      <c r="E225" s="18" t="n"/>
      <c r="F225" s="5" t="inlineStr">
        <is>
          <t>1989–present</t>
        </is>
      </c>
      <c r="G225" s="5" t="inlineStr">
        <is>
          <t>Hindi cinema</t>
        </is>
      </c>
      <c r="H225" s="5" t="inlineStr">
        <is>
          <t>A Hindi-film composer, son of Kalyanji Virji Shah of Kalyanji–Anandji, who has scored over 20 films, many for Rajiv Rai.</t>
        </is>
      </c>
      <c r="I225" s="5" t="inlineStr">
        <is>
          <t>Yudh (1985), credited as Vijay Shah.</t>
        </is>
      </c>
      <c r="J225" s="5" t="inlineStr">
        <is>
          <t>With Khan: Andaz Apna Apna (1994). Wider work: Tridev, Vishwatma, Mohra, Gupt, Bade Miyan Chote Miyan.</t>
        </is>
      </c>
      <c r="K225" s="19" t="inlineStr">
        <is>
          <t>Synth-led action scoring.</t>
        </is>
      </c>
      <c r="L225" s="19" t="n"/>
      <c r="M225" s="5" t="inlineStr">
        <is>
          <t>Filmfare Award for Best Background Score (Gupt, 1998).</t>
        </is>
      </c>
      <c r="N225" s="19" t="n"/>
      <c r="O225" s="19" t="inlineStr">
        <is>
          <t>Wrote the background score of Rajkumar Santoshi's Andaz Apna Apna, the comedy with Khan and Salman Khan as rival suitors; a commercial failure on release, it later became a cult classic.</t>
        </is>
      </c>
      <c r="P225" s="17" t="n">
        <v>1</v>
      </c>
      <c r="Q225" s="5" t="inlineStr">
        <is>
          <t>FILM-021</t>
        </is>
      </c>
      <c r="R225" s="5" t="inlineStr">
        <is>
          <t>Andaz Apna Apna (1994)</t>
        </is>
      </c>
      <c r="S225" s="5" t="inlineStr">
        <is>
          <t>Viju Shah grew up in the Kalyanji–Anandji household and broke through with Rajiv Rai's Tridev (1989) and its song 'Tirchi Topiwale', followed by Mohra and Gupt, which won him the Filmfare Award for Best Background Score. He scored Andaz Apna Apna (1994), Rajkumar Santoshi's comedy in which Aamir Khan and Salman Khan play two layabouts competing for an heiress; it did poorly in cinemas but became one of the most quoted Hindi comedies.</t>
        </is>
      </c>
      <c r="T225" s="5" t="inlineStr">
        <is>
          <t>SOURCE-211; SOURCE-027</t>
        </is>
      </c>
      <c r="U225" s="5" t="inlineStr">
        <is>
          <t>Medium</t>
        </is>
      </c>
    </row>
    <row r="226" ht="154" customHeight="1">
      <c r="A226" s="15" t="inlineStr">
        <is>
          <t>PERSON-225</t>
        </is>
      </c>
      <c r="B226" s="5" t="inlineStr">
        <is>
          <t>Vikram Bhatt</t>
        </is>
      </c>
      <c r="C226" s="5" t="inlineStr">
        <is>
          <t>Director</t>
        </is>
      </c>
      <c r="D226" s="18" t="n"/>
      <c r="E226" s="18" t="n"/>
      <c r="F226" s="5" t="inlineStr">
        <is>
          <t>1982–present</t>
        </is>
      </c>
      <c r="G226" s="5" t="inlineStr">
        <is>
          <t>Hindi</t>
        </is>
      </c>
      <c r="H226" s="5" t="inlineStr">
        <is>
          <t>Grandson of pioneer filmmaker Vijay Bhatt and son of cinematographer Pravin Bhatt; began at 14 assisting Mukul Anand on Kanoon Kya Karega (1982).</t>
        </is>
      </c>
      <c r="I226" s="5" t="inlineStr">
        <is>
          <t>Breakthrough with Ghulam (1998).</t>
        </is>
      </c>
      <c r="J226" s="5" t="inlineStr">
        <is>
          <t>Ghulam (1998); Kasoor (2001); Raaz (2002); 1920 (2008); Shaapit (2010); Haunted – 3D (2011); Raaz 3D (2012)</t>
        </is>
      </c>
      <c r="K226" s="19" t="inlineStr">
        <is>
          <t>Horror and thriller; the Raaz franchise</t>
        </is>
      </c>
      <c r="L226" s="19" t="inlineStr">
        <is>
          <t>Genre filmmaking; introduced stereoscopic 3D horror to Indian cinema with Haunted – 3D.</t>
        </is>
      </c>
      <c r="M226" s="5" t="inlineStr">
        <is>
          <t>Filmfare Best Director nominations for Ghulam (1999) and Raaz (2003)</t>
        </is>
      </c>
      <c r="N226" s="19" t="inlineStr">
        <is>
          <t>A leading figure in Hindi horror cinema; founded Loneranger Productions.</t>
        </is>
      </c>
      <c r="O226" s="19" t="inlineStr">
        <is>
          <t>Directed Aamir Khan in Ghulam, his most successful film.</t>
        </is>
      </c>
      <c r="P226" s="17" t="n">
        <v>1</v>
      </c>
      <c r="Q226" s="5" t="inlineStr">
        <is>
          <t>FILM-028</t>
        </is>
      </c>
      <c r="R226" s="5" t="inlineStr">
        <is>
          <t>Ghulam (1998)</t>
        </is>
      </c>
      <c r="S226" s="5" t="inlineStr">
        <is>
          <t>Vikram Bhatt is the grandson of Vijay Bhatt, a pioneer of Indian cinema, and the son of cinematographer Pravin Bhatt. He entered films at 14, working with Mukul Anand on Kanoon Kya Karega (1982). His breakthrough came with Ghulam (1998), produced by Mukesh Bhatt and written by Anjum Rajabali from On the Waterfront. Aamir Khan plays Siddhu, an aimless Mumbai boxer drawn into a gangster's orbit through his brother, who finds the courage to testify and fight back. The film was a hit and earned Bhatt a Filmfare Best Director nomination. Its train-race dare won Filmfare's Best Scene award, and Aamir's own recording of 'Aati Kya Khandala' earned him a playback nomination. Bhatt then moved toward thrillers and horror with Kasoor and Raaz (2002), which earned a second Best Director nomination and began a franchise. Later films include 1920, Shaapit and Haunted – 3D (2011), which introduced stereoscopic 3D horror to India and became the highest-grossing Hindi horror film at the time. Ghulam remains his only film with Aamir Khan.</t>
        </is>
      </c>
      <c r="T226" s="5" t="inlineStr">
        <is>
          <t>SOURCE-096; SOURCE-034</t>
        </is>
      </c>
      <c r="U226" s="5" t="inlineStr">
        <is>
          <t>Medium</t>
        </is>
      </c>
    </row>
    <row r="227" ht="49" customHeight="1">
      <c r="A227" s="15" t="inlineStr">
        <is>
          <t>PERSON-226</t>
        </is>
      </c>
      <c r="B227" s="5" t="inlineStr">
        <is>
          <t>Vikram Negi</t>
        </is>
      </c>
      <c r="C227" s="5" t="inlineStr">
        <is>
          <t>Song composer</t>
        </is>
      </c>
      <c r="D227" s="18" t="n"/>
      <c r="E227" s="18" t="n"/>
      <c r="F227" s="5" t="n"/>
      <c r="G227" s="5" t="inlineStr">
        <is>
          <t>Hindi cinema</t>
        </is>
      </c>
      <c r="H227" s="5" t="inlineStr">
        <is>
          <t>A song composer credited on one film in this filmography, with no Wikipedia article of their own.</t>
        </is>
      </c>
      <c r="I227" s="5" t="n"/>
      <c r="J227" s="5" t="inlineStr">
        <is>
          <t>With Khan: Koi Jaane Na (2021).</t>
        </is>
      </c>
      <c r="K227" s="19" t="n"/>
      <c r="L227" s="19" t="n"/>
      <c r="M227" s="5" t="n"/>
      <c r="N227" s="19" t="n"/>
      <c r="O227" s="19" t="inlineStr">
        <is>
          <t>One film with Khan, credited as song composer: Koi Jaane Na (2021), directed by Amin Hajee, with Khan in a self appearance.</t>
        </is>
      </c>
      <c r="P227" s="17" t="n">
        <v>1</v>
      </c>
      <c r="Q227" s="5" t="inlineStr">
        <is>
          <t>FILM-052</t>
        </is>
      </c>
      <c r="R227" s="5" t="inlineStr">
        <is>
          <t>Koi Jaane Na (2021)</t>
        </is>
      </c>
      <c r="S227" s="5" t="inlineStr">
        <is>
          <t>Vikram Negi is credited as song composer on Koi Jaane Na (2021). No Wikipedia article or other independent biography was located; this row is built from the film credit alone.</t>
        </is>
      </c>
      <c r="T227" s="5" t="inlineStr">
        <is>
          <t>SOURCE-058</t>
        </is>
      </c>
      <c r="U227" s="5" t="inlineStr">
        <is>
          <t>Low</t>
        </is>
      </c>
    </row>
    <row r="228" ht="79" customHeight="1">
      <c r="A228" s="15" t="inlineStr">
        <is>
          <t>PERSON-227</t>
        </is>
      </c>
      <c r="B228" s="5" t="inlineStr">
        <is>
          <t>Vinay Kumar Sinha</t>
        </is>
      </c>
      <c r="C228" s="5" t="inlineStr">
        <is>
          <t>Producer</t>
        </is>
      </c>
      <c r="D228" s="17" t="n">
        <v>1946</v>
      </c>
      <c r="E228" s="17" t="n">
        <v>2020</v>
      </c>
      <c r="F228" s="5" t="n"/>
      <c r="G228" s="5" t="inlineStr">
        <is>
          <t>Hindi cinema</t>
        </is>
      </c>
      <c r="H228" s="5" t="inlineStr">
        <is>
          <t>A Hindi-film producer and vice-president of the Indian Motion Picture Producers' Association.</t>
        </is>
      </c>
      <c r="I228" s="5" t="n"/>
      <c r="J228" s="5" t="inlineStr">
        <is>
          <t>With Khan: Andaz Apna Apna (1994). Wider work: Naseeb, Ameer Aadmi Gharib Aadmi, Chor Police (Amjad Khan's directorial debut).</t>
        </is>
      </c>
      <c r="K228" s="19" t="inlineStr">
        <is>
          <t>Mainstream comedy and drama.</t>
        </is>
      </c>
      <c r="L228" s="19" t="n"/>
      <c r="M228" s="5" t="n"/>
      <c r="N228" s="19" t="n"/>
      <c r="O228" s="19" t="inlineStr">
        <is>
          <t>Produced Andaz Apna Apna, which failed on release and became a cult classic.</t>
        </is>
      </c>
      <c r="P228" s="17" t="n">
        <v>1</v>
      </c>
      <c r="Q228" s="5" t="inlineStr">
        <is>
          <t>FILM-021</t>
        </is>
      </c>
      <c r="R228" s="5" t="inlineStr">
        <is>
          <t>Andaz Apna Apna (1994)</t>
        </is>
      </c>
      <c r="S228" s="5" t="inlineStr">
        <is>
          <t>Vinay Kumar Sinha produced Chor Police (1983), Amjad Khan's first film as director, and other mainstream films, and served as vice-president of the Indian Motion Picture Producers' Association. His best-remembered production is Andaz Apna Apna (1994), Rajkumar Santoshi's comedy with Aamir Khan and Salman Khan, which was a commercial failure but acquired cult status. He died on 24 January 2020; the article gives his birth year only approximately.</t>
        </is>
      </c>
      <c r="T228" s="5" t="inlineStr">
        <is>
          <t>SOURCE-212; SOURCE-027</t>
        </is>
      </c>
      <c r="U228" s="5" t="inlineStr">
        <is>
          <t>Low</t>
        </is>
      </c>
    </row>
    <row r="229" ht="79" customHeight="1">
      <c r="A229" s="15" t="inlineStr">
        <is>
          <t>PERSON-228</t>
        </is>
      </c>
      <c r="B229" s="5" t="inlineStr">
        <is>
          <t>Vinay Pictures</t>
        </is>
      </c>
      <c r="C229" s="5" t="inlineStr">
        <is>
          <t>Production banner</t>
        </is>
      </c>
      <c r="D229" s="18" t="n"/>
      <c r="E229" s="18" t="n"/>
      <c r="F229" s="5" t="n"/>
      <c r="G229" s="5" t="inlineStr">
        <is>
          <t>Hindi cinema</t>
        </is>
      </c>
      <c r="H229" s="5" t="inlineStr">
        <is>
          <t>A production banner credited on one film in this filmography, with no Wikipedia article of its own.</t>
        </is>
      </c>
      <c r="I229" s="5" t="n"/>
      <c r="J229" s="5" t="inlineStr">
        <is>
          <t>With Khan: Andaz Apna Apna (1994).</t>
        </is>
      </c>
      <c r="K229" s="19" t="n"/>
      <c r="L229" s="19" t="n"/>
      <c r="M229" s="5" t="n"/>
      <c r="N229" s="19" t="n"/>
      <c r="O229" s="19" t="inlineStr">
        <is>
          <t>One film with Khan, credited as production banner: Andaz Apna Apna (1994), directed by Rajkumar Santoshi, with Khan in the lead as Amar Manohar; verdict: Commercially unsuccessful.</t>
        </is>
      </c>
      <c r="P229" s="17" t="n">
        <v>1</v>
      </c>
      <c r="Q229" s="5" t="inlineStr">
        <is>
          <t>FILM-021</t>
        </is>
      </c>
      <c r="R229" s="5" t="inlineStr">
        <is>
          <t>Andaz Apna Apna (1994)</t>
        </is>
      </c>
      <c r="S229" s="5" t="inlineStr">
        <is>
          <t>Vinay Pictures is credited as production banner on Andaz Apna Apna (1994). No Wikipedia article or other independent biography was located for the company; this row is built from the film credit alone.</t>
        </is>
      </c>
      <c r="T229" s="5" t="inlineStr">
        <is>
          <t>SOURCE-027</t>
        </is>
      </c>
      <c r="U229" s="5" t="inlineStr">
        <is>
          <t>Low</t>
        </is>
      </c>
    </row>
    <row r="230" ht="79" customHeight="1">
      <c r="A230" s="15" t="inlineStr">
        <is>
          <t>PERSON-229</t>
        </is>
      </c>
      <c r="B230" s="5" t="inlineStr">
        <is>
          <t>Vir Das</t>
        </is>
      </c>
      <c r="C230" s="5" t="inlineStr">
        <is>
          <t>Director; Producer; actor</t>
        </is>
      </c>
      <c r="D230" s="17" t="n">
        <v>1979</v>
      </c>
      <c r="E230" s="18" t="n"/>
      <c r="F230" s="5" t="inlineStr">
        <is>
          <t>2005–present</t>
        </is>
      </c>
      <c r="G230" s="5" t="inlineStr">
        <is>
          <t>Hindi cinema</t>
        </is>
      </c>
      <c r="H230" s="5" t="inlineStr">
        <is>
          <t>A Dehradun-born comedian, actor and musician raised partly in Nigeria, who began in stand-up and won the 2023 International Emmy for Best Comedy Series for Vir Das: Landing.</t>
        </is>
      </c>
      <c r="I230" s="5" t="n"/>
      <c r="J230" s="5" t="inlineStr">
        <is>
          <t>With Khan: Happy Patel: Khatarnak Jasoos (2026). As actor: Badmaash Company, Delhi Belly, Go Goa Gone; Netflix specials.</t>
        </is>
      </c>
      <c r="K230" s="19" t="inlineStr">
        <is>
          <t>Comedy.</t>
        </is>
      </c>
      <c r="L230" s="19" t="n"/>
      <c r="M230" s="5" t="inlineStr">
        <is>
          <t>International Emmy Award for Best Comedy Series (2023).</t>
        </is>
      </c>
      <c r="N230" s="19" t="n"/>
      <c r="O230" s="19" t="inlineStr">
        <is>
          <t>Co-directed and co-produced Happy Patel: Khatarnak Jasoos with Kavi Shastri for Aamir Khan Productions; Khan has a cameo. Das had earlier acted in Khan's production Delhi Belly.</t>
        </is>
      </c>
      <c r="P230" s="17" t="n">
        <v>1</v>
      </c>
      <c r="Q230" s="5" t="inlineStr">
        <is>
          <t>FILM-057</t>
        </is>
      </c>
      <c r="R230" s="5" t="inlineStr">
        <is>
          <t>Happy Patel: Khatarnak Jasoos (2026)</t>
        </is>
      </c>
      <c r="S230" s="5" t="inlineStr">
        <is>
          <t>Vir Das moved from stand-up into Hindi films with supporting roles in Badmaash Company and Delhi Belly (2011), the Aamir Khan Productions comedy, and became internationally known through Netflix specials, winning an International Emmy in 2023. He co-directed Happy Patel: Khatarnak Jasoos (2026), a spy comedy for Aamir Khan Productions in which he stars and Khan makes a cameo.</t>
        </is>
      </c>
      <c r="T230" s="5" t="inlineStr">
        <is>
          <t>SOURCE-213; SOURCE-063</t>
        </is>
      </c>
      <c r="U230" s="5" t="inlineStr">
        <is>
          <t>Medium</t>
        </is>
      </c>
    </row>
    <row r="231" ht="64" customHeight="1">
      <c r="A231" s="15" t="inlineStr">
        <is>
          <t>PERSON-230</t>
        </is>
      </c>
      <c r="B231" s="5" t="inlineStr">
        <is>
          <t>Viral Shah</t>
        </is>
      </c>
      <c r="C231" s="5" t="inlineStr">
        <is>
          <t>Producer</t>
        </is>
      </c>
      <c r="D231" s="18" t="n"/>
      <c r="E231" s="18" t="n"/>
      <c r="F231" s="5" t="n"/>
      <c r="G231" s="5" t="inlineStr">
        <is>
          <t>Hindi cinema</t>
        </is>
      </c>
      <c r="H231" s="5" t="inlineStr">
        <is>
          <t>A producer credited on one film in this filmography, with no Wikipedia article of their own.</t>
        </is>
      </c>
      <c r="I231" s="5" t="n"/>
      <c r="J231" s="5" t="inlineStr">
        <is>
          <t>With Khan: Pehla Nasha (1993).</t>
        </is>
      </c>
      <c r="K231" s="19" t="n"/>
      <c r="L231" s="19" t="n"/>
      <c r="M231" s="5" t="n"/>
      <c r="N231" s="19" t="n"/>
      <c r="O231" s="19" t="inlineStr">
        <is>
          <t>One film with Khan, credited as producer: Pehla Nasha (1993), directed by Ashutosh Gowariker, with Khan in a self appearance; verdict: Failure.</t>
        </is>
      </c>
      <c r="P231" s="17" t="n">
        <v>1</v>
      </c>
      <c r="Q231" s="5" t="inlineStr">
        <is>
          <t>FILM-020</t>
        </is>
      </c>
      <c r="R231" s="5" t="inlineStr">
        <is>
          <t>Pehla Nasha (1993)</t>
        </is>
      </c>
      <c r="S231" s="5" t="inlineStr">
        <is>
          <t>Viral Shah is credited as producer on Pehla Nasha (1993). No Wikipedia article or other independent biography was located; this row is built from the film credit alone.</t>
        </is>
      </c>
      <c r="T231" s="5" t="inlineStr">
        <is>
          <t>SOURCE-026</t>
        </is>
      </c>
      <c r="U231" s="5" t="inlineStr">
        <is>
          <t>Low</t>
        </is>
      </c>
    </row>
    <row r="232" ht="64" customHeight="1">
      <c r="A232" s="15" t="inlineStr">
        <is>
          <t>PERSON-231</t>
        </is>
      </c>
      <c r="B232" s="5" t="inlineStr">
        <is>
          <t>Xavier Marquis</t>
        </is>
      </c>
      <c r="C232" s="5" t="inlineStr">
        <is>
          <t>Producer</t>
        </is>
      </c>
      <c r="D232" s="18" t="n"/>
      <c r="E232" s="18" t="n"/>
      <c r="F232" s="5" t="n"/>
      <c r="G232" s="5" t="inlineStr">
        <is>
          <t>Hindi cinema</t>
        </is>
      </c>
      <c r="H232" s="5" t="inlineStr">
        <is>
          <t>A producer credited on one film in this filmography, with no Wikipedia article of their own.</t>
        </is>
      </c>
      <c r="I232" s="5" t="n"/>
      <c r="J232" s="5" t="inlineStr">
        <is>
          <t>With Khan: Aatank Hi Aatank (1995).</t>
        </is>
      </c>
      <c r="K232" s="19" t="n"/>
      <c r="L232" s="19" t="n"/>
      <c r="M232" s="5" t="n"/>
      <c r="N232" s="19" t="n"/>
      <c r="O232" s="19" t="inlineStr">
        <is>
          <t>One film with Khan, credited as producer: Aatank Hi Aatank (1995), directed by Dilip Shankar, with Khan in a co-lead as Rohan; verdict: Box office failure.</t>
        </is>
      </c>
      <c r="P232" s="17" t="n">
        <v>1</v>
      </c>
      <c r="Q232" s="5" t="inlineStr">
        <is>
          <t>FILM-023</t>
        </is>
      </c>
      <c r="R232" s="5" t="inlineStr">
        <is>
          <t>Aatank Hi Aatank (1995)</t>
        </is>
      </c>
      <c r="S232" s="5" t="inlineStr">
        <is>
          <t>Xavier Marquis is credited as producer on Aatank Hi Aatank (1995). No Wikipedia article or other independent biography was located; this row is built from the film credit alone.</t>
        </is>
      </c>
      <c r="T232" s="5" t="inlineStr">
        <is>
          <t>SOURCE-029</t>
        </is>
      </c>
      <c r="U232" s="5" t="inlineStr">
        <is>
          <t>Low</t>
        </is>
      </c>
    </row>
    <row r="233" ht="49" customHeight="1">
      <c r="A233" s="15" t="inlineStr">
        <is>
          <t>PERSON-232</t>
        </is>
      </c>
      <c r="B233" s="5" t="inlineStr">
        <is>
          <t>Y. Nageshwar Rao</t>
        </is>
      </c>
      <c r="C233" s="5" t="inlineStr">
        <is>
          <t>Director</t>
        </is>
      </c>
      <c r="D233" s="18" t="n"/>
      <c r="E233" s="18" t="n"/>
      <c r="F233" s="5" t="n"/>
      <c r="G233" s="5" t="inlineStr">
        <is>
          <t>Hindi cinema</t>
        </is>
      </c>
      <c r="H233" s="5" t="inlineStr">
        <is>
          <t>A director credited on one film in this filmography, with no Wikipedia article of their own.</t>
        </is>
      </c>
      <c r="I233" s="5" t="n"/>
      <c r="J233" s="5" t="inlineStr">
        <is>
          <t>With Khan: Deewana Mujh Sa Nahin (1990).</t>
        </is>
      </c>
      <c r="K233" s="19" t="n"/>
      <c r="L233" s="19" t="n"/>
      <c r="M233" s="5" t="n"/>
      <c r="N233" s="19" t="n"/>
      <c r="O233" s="19" t="inlineStr">
        <is>
          <t>One film with Khan, credited as director: Deewana Mujh Sa Nahin (1990), with Khan in the lead as Ajay Sharma.</t>
        </is>
      </c>
      <c r="P233" s="17" t="n">
        <v>1</v>
      </c>
      <c r="Q233" s="5" t="inlineStr">
        <is>
          <t>FILM-010</t>
        </is>
      </c>
      <c r="R233" s="5" t="inlineStr">
        <is>
          <t>Deewana Mujh Sa Nahin (1990)</t>
        </is>
      </c>
      <c r="S233" s="5" t="inlineStr">
        <is>
          <t>Y. Nageshwar Rao is credited as director on Deewana Mujh Sa Nahin (1990). No Wikipedia article or other independent biography was located; this row is built from the film credit alone.</t>
        </is>
      </c>
      <c r="T233" s="5" t="inlineStr">
        <is>
          <t>SOURCE-015</t>
        </is>
      </c>
      <c r="U233" s="5" t="inlineStr">
        <is>
          <t>Low</t>
        </is>
      </c>
    </row>
    <row r="234" ht="94" customHeight="1">
      <c r="A234" s="15" t="inlineStr">
        <is>
          <t>PERSON-233</t>
        </is>
      </c>
      <c r="B234" s="5" t="inlineStr">
        <is>
          <t>Zee Studios</t>
        </is>
      </c>
      <c r="C234" s="5" t="inlineStr">
        <is>
          <t>Production banner</t>
        </is>
      </c>
      <c r="D234" s="18" t="n"/>
      <c r="E234" s="18" t="n"/>
      <c r="F234" s="5" t="n"/>
      <c r="G234" s="5" t="inlineStr">
        <is>
          <t>Hindi cinema</t>
        </is>
      </c>
      <c r="H234" s="5" t="inlineStr">
        <is>
          <t>A Mumbai film production and distribution company established in 2012 as the content arm of Zee Entertainment, formerly Essel Vision Productions; Zee Telefilms earlier produced Gadar: Ek Prem Katha.</t>
        </is>
      </c>
      <c r="I234" s="5" t="inlineStr">
        <is>
          <t>Jazbaa (2015), the first film under the Zee Studios banner.</t>
        </is>
      </c>
      <c r="J234" s="5" t="inlineStr">
        <is>
          <t>With Khan: Secret Superstar (2017). Wider work: Gadar, Jazbaa, Sairat (distribution), Gadar 2.</t>
        </is>
      </c>
      <c r="K234" s="19" t="n"/>
      <c r="L234" s="19" t="n"/>
      <c r="M234" s="5" t="n"/>
      <c r="N234" s="19" t="n"/>
      <c r="O234" s="19" t="inlineStr">
        <is>
          <t>Co-produced Secret Superstar, Advait Chandan's drama about a girl who becomes a YouTube singer, with Khan in a supporting role as a washed-up music director. It was a blockbuster, largely on the strength of its Chinese release.</t>
        </is>
      </c>
      <c r="P234" s="17" t="n">
        <v>1</v>
      </c>
      <c r="Q234" s="5" t="inlineStr">
        <is>
          <t>FILM-050</t>
        </is>
      </c>
      <c r="R234" s="5" t="inlineStr">
        <is>
          <t>Secret Superstar (2017)</t>
        </is>
      </c>
      <c r="S234" s="5" t="inlineStr">
        <is>
          <t>Zee Studios is the film business of Zee Entertainment; its predecessor Zee Telefilms produced Gadar: Ek Prem Katha (2001), one of the biggest hits of its era. It co-produced Secret Superstar (2017), Aamir Khan Productions' film about a teenage girl in Vadodara who secretly becomes a singing star online, with Khan as the vain composer Shakti Kumaar. The film was a blockbuster, with most of its earnings coming from China.</t>
        </is>
      </c>
      <c r="T234" s="5" t="inlineStr">
        <is>
          <t>SOURCE-214; SOURCE-056</t>
        </is>
      </c>
      <c r="U234" s="5" t="inlineStr">
        <is>
          <t>Medium</t>
        </is>
      </c>
    </row>
  </sheetData>
  <autoFilter ref="A1:U234"/>
  <dataValidations count="1">
    <dataValidation sqref="U2:U434"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2" customWidth="1" min="5" max="5"/>
    <col width="20" customWidth="1" min="6" max="6"/>
    <col width="16" customWidth="1" min="7" max="7"/>
    <col width="12" customWidth="1" min="8" max="8"/>
    <col width="30" customWidth="1" min="9" max="9"/>
    <col width="30" customWidth="1" min="10" max="10"/>
    <col width="50" customWidth="1" min="11" max="11"/>
    <col width="30" customWidth="1" min="12" max="12"/>
    <col width="22" customWidth="1" min="13" max="13"/>
  </cols>
  <sheetData>
    <row r="1" ht="36" customHeight="1">
      <c r="A1" s="12" t="inlineStr">
        <is>
          <t>Cast ID</t>
        </is>
      </c>
      <c r="B1" s="12" t="inlineStr">
        <is>
          <t>Film ID</t>
        </is>
      </c>
      <c r="C1" s="12" t="inlineStr">
        <is>
          <t>Film</t>
        </is>
      </c>
      <c r="D1" s="12" t="inlineStr">
        <is>
          <t>Release Year</t>
        </is>
      </c>
      <c r="E1" s="12" t="inlineStr">
        <is>
          <t>Actor</t>
        </is>
      </c>
      <c r="F1" s="12" t="inlineStr">
        <is>
          <t>Character</t>
        </is>
      </c>
      <c r="G1" s="12" t="inlineStr">
        <is>
          <t>Cast Function</t>
        </is>
      </c>
      <c r="H1" s="12" t="inlineStr">
        <is>
          <t>Importance Level</t>
        </is>
      </c>
      <c r="I1" s="12" t="inlineStr">
        <is>
          <t>Relationship to Protagonist</t>
        </is>
      </c>
      <c r="J1" s="12" t="inlineStr">
        <is>
          <t>Relationship to Romantic Plot</t>
        </is>
      </c>
      <c r="K1" s="13" t="inlineStr">
        <is>
          <t>Character Gist</t>
        </is>
      </c>
      <c r="L1" s="12" t="inlineStr">
        <is>
          <t>Performance Recognition</t>
        </is>
      </c>
      <c r="M1" s="12" t="inlineStr">
        <is>
          <t>Source IDs</t>
        </is>
      </c>
    </row>
    <row r="2" ht="49" customHeight="1">
      <c r="A2" s="15" t="inlineStr">
        <is>
          <t>CAST-001</t>
        </is>
      </c>
      <c r="B2" s="18" t="inlineStr">
        <is>
          <t>FILM-001</t>
        </is>
      </c>
      <c r="C2" s="5" t="inlineStr">
        <is>
          <t>Yaadon Ki Baaraat</t>
        </is>
      </c>
      <c r="D2" s="17" t="n">
        <v>1973</v>
      </c>
      <c r="E2" s="5" t="inlineStr">
        <is>
          <t>Dharmendra</t>
        </is>
      </c>
      <c r="F2" s="5" t="inlineStr">
        <is>
          <t>Shankar</t>
        </is>
      </c>
      <c r="G2" s="5" t="inlineStr">
        <is>
          <t>Co-lead</t>
        </is>
      </c>
      <c r="H2" s="5" t="inlineStr">
        <is>
          <t>Major</t>
        </is>
      </c>
      <c r="I2" s="5" t="inlineStr">
        <is>
          <t>One of the separated brothers in the story Aamir Khan's child role belongs to</t>
        </is>
      </c>
      <c r="J2" s="5" t="inlineStr">
        <is>
          <t>Not applicable</t>
        </is>
      </c>
      <c r="K2" s="19" t="inlineStr">
        <is>
          <t>The lead of the separated-brothers masala narrative whose childhood flashback features the young Aamir Khan.</t>
        </is>
      </c>
      <c r="L2" s="5" t="inlineStr">
        <is>
          <t>Filmfare Best Actor nomination</t>
        </is>
      </c>
      <c r="M2" s="5" t="inlineStr">
        <is>
          <t>SOURCE-004</t>
        </is>
      </c>
    </row>
    <row r="3" ht="34" customHeight="1">
      <c r="A3" s="15" t="inlineStr">
        <is>
          <t>CAST-002</t>
        </is>
      </c>
      <c r="B3" s="18" t="inlineStr">
        <is>
          <t>FILM-001</t>
        </is>
      </c>
      <c r="C3" s="5" t="inlineStr">
        <is>
          <t>Yaadon Ki Baaraat</t>
        </is>
      </c>
      <c r="D3" s="17" t="n">
        <v>1973</v>
      </c>
      <c r="E3" s="5" t="inlineStr">
        <is>
          <t>Tariq Khan</t>
        </is>
      </c>
      <c r="F3" s="5" t="inlineStr">
        <is>
          <t>Ratan / Monto</t>
        </is>
      </c>
      <c r="G3" s="5" t="inlineStr">
        <is>
          <t>Co-lead</t>
        </is>
      </c>
      <c r="H3" s="5" t="inlineStr">
        <is>
          <t>Major</t>
        </is>
      </c>
      <c r="I3" s="5" t="inlineStr">
        <is>
          <t>Adult version of the character Aamir Khan plays as a child</t>
        </is>
      </c>
      <c r="J3" s="5" t="inlineStr">
        <is>
          <t>Not applicable</t>
        </is>
      </c>
      <c r="K3" s="19" t="inlineStr">
        <is>
          <t>The grown-up Ratan, whose childhood self is played by Aamir Khan.</t>
        </is>
      </c>
      <c r="L3" s="5" t="n"/>
      <c r="M3" s="5" t="inlineStr">
        <is>
          <t>SOURCE-004</t>
        </is>
      </c>
    </row>
    <row r="4" ht="34" customHeight="1">
      <c r="A4" s="15" t="inlineStr">
        <is>
          <t>CAST-003</t>
        </is>
      </c>
      <c r="B4" s="18" t="inlineStr">
        <is>
          <t>FILM-002</t>
        </is>
      </c>
      <c r="C4" s="5" t="inlineStr">
        <is>
          <t>Madhosh</t>
        </is>
      </c>
      <c r="D4" s="17" t="n">
        <v>1974</v>
      </c>
      <c r="E4" s="5" t="inlineStr">
        <is>
          <t>Mahendra Sandhu</t>
        </is>
      </c>
      <c r="F4" s="5" t="inlineStr">
        <is>
          <t>Raj Kumar</t>
        </is>
      </c>
      <c r="G4" s="5" t="inlineStr">
        <is>
          <t>Co-lead</t>
        </is>
      </c>
      <c r="H4" s="5" t="inlineStr">
        <is>
          <t>Major</t>
        </is>
      </c>
      <c r="I4" s="5" t="inlineStr">
        <is>
          <t>Adult version of the character Aamir Khan plays as a child</t>
        </is>
      </c>
      <c r="J4" s="5" t="inlineStr">
        <is>
          <t>Not applicable</t>
        </is>
      </c>
      <c r="K4" s="19" t="inlineStr">
        <is>
          <t>The film's lead; plot details are not documented in the sources consulted.</t>
        </is>
      </c>
      <c r="L4" s="5" t="n"/>
      <c r="M4" s="5" t="inlineStr">
        <is>
          <t>SOURCE-005</t>
        </is>
      </c>
    </row>
    <row r="5" ht="34" customHeight="1">
      <c r="A5" s="15" t="inlineStr">
        <is>
          <t>CAST-004</t>
        </is>
      </c>
      <c r="B5" s="18" t="inlineStr">
        <is>
          <t>FILM-003</t>
        </is>
      </c>
      <c r="C5" s="5" t="inlineStr">
        <is>
          <t>Holi</t>
        </is>
      </c>
      <c r="D5" s="17" t="n">
        <v>1984</v>
      </c>
      <c r="E5" s="5" t="inlineStr">
        <is>
          <t>Naseeruddin Shah</t>
        </is>
      </c>
      <c r="F5" s="5" t="inlineStr">
        <is>
          <t>Professor Singh</t>
        </is>
      </c>
      <c r="G5" s="5" t="inlineStr">
        <is>
          <t>Authority figure</t>
        </is>
      </c>
      <c r="H5" s="5" t="inlineStr">
        <is>
          <t>Major</t>
        </is>
      </c>
      <c r="I5" s="5" t="inlineStr">
        <is>
          <t>Teacher at the college where Madan studies</t>
        </is>
      </c>
      <c r="J5" s="5" t="inlineStr">
        <is>
          <t>Not applicable</t>
        </is>
      </c>
      <c r="K5" s="19" t="inlineStr">
        <is>
          <t>A college professor amid the student revolt.</t>
        </is>
      </c>
      <c r="L5" s="5" t="n"/>
      <c r="M5" s="5" t="inlineStr">
        <is>
          <t>SOURCE-006</t>
        </is>
      </c>
    </row>
    <row r="6" ht="34" customHeight="1">
      <c r="A6" s="15" t="inlineStr">
        <is>
          <t>CAST-005</t>
        </is>
      </c>
      <c r="B6" s="18" t="inlineStr">
        <is>
          <t>FILM-003</t>
        </is>
      </c>
      <c r="C6" s="5" t="inlineStr">
        <is>
          <t>Holi</t>
        </is>
      </c>
      <c r="D6" s="17" t="n">
        <v>1984</v>
      </c>
      <c r="E6" s="5" t="inlineStr">
        <is>
          <t>Om Puri</t>
        </is>
      </c>
      <c r="F6" s="5" t="inlineStr">
        <is>
          <t>Principal Pandey</t>
        </is>
      </c>
      <c r="G6" s="5" t="inlineStr">
        <is>
          <t>Antagonist</t>
        </is>
      </c>
      <c r="H6" s="5" t="inlineStr">
        <is>
          <t>Major</t>
        </is>
      </c>
      <c r="I6" s="5" t="inlineStr">
        <is>
          <t>The principal the students rebel against</t>
        </is>
      </c>
      <c r="J6" s="5" t="inlineStr">
        <is>
          <t>Not applicable</t>
        </is>
      </c>
      <c r="K6" s="19" t="inlineStr">
        <is>
          <t>The authoritarian principal whose clash with the hostel students escalates into protest and suspension.</t>
        </is>
      </c>
      <c r="L6" s="5" t="n"/>
      <c r="M6" s="5" t="inlineStr">
        <is>
          <t>SOURCE-006</t>
        </is>
      </c>
    </row>
    <row r="7" ht="34" customHeight="1">
      <c r="A7" s="15" t="inlineStr">
        <is>
          <t>CAST-006</t>
        </is>
      </c>
      <c r="B7" s="18" t="inlineStr">
        <is>
          <t>FILM-003</t>
        </is>
      </c>
      <c r="C7" s="5" t="inlineStr">
        <is>
          <t>Holi</t>
        </is>
      </c>
      <c r="D7" s="17" t="n">
        <v>1984</v>
      </c>
      <c r="E7" s="5" t="inlineStr">
        <is>
          <t>Ashutosh Gowariker</t>
        </is>
      </c>
      <c r="F7" s="5" t="inlineStr">
        <is>
          <t>Ranjeet Prakash</t>
        </is>
      </c>
      <c r="G7" s="5" t="inlineStr">
        <is>
          <t>Friend</t>
        </is>
      </c>
      <c r="H7" s="5" t="inlineStr">
        <is>
          <t>Medium</t>
        </is>
      </c>
      <c r="I7" s="5" t="inlineStr">
        <is>
          <t>Fellow hostel student</t>
        </is>
      </c>
      <c r="J7" s="5" t="inlineStr">
        <is>
          <t>Not applicable</t>
        </is>
      </c>
      <c r="K7" s="19" t="inlineStr">
        <is>
          <t>One of the hostel boys; the film where Gowariker met Aamir Khan, later his director on Lagaan.</t>
        </is>
      </c>
      <c r="L7" s="5" t="n"/>
      <c r="M7" s="5" t="inlineStr">
        <is>
          <t>SOURCE-006; SOURCE-091</t>
        </is>
      </c>
    </row>
    <row r="8" ht="49" customHeight="1">
      <c r="A8" s="15" t="inlineStr">
        <is>
          <t>CAST-007</t>
        </is>
      </c>
      <c r="B8" s="18" t="inlineStr">
        <is>
          <t>FILM-004</t>
        </is>
      </c>
      <c r="C8" s="5" t="inlineStr">
        <is>
          <t>Qayamat Se Qayamat Tak</t>
        </is>
      </c>
      <c r="D8" s="17" t="n">
        <v>1988</v>
      </c>
      <c r="E8" s="5" t="inlineStr">
        <is>
          <t>Dalip Tahil</t>
        </is>
      </c>
      <c r="F8" s="5" t="inlineStr">
        <is>
          <t>Dhanraj Singh</t>
        </is>
      </c>
      <c r="G8" s="5" t="inlineStr">
        <is>
          <t>Family</t>
        </is>
      </c>
      <c r="H8" s="5" t="inlineStr">
        <is>
          <t>Major</t>
        </is>
      </c>
      <c r="I8" s="5" t="inlineStr">
        <is>
          <t>Father</t>
        </is>
      </c>
      <c r="J8" s="5" t="inlineStr">
        <is>
          <t>Killed Rashmi's uncle years earlier, creating the feud that dooms the lovers</t>
        </is>
      </c>
      <c r="K8" s="19" t="inlineStr">
        <is>
          <t>Raj's father, imprisoned for avenging his sister's betrayal, whose past makes his son's love impossible.</t>
        </is>
      </c>
      <c r="L8" s="5" t="n"/>
      <c r="M8" s="5" t="inlineStr">
        <is>
          <t>SOURCE-007</t>
        </is>
      </c>
    </row>
    <row r="9" ht="34" customHeight="1">
      <c r="A9" s="15" t="inlineStr">
        <is>
          <t>CAST-008</t>
        </is>
      </c>
      <c r="B9" s="18" t="inlineStr">
        <is>
          <t>FILM-004</t>
        </is>
      </c>
      <c r="C9" s="5" t="inlineStr">
        <is>
          <t>Qayamat Se Qayamat Tak</t>
        </is>
      </c>
      <c r="D9" s="17" t="n">
        <v>1988</v>
      </c>
      <c r="E9" s="5" t="inlineStr">
        <is>
          <t>Goga Kapoor</t>
        </is>
      </c>
      <c r="F9" s="5" t="inlineStr">
        <is>
          <t>Randhir Singh</t>
        </is>
      </c>
      <c r="G9" s="5" t="inlineStr">
        <is>
          <t>Antagonist</t>
        </is>
      </c>
      <c r="H9" s="5" t="inlineStr">
        <is>
          <t>Major</t>
        </is>
      </c>
      <c r="I9" s="5" t="inlineStr">
        <is>
          <t>Sworn enemy of Raj's family</t>
        </is>
      </c>
      <c r="J9" s="5" t="inlineStr">
        <is>
          <t>Rashmi's father; feigns acceptance and sends the assassins who kill her</t>
        </is>
      </c>
      <c r="K9" s="19" t="inlineStr">
        <is>
          <t>The patriarch whose honour-driven hatred turns the romance into tragedy.</t>
        </is>
      </c>
      <c r="L9" s="5" t="n"/>
      <c r="M9" s="5" t="inlineStr">
        <is>
          <t>SOURCE-007</t>
        </is>
      </c>
    </row>
    <row r="10" ht="34" customHeight="1">
      <c r="A10" s="15" t="inlineStr">
        <is>
          <t>CAST-009</t>
        </is>
      </c>
      <c r="B10" s="18" t="inlineStr">
        <is>
          <t>FILM-004</t>
        </is>
      </c>
      <c r="C10" s="5" t="inlineStr">
        <is>
          <t>Qayamat Se Qayamat Tak</t>
        </is>
      </c>
      <c r="D10" s="17" t="n">
        <v>1988</v>
      </c>
      <c r="E10" s="5" t="inlineStr">
        <is>
          <t>Alok Nath</t>
        </is>
      </c>
      <c r="F10" s="5" t="inlineStr">
        <is>
          <t>Jaswant Singh</t>
        </is>
      </c>
      <c r="G10" s="5" t="inlineStr">
        <is>
          <t>Family</t>
        </is>
      </c>
      <c r="H10" s="5" t="inlineStr">
        <is>
          <t>Medium</t>
        </is>
      </c>
      <c r="I10" s="5" t="inlineStr">
        <is>
          <t>Paternal uncle who raises him</t>
        </is>
      </c>
      <c r="J10" s="5" t="inlineStr">
        <is>
          <t>Part of the family opposing the match</t>
        </is>
      </c>
      <c r="K10" s="19" t="inlineStr">
        <is>
          <t>The uncle who brings Raj up in Delhi after his father's imprisonment.</t>
        </is>
      </c>
      <c r="L10" s="5" t="n"/>
      <c r="M10" s="5" t="inlineStr">
        <is>
          <t>SOURCE-007</t>
        </is>
      </c>
    </row>
    <row r="11" ht="19" customHeight="1">
      <c r="A11" s="15" t="inlineStr">
        <is>
          <t>CAST-010</t>
        </is>
      </c>
      <c r="B11" s="18" t="inlineStr">
        <is>
          <t>FILM-004</t>
        </is>
      </c>
      <c r="C11" s="5" t="inlineStr">
        <is>
          <t>Qayamat Se Qayamat Tak</t>
        </is>
      </c>
      <c r="D11" s="17" t="n">
        <v>1988</v>
      </c>
      <c r="E11" s="5" t="inlineStr">
        <is>
          <t>Rajendranath Zutshi</t>
        </is>
      </c>
      <c r="F11" s="5" t="inlineStr">
        <is>
          <t>Shyam Prakash</t>
        </is>
      </c>
      <c r="G11" s="5" t="inlineStr">
        <is>
          <t>Friend</t>
        </is>
      </c>
      <c r="H11" s="5" t="inlineStr">
        <is>
          <t>Medium</t>
        </is>
      </c>
      <c r="I11" s="5" t="inlineStr">
        <is>
          <t>Cousin and confidant</t>
        </is>
      </c>
      <c r="J11" s="5" t="inlineStr">
        <is>
          <t>Helps the lovers elope</t>
        </is>
      </c>
      <c r="K11" s="19" t="inlineStr">
        <is>
          <t>Raj's cousin, who assists Rashmi's escape from home.</t>
        </is>
      </c>
      <c r="L11" s="5" t="n"/>
      <c r="M11" s="5" t="inlineStr">
        <is>
          <t>SOURCE-007</t>
        </is>
      </c>
    </row>
    <row r="12" ht="34" customHeight="1">
      <c r="A12" s="15" t="inlineStr">
        <is>
          <t>CAST-011</t>
        </is>
      </c>
      <c r="B12" s="18" t="inlineStr">
        <is>
          <t>FILM-005</t>
        </is>
      </c>
      <c r="C12" s="5" t="inlineStr">
        <is>
          <t>Raakh</t>
        </is>
      </c>
      <c r="D12" s="17" t="n">
        <v>1989</v>
      </c>
      <c r="E12" s="5" t="inlineStr">
        <is>
          <t>Pankaj Kapur</t>
        </is>
      </c>
      <c r="F12" s="5" t="inlineStr">
        <is>
          <t>Inspector P. K.</t>
        </is>
      </c>
      <c r="G12" s="5" t="inlineStr">
        <is>
          <t>Mentor</t>
        </is>
      </c>
      <c r="H12" s="5" t="inlineStr">
        <is>
          <t>Major</t>
        </is>
      </c>
      <c r="I12" s="5" t="inlineStr">
        <is>
          <t>Disillusioned policeman who becomes Amir's dark guide</t>
        </is>
      </c>
      <c r="J12" s="5" t="inlineStr">
        <is>
          <t>Channels Amir's grief over Neeta into a campaign against the Karmalis</t>
        </is>
      </c>
      <c r="K12" s="19" t="inlineStr">
        <is>
          <t>A cynical cop who recruits Amir into eliminating the Karmali crime family.</t>
        </is>
      </c>
      <c r="L12" s="5" t="inlineStr">
        <is>
          <t>National Film Award for Best Supporting Actor</t>
        </is>
      </c>
      <c r="M12" s="5" t="inlineStr">
        <is>
          <t>SOURCE-008</t>
        </is>
      </c>
    </row>
    <row r="13" ht="34" customHeight="1">
      <c r="A13" s="15" t="inlineStr">
        <is>
          <t>CAST-012</t>
        </is>
      </c>
      <c r="B13" s="18" t="inlineStr">
        <is>
          <t>FILM-005</t>
        </is>
      </c>
      <c r="C13" s="5" t="inlineStr">
        <is>
          <t>Raakh</t>
        </is>
      </c>
      <c r="D13" s="17" t="n">
        <v>1989</v>
      </c>
      <c r="E13" s="5" t="inlineStr">
        <is>
          <t>Homi Wadia</t>
        </is>
      </c>
      <c r="F13" s="5" t="inlineStr">
        <is>
          <t>Hassan Karmali</t>
        </is>
      </c>
      <c r="G13" s="5" t="inlineStr">
        <is>
          <t>Antagonist</t>
        </is>
      </c>
      <c r="H13" s="5" t="inlineStr">
        <is>
          <t>Major</t>
        </is>
      </c>
      <c r="I13" s="5" t="inlineStr">
        <is>
          <t>Crime boss and target of Amir's revenge</t>
        </is>
      </c>
      <c r="J13" s="5" t="inlineStr">
        <is>
          <t>Rapes Neeta while Amir is forced to watch</t>
        </is>
      </c>
      <c r="K13" s="19" t="inlineStr">
        <is>
          <t>The crime boss whose assault on Neeta sets the story in motion.</t>
        </is>
      </c>
      <c r="L13" s="5" t="n"/>
      <c r="M13" s="5" t="inlineStr">
        <is>
          <t>SOURCE-008</t>
        </is>
      </c>
    </row>
    <row r="14" ht="34" customHeight="1">
      <c r="A14" s="15" t="inlineStr">
        <is>
          <t>CAST-013</t>
        </is>
      </c>
      <c r="B14" s="18" t="inlineStr">
        <is>
          <t>FILM-006</t>
        </is>
      </c>
      <c r="C14" s="5" t="inlineStr">
        <is>
          <t>Love Love Love</t>
        </is>
      </c>
      <c r="D14" s="17" t="n">
        <v>1989</v>
      </c>
      <c r="E14" s="5" t="inlineStr">
        <is>
          <t>Gulshan Grover</t>
        </is>
      </c>
      <c r="F14" s="5" t="inlineStr">
        <is>
          <t>Vikram "Vicky"</t>
        </is>
      </c>
      <c r="G14" s="5" t="inlineStr">
        <is>
          <t>Romantic rival</t>
        </is>
      </c>
      <c r="H14" s="5" t="inlineStr">
        <is>
          <t>Major</t>
        </is>
      </c>
      <c r="I14" s="5" t="inlineStr">
        <is>
          <t>Violent rival</t>
        </is>
      </c>
      <c r="J14" s="5" t="inlineStr">
        <is>
          <t>Obsessed with Reema; threatens Amit's family and plots his murder</t>
        </is>
      </c>
      <c r="K14" s="19" t="inlineStr">
        <is>
          <t>A rich, violent suitor who uses threats to force Amit and Reema apart.</t>
        </is>
      </c>
      <c r="L14" s="5" t="n"/>
      <c r="M14" s="5" t="inlineStr">
        <is>
          <t>SOURCE-009</t>
        </is>
      </c>
    </row>
    <row r="15" ht="49" customHeight="1">
      <c r="A15" s="15" t="inlineStr">
        <is>
          <t>CAST-014</t>
        </is>
      </c>
      <c r="B15" s="18" t="inlineStr">
        <is>
          <t>FILM-006</t>
        </is>
      </c>
      <c r="C15" s="5" t="inlineStr">
        <is>
          <t>Love Love Love</t>
        </is>
      </c>
      <c r="D15" s="17" t="n">
        <v>1989</v>
      </c>
      <c r="E15" s="5" t="inlineStr">
        <is>
          <t>Om Shivpuri</t>
        </is>
      </c>
      <c r="F15" s="5" t="inlineStr">
        <is>
          <t>Ajit Goswami</t>
        </is>
      </c>
      <c r="G15" s="5" t="inlineStr">
        <is>
          <t>Family</t>
        </is>
      </c>
      <c r="H15" s="5" t="inlineStr">
        <is>
          <t>Medium</t>
        </is>
      </c>
      <c r="I15" s="5" t="inlineStr">
        <is>
          <t>Father of the woman he loves</t>
        </is>
      </c>
      <c r="J15" s="5" t="inlineStr">
        <is>
          <t>Reema's father, who ultimately kills the antagonists to protect the couple</t>
        </is>
      </c>
      <c r="K15" s="19" t="inlineStr">
        <is>
          <t>Reema's wealthy father, whose final intervention saves the lovers.</t>
        </is>
      </c>
      <c r="L15" s="5" t="n"/>
      <c r="M15" s="5" t="inlineStr">
        <is>
          <t>SOURCE-009</t>
        </is>
      </c>
    </row>
    <row r="16" ht="34" customHeight="1">
      <c r="A16" s="15" t="inlineStr">
        <is>
          <t>CAST-015</t>
        </is>
      </c>
      <c r="B16" s="18" t="inlineStr">
        <is>
          <t>FILM-007</t>
        </is>
      </c>
      <c r="C16" s="5" t="inlineStr">
        <is>
          <t>Awwal Number</t>
        </is>
      </c>
      <c r="D16" s="17" t="n">
        <v>1990</v>
      </c>
      <c r="E16" s="5" t="inlineStr">
        <is>
          <t>Dev Anand</t>
        </is>
      </c>
      <c r="F16" s="5" t="inlineStr">
        <is>
          <t>DIG Vikram Singh</t>
        </is>
      </c>
      <c r="G16" s="5" t="inlineStr">
        <is>
          <t>Authority figure</t>
        </is>
      </c>
      <c r="H16" s="5" t="inlineStr">
        <is>
          <t>Major</t>
        </is>
      </c>
      <c r="I16" s="5" t="inlineStr">
        <is>
          <t>Senior police officer protecting the match</t>
        </is>
      </c>
      <c r="J16" s="5" t="inlineStr">
        <is>
          <t>Not applicable</t>
        </is>
      </c>
      <c r="K16" s="19" t="inlineStr">
        <is>
          <t>The police chief racing to stop a terrorist bomb at an India–Australia match; also the film's director.</t>
        </is>
      </c>
      <c r="L16" s="5" t="n"/>
      <c r="M16" s="5" t="inlineStr">
        <is>
          <t>SOURCE-010</t>
        </is>
      </c>
    </row>
    <row r="17" ht="34" customHeight="1">
      <c r="A17" s="15" t="inlineStr">
        <is>
          <t>CAST-016</t>
        </is>
      </c>
      <c r="B17" s="18" t="inlineStr">
        <is>
          <t>FILM-007</t>
        </is>
      </c>
      <c r="C17" s="5" t="inlineStr">
        <is>
          <t>Awwal Number</t>
        </is>
      </c>
      <c r="D17" s="17" t="n">
        <v>1990</v>
      </c>
      <c r="E17" s="5" t="inlineStr">
        <is>
          <t>Aditya Pancholi</t>
        </is>
      </c>
      <c r="F17" s="5" t="inlineStr">
        <is>
          <t>Ranveer Singh "Ronny"</t>
        </is>
      </c>
      <c r="G17" s="5" t="inlineStr">
        <is>
          <t>Antagonist</t>
        </is>
      </c>
      <c r="H17" s="5" t="inlineStr">
        <is>
          <t>Major</t>
        </is>
      </c>
      <c r="I17" s="5" t="inlineStr">
        <is>
          <t>Star cricketer Sunny replaces; seeks revenge</t>
        </is>
      </c>
      <c r="J17" s="5" t="inlineStr">
        <is>
          <t>Not applicable</t>
        </is>
      </c>
      <c r="K17" s="19" t="inlineStr">
        <is>
          <t>A displaced cricket star consumed by resentment of Sunny.</t>
        </is>
      </c>
      <c r="L17" s="5" t="n"/>
      <c r="M17" s="5" t="inlineStr">
        <is>
          <t>SOURCE-010</t>
        </is>
      </c>
    </row>
    <row r="18" ht="34" customHeight="1">
      <c r="A18" s="15" t="inlineStr">
        <is>
          <t>CAST-017</t>
        </is>
      </c>
      <c r="B18" s="18" t="inlineStr">
        <is>
          <t>FILM-008</t>
        </is>
      </c>
      <c r="C18" s="5" t="inlineStr">
        <is>
          <t>Tum Mere Ho</t>
        </is>
      </c>
      <c r="D18" s="17" t="n">
        <v>1990</v>
      </c>
      <c r="E18" s="5" t="inlineStr">
        <is>
          <t>Kalpana Iyer</t>
        </is>
      </c>
      <c r="F18" s="5" t="inlineStr">
        <is>
          <t>Mother Snake</t>
        </is>
      </c>
      <c r="G18" s="5" t="inlineStr">
        <is>
          <t>Antagonist</t>
        </is>
      </c>
      <c r="H18" s="5" t="inlineStr">
        <is>
          <t>Major</t>
        </is>
      </c>
      <c r="I18" s="5" t="inlineStr">
        <is>
          <t>Supernatural enemy who cursed his family</t>
        </is>
      </c>
      <c r="J18" s="5" t="inlineStr">
        <is>
          <t>Tries to kill Paro</t>
        </is>
      </c>
      <c r="K18" s="19" t="inlineStr">
        <is>
          <t>A shape-shifting serpent seeking revenge for her offspring's death.</t>
        </is>
      </c>
      <c r="L18" s="5" t="n"/>
      <c r="M18" s="5" t="inlineStr">
        <is>
          <t>SOURCE-012; SOURCE-013</t>
        </is>
      </c>
    </row>
    <row r="19" ht="34" customHeight="1">
      <c r="A19" s="15" t="inlineStr">
        <is>
          <t>CAST-018</t>
        </is>
      </c>
      <c r="B19" s="18" t="inlineStr">
        <is>
          <t>FILM-008</t>
        </is>
      </c>
      <c r="C19" s="5" t="inlineStr">
        <is>
          <t>Tum Mere Ho</t>
        </is>
      </c>
      <c r="D19" s="17" t="n">
        <v>1990</v>
      </c>
      <c r="E19" s="5" t="inlineStr">
        <is>
          <t>Ajit Vachani</t>
        </is>
      </c>
      <c r="F19" s="5" t="inlineStr">
        <is>
          <t>Choudhry Charanjit Singh</t>
        </is>
      </c>
      <c r="G19" s="5" t="inlineStr">
        <is>
          <t>Antagonist</t>
        </is>
      </c>
      <c r="H19" s="5" t="inlineStr">
        <is>
          <t>Medium</t>
        </is>
      </c>
      <c r="I19" s="5" t="inlineStr">
        <is>
          <t>Father of the woman he loves</t>
        </is>
      </c>
      <c r="J19" s="5" t="inlineStr">
        <is>
          <t>Paro's father, who opposes the match and hires men to kill Shiva</t>
        </is>
      </c>
      <c r="K19" s="19" t="inlineStr">
        <is>
          <t>Paro's father, enforcing family status and custom against the snake charmer.</t>
        </is>
      </c>
      <c r="L19" s="5" t="n"/>
      <c r="M19" s="5" t="inlineStr">
        <is>
          <t>SOURCE-012</t>
        </is>
      </c>
    </row>
    <row r="20" ht="34" customHeight="1">
      <c r="A20" s="15" t="inlineStr">
        <is>
          <t>CAST-019</t>
        </is>
      </c>
      <c r="B20" s="18" t="inlineStr">
        <is>
          <t>FILM-009</t>
        </is>
      </c>
      <c r="C20" s="5" t="inlineStr">
        <is>
          <t>Dil</t>
        </is>
      </c>
      <c r="D20" s="17" t="n">
        <v>1990</v>
      </c>
      <c r="E20" s="5" t="inlineStr">
        <is>
          <t>Anupam Kher</t>
        </is>
      </c>
      <c r="F20" s="5" t="inlineStr">
        <is>
          <t>Hazari Prasad</t>
        </is>
      </c>
      <c r="G20" s="5" t="inlineStr">
        <is>
          <t>Family</t>
        </is>
      </c>
      <c r="H20" s="5" t="inlineStr">
        <is>
          <t>Major</t>
        </is>
      </c>
      <c r="I20" s="5" t="inlineStr">
        <is>
          <t>Miserly, greedy father</t>
        </is>
      </c>
      <c r="J20" s="5" t="inlineStr">
        <is>
          <t>Disowns Raja and blackmails Madhu into leaving him</t>
        </is>
      </c>
      <c r="K20" s="19" t="inlineStr">
        <is>
          <t>A scrap dealer obsessed with money who schemes against his son's marriage.</t>
        </is>
      </c>
      <c r="L20" s="5" t="inlineStr">
        <is>
          <t>Filmfare Best Supporting Actor nomination</t>
        </is>
      </c>
      <c r="M20" s="5" t="inlineStr">
        <is>
          <t>SOURCE-014</t>
        </is>
      </c>
    </row>
    <row r="21" ht="34" customHeight="1">
      <c r="A21" s="15" t="inlineStr">
        <is>
          <t>CAST-020</t>
        </is>
      </c>
      <c r="B21" s="18" t="inlineStr">
        <is>
          <t>FILM-009</t>
        </is>
      </c>
      <c r="C21" s="5" t="inlineStr">
        <is>
          <t>Dil</t>
        </is>
      </c>
      <c r="D21" s="17" t="n">
        <v>1990</v>
      </c>
      <c r="E21" s="5" t="inlineStr">
        <is>
          <t>Saeed Jaffrey</t>
        </is>
      </c>
      <c r="F21" s="5" t="inlineStr">
        <is>
          <t>Mr. Mehra</t>
        </is>
      </c>
      <c r="G21" s="5" t="inlineStr">
        <is>
          <t>Family</t>
        </is>
      </c>
      <c r="H21" s="5" t="inlineStr">
        <is>
          <t>Major</t>
        </is>
      </c>
      <c r="I21" s="5" t="inlineStr">
        <is>
          <t>Father-in-law and class adversary</t>
        </is>
      </c>
      <c r="J21" s="5" t="inlineStr">
        <is>
          <t>Madhu's father, who insults Hazari and banishes his daughter</t>
        </is>
      </c>
      <c r="K21" s="19" t="inlineStr">
        <is>
          <t>A status-proud rich father who opposes the marriage.</t>
        </is>
      </c>
      <c r="L21" s="5" t="n"/>
      <c r="M21" s="5" t="inlineStr">
        <is>
          <t>SOURCE-014</t>
        </is>
      </c>
    </row>
    <row r="22" ht="34" customHeight="1">
      <c r="A22" s="15" t="inlineStr">
        <is>
          <t>CAST-021</t>
        </is>
      </c>
      <c r="B22" s="18" t="inlineStr">
        <is>
          <t>FILM-009</t>
        </is>
      </c>
      <c r="C22" s="5" t="inlineStr">
        <is>
          <t>Dil</t>
        </is>
      </c>
      <c r="D22" s="17" t="n">
        <v>1990</v>
      </c>
      <c r="E22" s="5" t="inlineStr">
        <is>
          <t>Padmarani</t>
        </is>
      </c>
      <c r="F22" s="5" t="inlineStr">
        <is>
          <t>Savitri Prasad</t>
        </is>
      </c>
      <c r="G22" s="5" t="inlineStr">
        <is>
          <t>Family</t>
        </is>
      </c>
      <c r="H22" s="5" t="inlineStr">
        <is>
          <t>Medium</t>
        </is>
      </c>
      <c r="I22" s="5" t="inlineStr">
        <is>
          <t>Mother</t>
        </is>
      </c>
      <c r="J22" s="5" t="inlineStr">
        <is>
          <t>Reveals Hazari's blackmail so the couple can reunite</t>
        </is>
      </c>
      <c r="K22" s="19" t="inlineStr">
        <is>
          <t>Raja's mother, whose disclosure restores the marriage.</t>
        </is>
      </c>
      <c r="L22" s="5" t="n"/>
      <c r="M22" s="5" t="inlineStr">
        <is>
          <t>SOURCE-014</t>
        </is>
      </c>
    </row>
    <row r="23" ht="34" customHeight="1">
      <c r="A23" s="15" t="inlineStr">
        <is>
          <t>CAST-022</t>
        </is>
      </c>
      <c r="B23" s="18" t="inlineStr">
        <is>
          <t>FILM-010</t>
        </is>
      </c>
      <c r="C23" s="5" t="inlineStr">
        <is>
          <t>Deewana Mujh Sa Nahin</t>
        </is>
      </c>
      <c r="D23" s="17" t="n">
        <v>1990</v>
      </c>
      <c r="E23" s="5" t="inlineStr">
        <is>
          <t>Jainendra</t>
        </is>
      </c>
      <c r="F23" s="5" t="inlineStr">
        <is>
          <t>Vikram</t>
        </is>
      </c>
      <c r="G23" s="5" t="inlineStr">
        <is>
          <t>Romantic rival</t>
        </is>
      </c>
      <c r="H23" s="5" t="inlineStr">
        <is>
          <t>Medium</t>
        </is>
      </c>
      <c r="I23" s="5" t="inlineStr">
        <is>
          <t>Rival</t>
        </is>
      </c>
      <c r="J23" s="5" t="inlineStr">
        <is>
          <t>Anita's fiancé, later shown not to love her</t>
        </is>
      </c>
      <c r="K23" s="19" t="inlineStr">
        <is>
          <t>The man Anita becomes engaged to while Ajay refuses to give up.</t>
        </is>
      </c>
      <c r="L23" s="5" t="n"/>
      <c r="M23" s="5" t="inlineStr">
        <is>
          <t>SOURCE-015</t>
        </is>
      </c>
    </row>
    <row r="24" ht="34" customHeight="1">
      <c r="A24" s="15" t="inlineStr">
        <is>
          <t>CAST-023</t>
        </is>
      </c>
      <c r="B24" s="18" t="inlineStr">
        <is>
          <t>FILM-011</t>
        </is>
      </c>
      <c r="C24" s="5" t="inlineStr">
        <is>
          <t>Jawani Zindabad</t>
        </is>
      </c>
      <c r="D24" s="17" t="n">
        <v>1990</v>
      </c>
      <c r="E24" s="5" t="inlineStr">
        <is>
          <t>Utpal Dutt</t>
        </is>
      </c>
      <c r="F24" s="5" t="inlineStr">
        <is>
          <t>MLA Goverdhan Verma</t>
        </is>
      </c>
      <c r="G24" s="5" t="inlineStr">
        <is>
          <t>Antagonist</t>
        </is>
      </c>
      <c r="H24" s="5" t="inlineStr">
        <is>
          <t>Major</t>
        </is>
      </c>
      <c r="I24" s="5" t="inlineStr">
        <is>
          <t>Politician and father-in-law of Shashi's sister</t>
        </is>
      </c>
      <c r="J24" s="5" t="inlineStr">
        <is>
          <t>Not applicable</t>
        </is>
      </c>
      <c r="K24" s="19" t="inlineStr">
        <is>
          <t>A greedy politician whose dowry demands Shashi fights, and who finally reforms.</t>
        </is>
      </c>
      <c r="L24" s="5" t="n"/>
      <c r="M24" s="5" t="inlineStr">
        <is>
          <t>SOURCE-016</t>
        </is>
      </c>
    </row>
    <row r="25" ht="19" customHeight="1">
      <c r="A25" s="15" t="inlineStr">
        <is>
          <t>CAST-024</t>
        </is>
      </c>
      <c r="B25" s="18" t="inlineStr">
        <is>
          <t>FILM-011</t>
        </is>
      </c>
      <c r="C25" s="5" t="inlineStr">
        <is>
          <t>Jawani Zindabad</t>
        </is>
      </c>
      <c r="D25" s="17" t="n">
        <v>1990</v>
      </c>
      <c r="E25" s="5" t="inlineStr">
        <is>
          <t>Rohini</t>
        </is>
      </c>
      <c r="F25" s="5" t="inlineStr">
        <is>
          <t>Rama</t>
        </is>
      </c>
      <c r="G25" s="5" t="inlineStr">
        <is>
          <t>Family</t>
        </is>
      </c>
      <c r="H25" s="5" t="inlineStr">
        <is>
          <t>Medium</t>
        </is>
      </c>
      <c r="I25" s="5" t="inlineStr">
        <is>
          <t>Younger sister</t>
        </is>
      </c>
      <c r="J25" s="5" t="inlineStr">
        <is>
          <t>Not applicable</t>
        </is>
      </c>
      <c r="K25" s="19" t="inlineStr">
        <is>
          <t>Shashi's sister, targeted by her in-laws' dowry greed.</t>
        </is>
      </c>
      <c r="L25" s="5" t="n"/>
      <c r="M25" s="5" t="inlineStr">
        <is>
          <t>SOURCE-016</t>
        </is>
      </c>
    </row>
    <row r="26" ht="19" customHeight="1">
      <c r="A26" s="15" t="inlineStr">
        <is>
          <t>CAST-025</t>
        </is>
      </c>
      <c r="B26" s="18" t="inlineStr">
        <is>
          <t>FILM-011</t>
        </is>
      </c>
      <c r="C26" s="5" t="inlineStr">
        <is>
          <t>Jawani Zindabad</t>
        </is>
      </c>
      <c r="D26" s="17" t="n">
        <v>1990</v>
      </c>
      <c r="E26" s="5" t="inlineStr">
        <is>
          <t>Javed Jaffrey</t>
        </is>
      </c>
      <c r="F26" s="5" t="inlineStr">
        <is>
          <t>Ravi Verma</t>
        </is>
      </c>
      <c r="G26" s="5" t="inlineStr">
        <is>
          <t>Family</t>
        </is>
      </c>
      <c r="H26" s="5" t="inlineStr">
        <is>
          <t>Medium</t>
        </is>
      </c>
      <c r="I26" s="5" t="inlineStr">
        <is>
          <t>Brother-in-law</t>
        </is>
      </c>
      <c r="J26" s="5" t="inlineStr">
        <is>
          <t>Not applicable</t>
        </is>
      </c>
      <c r="K26" s="19" t="inlineStr">
        <is>
          <t>Goverdhan's son, married to Rama.</t>
        </is>
      </c>
      <c r="L26" s="5" t="n"/>
      <c r="M26" s="5" t="inlineStr">
        <is>
          <t>SOURCE-016</t>
        </is>
      </c>
    </row>
    <row r="27" ht="34" customHeight="1">
      <c r="A27" s="15" t="inlineStr">
        <is>
          <t>CAST-026</t>
        </is>
      </c>
      <c r="B27" s="18" t="inlineStr">
        <is>
          <t>FILM-012</t>
        </is>
      </c>
      <c r="C27" s="5" t="inlineStr">
        <is>
          <t>Afsana Pyar Ka</t>
        </is>
      </c>
      <c r="D27" s="17" t="n">
        <v>1991</v>
      </c>
      <c r="E27" s="5" t="inlineStr">
        <is>
          <t>Kiran Kumar</t>
        </is>
      </c>
      <c r="F27" s="5" t="inlineStr">
        <is>
          <t>Mahendra Behl</t>
        </is>
      </c>
      <c r="G27" s="5" t="inlineStr">
        <is>
          <t>Family</t>
        </is>
      </c>
      <c r="H27" s="5" t="inlineStr">
        <is>
          <t>Medium</t>
        </is>
      </c>
      <c r="I27" s="5" t="inlineStr">
        <is>
          <t>Father</t>
        </is>
      </c>
      <c r="J27" s="5" t="inlineStr">
        <is>
          <t>Part of the feuding families that forbid the marriage</t>
        </is>
      </c>
      <c r="K27" s="19" t="inlineStr">
        <is>
          <t>Raj's father, who left his wife and kept their infant son.</t>
        </is>
      </c>
      <c r="L27" s="5" t="n"/>
      <c r="M27" s="5" t="inlineStr">
        <is>
          <t>SOURCE-017; SOURCE-065</t>
        </is>
      </c>
    </row>
    <row r="28" ht="49" customHeight="1">
      <c r="A28" s="15" t="inlineStr">
        <is>
          <t>CAST-027</t>
        </is>
      </c>
      <c r="B28" s="18" t="inlineStr">
        <is>
          <t>FILM-013</t>
        </is>
      </c>
      <c r="C28" s="5" t="inlineStr">
        <is>
          <t>Dil Hai Ke Manta Nahin</t>
        </is>
      </c>
      <c r="D28" s="17" t="n">
        <v>1991</v>
      </c>
      <c r="E28" s="5" t="inlineStr">
        <is>
          <t>Anupam Kher</t>
        </is>
      </c>
      <c r="F28" s="5" t="inlineStr">
        <is>
          <t>Seth Dharamchand</t>
        </is>
      </c>
      <c r="G28" s="5" t="inlineStr">
        <is>
          <t>Family</t>
        </is>
      </c>
      <c r="H28" s="5" t="inlineStr">
        <is>
          <t>Major</t>
        </is>
      </c>
      <c r="I28" s="5" t="inlineStr">
        <is>
          <t>Father of the heiress he loves</t>
        </is>
      </c>
      <c r="J28" s="5" t="inlineStr">
        <is>
          <t>Pooja's father, who finally reveals Raghu's honesty and blesses the match</t>
        </is>
      </c>
      <c r="K28" s="19" t="inlineStr">
        <is>
          <t>A wealthy, exasperated father whose change of heart resolves the romance.</t>
        </is>
      </c>
      <c r="L28" s="5" t="inlineStr">
        <is>
          <t>Filmfare Best Comedian nomination</t>
        </is>
      </c>
      <c r="M28" s="5" t="inlineStr">
        <is>
          <t>SOURCE-018</t>
        </is>
      </c>
    </row>
    <row r="29" ht="34" customHeight="1">
      <c r="A29" s="15" t="inlineStr">
        <is>
          <t>CAST-028</t>
        </is>
      </c>
      <c r="B29" s="18" t="inlineStr">
        <is>
          <t>FILM-013</t>
        </is>
      </c>
      <c r="C29" s="5" t="inlineStr">
        <is>
          <t>Dil Hai Ke Manta Nahin</t>
        </is>
      </c>
      <c r="D29" s="17" t="n">
        <v>1991</v>
      </c>
      <c r="E29" s="5" t="inlineStr">
        <is>
          <t>Sameer Chitre</t>
        </is>
      </c>
      <c r="F29" s="5" t="inlineStr">
        <is>
          <t>Deepak Kumar</t>
        </is>
      </c>
      <c r="G29" s="5" t="inlineStr">
        <is>
          <t>Romantic rival</t>
        </is>
      </c>
      <c r="H29" s="5" t="inlineStr">
        <is>
          <t>Medium</t>
        </is>
      </c>
      <c r="I29" s="5" t="inlineStr">
        <is>
          <t>Rival</t>
        </is>
      </c>
      <c r="J29" s="5" t="inlineStr">
        <is>
          <t>Pooja's film-star fiancé, abandoned at the wedding</t>
        </is>
      </c>
      <c r="K29" s="19" t="inlineStr">
        <is>
          <t>The celebrity Pooja runs away to marry.</t>
        </is>
      </c>
      <c r="L29" s="5" t="n"/>
      <c r="M29" s="5" t="inlineStr">
        <is>
          <t>SOURCE-018</t>
        </is>
      </c>
    </row>
    <row r="30" ht="19" customHeight="1">
      <c r="A30" s="15" t="inlineStr">
        <is>
          <t>CAST-029</t>
        </is>
      </c>
      <c r="B30" s="18" t="inlineStr">
        <is>
          <t>FILM-013</t>
        </is>
      </c>
      <c r="C30" s="5" t="inlineStr">
        <is>
          <t>Dil Hai Ke Manta Nahin</t>
        </is>
      </c>
      <c r="D30" s="17" t="n">
        <v>1991</v>
      </c>
      <c r="E30" s="5" t="inlineStr">
        <is>
          <t>Tiku Talsania</t>
        </is>
      </c>
      <c r="F30" s="5" t="inlineStr">
        <is>
          <t>Sharmaji</t>
        </is>
      </c>
      <c r="G30" s="5" t="inlineStr">
        <is>
          <t>Authority figure</t>
        </is>
      </c>
      <c r="H30" s="5" t="inlineStr">
        <is>
          <t>Minor</t>
        </is>
      </c>
      <c r="I30" s="5" t="inlineStr">
        <is>
          <t>Newspaper editor and boss</t>
        </is>
      </c>
      <c r="J30" s="5" t="inlineStr">
        <is>
          <t>Not applicable</t>
        </is>
      </c>
      <c r="K30" s="19" t="inlineStr">
        <is>
          <t>Raghu's editor, whom he turns to for money.</t>
        </is>
      </c>
      <c r="L30" s="5" t="n"/>
      <c r="M30" s="5" t="inlineStr">
        <is>
          <t>SOURCE-018</t>
        </is>
      </c>
    </row>
    <row r="31" ht="19" customHeight="1">
      <c r="A31" s="15" t="inlineStr">
        <is>
          <t>CAST-030</t>
        </is>
      </c>
      <c r="B31" s="18" t="inlineStr">
        <is>
          <t>FILM-014</t>
        </is>
      </c>
      <c r="C31" s="5" t="inlineStr">
        <is>
          <t>Daulat Ki Jung</t>
        </is>
      </c>
      <c r="D31" s="17" t="n">
        <v>1992</v>
      </c>
      <c r="E31" s="5" t="inlineStr">
        <is>
          <t>Paresh Rawal</t>
        </is>
      </c>
      <c r="F31" s="5" t="inlineStr">
        <is>
          <t>Hari Bhai</t>
        </is>
      </c>
      <c r="G31" s="5" t="inlineStr">
        <is>
          <t>Antagonist</t>
        </is>
      </c>
      <c r="H31" s="5" t="inlineStr">
        <is>
          <t>Medium</t>
        </is>
      </c>
      <c r="I31" s="5" t="inlineStr">
        <is>
          <t>Crook pursuing the treasure</t>
        </is>
      </c>
      <c r="J31" s="5" t="inlineStr">
        <is>
          <t>Endangers the eloping couple</t>
        </is>
      </c>
      <c r="K31" s="19" t="inlineStr">
        <is>
          <t>One of the criminals hunting the treasure.</t>
        </is>
      </c>
      <c r="L31" s="5" t="n"/>
      <c r="M31" s="5" t="inlineStr">
        <is>
          <t>SOURCE-020</t>
        </is>
      </c>
    </row>
    <row r="32" ht="34" customHeight="1">
      <c r="A32" s="15" t="inlineStr">
        <is>
          <t>CAST-031</t>
        </is>
      </c>
      <c r="B32" s="18" t="inlineStr">
        <is>
          <t>FILM-014</t>
        </is>
      </c>
      <c r="C32" s="5" t="inlineStr">
        <is>
          <t>Daulat Ki Jung</t>
        </is>
      </c>
      <c r="D32" s="17" t="n">
        <v>1992</v>
      </c>
      <c r="E32" s="5" t="inlineStr">
        <is>
          <t>Kader Khan</t>
        </is>
      </c>
      <c r="F32" s="5" t="inlineStr">
        <is>
          <t>CID Inspector Sher Khan / K. K. Topji</t>
        </is>
      </c>
      <c r="G32" s="5" t="inlineStr">
        <is>
          <t>Authority figure</t>
        </is>
      </c>
      <c r="H32" s="5" t="inlineStr">
        <is>
          <t>Medium</t>
        </is>
      </c>
      <c r="I32" s="5" t="inlineStr">
        <is>
          <t>Undercover officer</t>
        </is>
      </c>
      <c r="J32" s="5" t="inlineStr">
        <is>
          <t>His elimination of the criminals frees the lovers</t>
        </is>
      </c>
      <c r="K32" s="19" t="inlineStr">
        <is>
          <t>An undercover investigator who deals with the treasure-hunting gang.</t>
        </is>
      </c>
      <c r="L32" s="5" t="n"/>
      <c r="M32" s="5" t="inlineStr">
        <is>
          <t>SOURCE-020</t>
        </is>
      </c>
    </row>
    <row r="33" ht="34" customHeight="1">
      <c r="A33" s="15" t="inlineStr">
        <is>
          <t>CAST-032</t>
        </is>
      </c>
      <c r="B33" s="18" t="inlineStr">
        <is>
          <t>FILM-014</t>
        </is>
      </c>
      <c r="C33" s="5" t="inlineStr">
        <is>
          <t>Daulat Ki Jung</t>
        </is>
      </c>
      <c r="D33" s="17" t="n">
        <v>1992</v>
      </c>
      <c r="E33" s="5" t="inlineStr">
        <is>
          <t>Tiku Talsania</t>
        </is>
      </c>
      <c r="F33" s="5" t="inlineStr">
        <is>
          <t>Mr. Agarwal</t>
        </is>
      </c>
      <c r="G33" s="5" t="inlineStr">
        <is>
          <t>Family</t>
        </is>
      </c>
      <c r="H33" s="5" t="inlineStr">
        <is>
          <t>Medium</t>
        </is>
      </c>
      <c r="I33" s="5" t="inlineStr">
        <is>
          <t>Father's business rival</t>
        </is>
      </c>
      <c r="J33" s="5" t="inlineStr">
        <is>
          <t>Asha's father, who opposes the relationship</t>
        </is>
      </c>
      <c r="K33" s="19" t="inlineStr">
        <is>
          <t>Asha's father and Bhushan Chaudhry's rival.</t>
        </is>
      </c>
      <c r="L33" s="5" t="n"/>
      <c r="M33" s="5" t="inlineStr">
        <is>
          <t>SOURCE-020</t>
        </is>
      </c>
    </row>
    <row r="34" ht="34" customHeight="1">
      <c r="A34" s="15" t="inlineStr">
        <is>
          <t>CAST-033</t>
        </is>
      </c>
      <c r="B34" s="18" t="inlineStr">
        <is>
          <t>FILM-015</t>
        </is>
      </c>
      <c r="C34" s="5" t="inlineStr">
        <is>
          <t>Jo Jeeta Wohi Sikandar</t>
        </is>
      </c>
      <c r="D34" s="17" t="n">
        <v>1992</v>
      </c>
      <c r="E34" s="5" t="inlineStr">
        <is>
          <t>Deepak Tijori</t>
        </is>
      </c>
      <c r="F34" s="5" t="inlineStr">
        <is>
          <t>Shekhar Malhotra</t>
        </is>
      </c>
      <c r="G34" s="5" t="inlineStr">
        <is>
          <t>Antagonist</t>
        </is>
      </c>
      <c r="H34" s="5" t="inlineStr">
        <is>
          <t>Major</t>
        </is>
      </c>
      <c r="I34" s="5" t="inlineStr">
        <is>
          <t>Elite Rajput College champion and rival</t>
        </is>
      </c>
      <c r="J34" s="5" t="inlineStr">
        <is>
          <t>Devika's former boyfriend; her scheme against him draws Sanju in</t>
        </is>
      </c>
      <c r="K34" s="19" t="inlineStr">
        <is>
          <t>The arrogant rich rival Sanju must beat in the cycle race.</t>
        </is>
      </c>
      <c r="L34" s="5" t="n"/>
      <c r="M34" s="5" t="inlineStr">
        <is>
          <t>SOURCE-021</t>
        </is>
      </c>
    </row>
    <row r="35" ht="34" customHeight="1">
      <c r="A35" s="15" t="inlineStr">
        <is>
          <t>CAST-034</t>
        </is>
      </c>
      <c r="B35" s="18" t="inlineStr">
        <is>
          <t>FILM-015</t>
        </is>
      </c>
      <c r="C35" s="5" t="inlineStr">
        <is>
          <t>Jo Jeeta Wohi Sikandar</t>
        </is>
      </c>
      <c r="D35" s="17" t="n">
        <v>1992</v>
      </c>
      <c r="E35" s="5" t="inlineStr">
        <is>
          <t>Mamik Singh</t>
        </is>
      </c>
      <c r="F35" s="5" t="inlineStr">
        <is>
          <t>Ratanlal "Ratan" Sharma</t>
        </is>
      </c>
      <c r="G35" s="5" t="inlineStr">
        <is>
          <t>Family</t>
        </is>
      </c>
      <c r="H35" s="5" t="inlineStr">
        <is>
          <t>Major</t>
        </is>
      </c>
      <c r="I35" s="5" t="inlineStr">
        <is>
          <t>Elder brother</t>
        </is>
      </c>
      <c r="J35" s="5" t="inlineStr">
        <is>
          <t>Not applicable</t>
        </is>
      </c>
      <c r="K35" s="19" t="inlineStr">
        <is>
          <t>Model College's star cyclist, whose injury forces Sanju to race in his place.</t>
        </is>
      </c>
      <c r="L35" s="5" t="n"/>
      <c r="M35" s="5" t="inlineStr">
        <is>
          <t>SOURCE-021</t>
        </is>
      </c>
    </row>
    <row r="36" ht="19" customHeight="1">
      <c r="A36" s="15" t="inlineStr">
        <is>
          <t>CAST-035</t>
        </is>
      </c>
      <c r="B36" s="18" t="inlineStr">
        <is>
          <t>FILM-015</t>
        </is>
      </c>
      <c r="C36" s="5" t="inlineStr">
        <is>
          <t>Jo Jeeta Wohi Sikandar</t>
        </is>
      </c>
      <c r="D36" s="17" t="n">
        <v>1992</v>
      </c>
      <c r="E36" s="5" t="inlineStr">
        <is>
          <t>Kulbhushan Kharbanda</t>
        </is>
      </c>
      <c r="F36" s="5" t="inlineStr">
        <is>
          <t>Ramlal Sharma</t>
        </is>
      </c>
      <c r="G36" s="5" t="inlineStr">
        <is>
          <t>Family</t>
        </is>
      </c>
      <c r="H36" s="5" t="inlineStr">
        <is>
          <t>Medium</t>
        </is>
      </c>
      <c r="I36" s="5" t="inlineStr">
        <is>
          <t>Father</t>
        </is>
      </c>
      <c r="J36" s="5" t="inlineStr">
        <is>
          <t>Not applicable</t>
        </is>
      </c>
      <c r="K36" s="19" t="inlineStr">
        <is>
          <t>The brothers' father, whose hopes Sanju ultimately fulfils.</t>
        </is>
      </c>
      <c r="L36" s="5" t="n"/>
      <c r="M36" s="5" t="inlineStr">
        <is>
          <t>SOURCE-021</t>
        </is>
      </c>
    </row>
    <row r="37" ht="34" customHeight="1">
      <c r="A37" s="15" t="inlineStr">
        <is>
          <t>CAST-036</t>
        </is>
      </c>
      <c r="B37" s="18" t="inlineStr">
        <is>
          <t>FILM-016</t>
        </is>
      </c>
      <c r="C37" s="5" t="inlineStr">
        <is>
          <t>Isi Ka Naam Zindagi</t>
        </is>
      </c>
      <c r="D37" s="17" t="n">
        <v>1992</v>
      </c>
      <c r="E37" s="5" t="inlineStr">
        <is>
          <t>Pran</t>
        </is>
      </c>
      <c r="F37" s="5" t="inlineStr">
        <is>
          <t>Bansiram</t>
        </is>
      </c>
      <c r="G37" s="5" t="inlineStr">
        <is>
          <t>Co-lead</t>
        </is>
      </c>
      <c r="H37" s="5" t="inlineStr">
        <is>
          <t>Major</t>
        </is>
      </c>
      <c r="I37" s="5" t="inlineStr">
        <is>
          <t>Grandfather</t>
        </is>
      </c>
      <c r="J37" s="5" t="inlineStr">
        <is>
          <t>Not applicable</t>
        </is>
      </c>
      <c r="K37" s="19" t="inlineStr">
        <is>
          <t>The stubborn old man who refuses to surrender his land; the film's dramatic centre.</t>
        </is>
      </c>
      <c r="L37" s="5" t="inlineStr">
        <is>
          <t>Singled out as one of his best performances and used to promote the film</t>
        </is>
      </c>
      <c r="M37" s="5" t="inlineStr">
        <is>
          <t>SOURCE-022</t>
        </is>
      </c>
    </row>
    <row r="38" ht="34" customHeight="1">
      <c r="A38" s="15" t="inlineStr">
        <is>
          <t>CAST-037</t>
        </is>
      </c>
      <c r="B38" s="18" t="inlineStr">
        <is>
          <t>FILM-016</t>
        </is>
      </c>
      <c r="C38" s="5" t="inlineStr">
        <is>
          <t>Isi Ka Naam Zindagi</t>
        </is>
      </c>
      <c r="D38" s="17" t="n">
        <v>1992</v>
      </c>
      <c r="E38" s="5" t="inlineStr">
        <is>
          <t>Shakti Kapoor</t>
        </is>
      </c>
      <c r="F38" s="5" t="inlineStr">
        <is>
          <t>Zamindar Thakur Dhanraj Singh / Devraj</t>
        </is>
      </c>
      <c r="G38" s="5" t="inlineStr">
        <is>
          <t>Antagonist</t>
        </is>
      </c>
      <c r="H38" s="5" t="inlineStr">
        <is>
          <t>Major</t>
        </is>
      </c>
      <c r="I38" s="5" t="inlineStr">
        <is>
          <t>Landlord family covetous of the grandfather's land</t>
        </is>
      </c>
      <c r="J38" s="5" t="inlineStr">
        <is>
          <t>Not applicable</t>
        </is>
      </c>
      <c r="K38" s="19" t="inlineStr">
        <is>
          <t>Successive heirs of the zamindar family who want Bansiram's plot.</t>
        </is>
      </c>
      <c r="L38" s="5" t="n"/>
      <c r="M38" s="5" t="inlineStr">
        <is>
          <t>SOURCE-022</t>
        </is>
      </c>
    </row>
    <row r="39" ht="34" customHeight="1">
      <c r="A39" s="15" t="inlineStr">
        <is>
          <t>CAST-038</t>
        </is>
      </c>
      <c r="B39" s="18" t="inlineStr">
        <is>
          <t>FILM-017</t>
        </is>
      </c>
      <c r="C39" s="5" t="inlineStr">
        <is>
          <t>Damini</t>
        </is>
      </c>
      <c r="D39" s="17" t="n">
        <v>1993</v>
      </c>
      <c r="E39" s="5" t="inlineStr">
        <is>
          <t>Meenakshi Seshadri</t>
        </is>
      </c>
      <c r="F39" s="5" t="inlineStr">
        <is>
          <t>Damini</t>
        </is>
      </c>
      <c r="G39" s="5" t="inlineStr">
        <is>
          <t>Co-lead</t>
        </is>
      </c>
      <c r="H39" s="5" t="inlineStr">
        <is>
          <t>Major</t>
        </is>
      </c>
      <c r="I39" s="5" t="inlineStr">
        <is>
          <t>No interaction; Aamir Khan appears only as himself in a song</t>
        </is>
      </c>
      <c r="J39" s="5" t="inlineStr">
        <is>
          <t>Not applicable</t>
        </is>
      </c>
      <c r="K39" s="19" t="inlineStr">
        <is>
          <t>The title character of the legal drama; critics called it Meenakshi Seshadri's career-best performance.</t>
        </is>
      </c>
      <c r="L39" s="5" t="inlineStr">
        <is>
          <t>Critics called it her career-best performance</t>
        </is>
      </c>
      <c r="M39" s="5" t="inlineStr">
        <is>
          <t>SOURCE-023</t>
        </is>
      </c>
    </row>
    <row r="40" ht="34" customHeight="1">
      <c r="A40" s="15" t="inlineStr">
        <is>
          <t>CAST-039</t>
        </is>
      </c>
      <c r="B40" s="18" t="inlineStr">
        <is>
          <t>FILM-017</t>
        </is>
      </c>
      <c r="C40" s="5" t="inlineStr">
        <is>
          <t>Damini</t>
        </is>
      </c>
      <c r="D40" s="17" t="n">
        <v>1993</v>
      </c>
      <c r="E40" s="5" t="inlineStr">
        <is>
          <t>Sunny Deol</t>
        </is>
      </c>
      <c r="F40" s="5" t="inlineStr">
        <is>
          <t>Govind Srivastav</t>
        </is>
      </c>
      <c r="G40" s="5" t="inlineStr">
        <is>
          <t>Supporting</t>
        </is>
      </c>
      <c r="H40" s="5" t="inlineStr">
        <is>
          <t>Major</t>
        </is>
      </c>
      <c r="I40" s="5" t="inlineStr">
        <is>
          <t>No interaction; Aamir Khan appears only as himself in a song</t>
        </is>
      </c>
      <c r="J40" s="5" t="inlineStr">
        <is>
          <t>Not applicable</t>
        </is>
      </c>
      <c r="K40" s="19" t="inlineStr">
        <is>
          <t>A principal supporting role in the legal drama.</t>
        </is>
      </c>
      <c r="L40" s="5" t="inlineStr">
        <is>
          <t>National Film Award and Filmfare Award for Best Supporting Actor</t>
        </is>
      </c>
      <c r="M40" s="5" t="inlineStr">
        <is>
          <t>SOURCE-023</t>
        </is>
      </c>
    </row>
    <row r="41" ht="34" customHeight="1">
      <c r="A41" s="15" t="inlineStr">
        <is>
          <t>CAST-040</t>
        </is>
      </c>
      <c r="B41" s="18" t="inlineStr">
        <is>
          <t>FILM-018</t>
        </is>
      </c>
      <c r="C41" s="5" t="inlineStr">
        <is>
          <t>Parampara</t>
        </is>
      </c>
      <c r="D41" s="17" t="n">
        <v>1993</v>
      </c>
      <c r="E41" s="5" t="inlineStr">
        <is>
          <t>Saif Ali Khan</t>
        </is>
      </c>
      <c r="F41" s="5" t="inlineStr">
        <is>
          <t>Pratap Singh</t>
        </is>
      </c>
      <c r="G41" s="5" t="inlineStr">
        <is>
          <t>Co-lead</t>
        </is>
      </c>
      <c r="H41" s="5" t="inlineStr">
        <is>
          <t>Major</t>
        </is>
      </c>
      <c r="I41" s="5" t="inlineStr">
        <is>
          <t>Half-brother turned enemy</t>
        </is>
      </c>
      <c r="J41" s="5" t="inlineStr">
        <is>
          <t>Not applicable</t>
        </is>
      </c>
      <c r="K41" s="19" t="inlineStr">
        <is>
          <t>Ranvir's half-brother, whom he blames for their grandfather's crimes before they reconcile; Saif Ali Khan's Hindi debut.</t>
        </is>
      </c>
      <c r="L41" s="5" t="n"/>
      <c r="M41" s="5" t="inlineStr">
        <is>
          <t>SOURCE-024; SOURCE-065</t>
        </is>
      </c>
    </row>
    <row r="42" ht="19" customHeight="1">
      <c r="A42" s="15" t="inlineStr">
        <is>
          <t>CAST-041</t>
        </is>
      </c>
      <c r="B42" s="18" t="inlineStr">
        <is>
          <t>FILM-018</t>
        </is>
      </c>
      <c r="C42" s="5" t="inlineStr">
        <is>
          <t>Parampara</t>
        </is>
      </c>
      <c r="D42" s="17" t="n">
        <v>1993</v>
      </c>
      <c r="E42" s="5" t="inlineStr">
        <is>
          <t>Sunil Dutt</t>
        </is>
      </c>
      <c r="F42" s="5" t="inlineStr">
        <is>
          <t>Thakur Bhavani Singh</t>
        </is>
      </c>
      <c r="G42" s="5" t="inlineStr">
        <is>
          <t>Family</t>
        </is>
      </c>
      <c r="H42" s="5" t="inlineStr">
        <is>
          <t>Major</t>
        </is>
      </c>
      <c r="I42" s="5" t="inlineStr">
        <is>
          <t>Grandfather</t>
        </is>
      </c>
      <c r="J42" s="5" t="inlineStr">
        <is>
          <t>Not applicable</t>
        </is>
      </c>
      <c r="K42" s="19" t="inlineStr">
        <is>
          <t>The patriarch who ordered the execution of Ranvir's mother.</t>
        </is>
      </c>
      <c r="L42" s="5" t="n"/>
      <c r="M42" s="5" t="inlineStr">
        <is>
          <t>SOURCE-024</t>
        </is>
      </c>
    </row>
    <row r="43" ht="19" customHeight="1">
      <c r="A43" s="15" t="inlineStr">
        <is>
          <t>CAST-042</t>
        </is>
      </c>
      <c r="B43" s="18" t="inlineStr">
        <is>
          <t>FILM-018</t>
        </is>
      </c>
      <c r="C43" s="5" t="inlineStr">
        <is>
          <t>Parampara</t>
        </is>
      </c>
      <c r="D43" s="17" t="n">
        <v>1993</v>
      </c>
      <c r="E43" s="5" t="inlineStr">
        <is>
          <t>Vinod Khanna</t>
        </is>
      </c>
      <c r="F43" s="5" t="inlineStr">
        <is>
          <t>Prithvi Singh</t>
        </is>
      </c>
      <c r="G43" s="5" t="inlineStr">
        <is>
          <t>Family</t>
        </is>
      </c>
      <c r="H43" s="5" t="inlineStr">
        <is>
          <t>Major</t>
        </is>
      </c>
      <c r="I43" s="5" t="inlineStr">
        <is>
          <t>Father</t>
        </is>
      </c>
      <c r="J43" s="5" t="inlineStr">
        <is>
          <t>Not applicable</t>
        </is>
      </c>
      <c r="K43" s="19" t="inlineStr">
        <is>
          <t>Father of both warring half-brothers.</t>
        </is>
      </c>
      <c r="L43" s="5" t="n"/>
      <c r="M43" s="5" t="inlineStr">
        <is>
          <t>SOURCE-024</t>
        </is>
      </c>
    </row>
    <row r="44" ht="49" customHeight="1">
      <c r="A44" s="15" t="inlineStr">
        <is>
          <t>CAST-043</t>
        </is>
      </c>
      <c r="B44" s="18" t="inlineStr">
        <is>
          <t>FILM-019</t>
        </is>
      </c>
      <c r="C44" s="5" t="inlineStr">
        <is>
          <t>Hum Hain Rahi Pyar Ke</t>
        </is>
      </c>
      <c r="D44" s="17" t="n">
        <v>1993</v>
      </c>
      <c r="E44" s="5" t="inlineStr">
        <is>
          <t>Kunal Khemu</t>
        </is>
      </c>
      <c r="F44" s="5" t="inlineStr">
        <is>
          <t>Sunny Chopra</t>
        </is>
      </c>
      <c r="G44" s="5" t="inlineStr">
        <is>
          <t>Family</t>
        </is>
      </c>
      <c r="H44" s="5" t="inlineStr">
        <is>
          <t>Medium</t>
        </is>
      </c>
      <c r="I44" s="5" t="inlineStr">
        <is>
          <t>Nephew and ward</t>
        </is>
      </c>
      <c r="J44" s="5" t="inlineStr">
        <is>
          <t>With his siblings, hides Vyjayanti and sabotages Rahul's engagement to Maya</t>
        </is>
      </c>
      <c r="K44" s="19" t="inlineStr">
        <is>
          <t>The eldest of the mischievous children who engineer the romance.</t>
        </is>
      </c>
      <c r="L44" s="5" t="n"/>
      <c r="M44" s="5" t="inlineStr">
        <is>
          <t>SOURCE-025</t>
        </is>
      </c>
    </row>
    <row r="45" ht="34" customHeight="1">
      <c r="A45" s="15" t="inlineStr">
        <is>
          <t>CAST-044</t>
        </is>
      </c>
      <c r="B45" s="18" t="inlineStr">
        <is>
          <t>FILM-019</t>
        </is>
      </c>
      <c r="C45" s="5" t="inlineStr">
        <is>
          <t>Hum Hain Rahi Pyar Ke</t>
        </is>
      </c>
      <c r="D45" s="17" t="n">
        <v>1993</v>
      </c>
      <c r="E45" s="5" t="inlineStr">
        <is>
          <t>Dalip Tahil</t>
        </is>
      </c>
      <c r="F45" s="5" t="inlineStr">
        <is>
          <t>Bijlani</t>
        </is>
      </c>
      <c r="G45" s="5" t="inlineStr">
        <is>
          <t>Antagonist</t>
        </is>
      </c>
      <c r="H45" s="5" t="inlineStr">
        <is>
          <t>Medium</t>
        </is>
      </c>
      <c r="I45" s="5" t="inlineStr">
        <is>
          <t>Business client turned saboteur</t>
        </is>
      </c>
      <c r="J45" s="5" t="inlineStr">
        <is>
          <t>Maya's father; takes revenge when the engagement collapses</t>
        </is>
      </c>
      <c r="K45" s="19" t="inlineStr">
        <is>
          <t>The businessman whose big order Rahul depends on.</t>
        </is>
      </c>
      <c r="L45" s="5" t="n"/>
      <c r="M45" s="5" t="inlineStr">
        <is>
          <t>SOURCE-025</t>
        </is>
      </c>
    </row>
    <row r="46" ht="34" customHeight="1">
      <c r="A46" s="15" t="inlineStr">
        <is>
          <t>CAST-045</t>
        </is>
      </c>
      <c r="B46" s="18" t="inlineStr">
        <is>
          <t>FILM-019</t>
        </is>
      </c>
      <c r="C46" s="5" t="inlineStr">
        <is>
          <t>Hum Hain Rahi Pyar Ke</t>
        </is>
      </c>
      <c r="D46" s="17" t="n">
        <v>1993</v>
      </c>
      <c r="E46" s="5" t="inlineStr">
        <is>
          <t>Navneet Nishan</t>
        </is>
      </c>
      <c r="F46" s="5" t="inlineStr">
        <is>
          <t>Maya Bijlani</t>
        </is>
      </c>
      <c r="G46" s="5" t="inlineStr">
        <is>
          <t>Romantic rival</t>
        </is>
      </c>
      <c r="H46" s="5" t="inlineStr">
        <is>
          <t>Medium</t>
        </is>
      </c>
      <c r="I46" s="5" t="inlineStr">
        <is>
          <t>Intended bride</t>
        </is>
      </c>
      <c r="J46" s="5" t="inlineStr">
        <is>
          <t>Obsessed with Rahul; her engagement to him is thwarted</t>
        </is>
      </c>
      <c r="K46" s="19" t="inlineStr">
        <is>
          <t>The businessman's daughter set on marrying Rahul.</t>
        </is>
      </c>
      <c r="L46" s="5" t="n"/>
      <c r="M46" s="5" t="inlineStr">
        <is>
          <t>SOURCE-025</t>
        </is>
      </c>
    </row>
    <row r="47" ht="34" customHeight="1">
      <c r="A47" s="15" t="inlineStr">
        <is>
          <t>CAST-046</t>
        </is>
      </c>
      <c r="B47" s="18" t="inlineStr">
        <is>
          <t>FILM-020</t>
        </is>
      </c>
      <c r="C47" s="5" t="inlineStr">
        <is>
          <t>Pehla Nasha</t>
        </is>
      </c>
      <c r="D47" s="17" t="n">
        <v>1993</v>
      </c>
      <c r="E47" s="5" t="inlineStr">
        <is>
          <t>Deepak Tijori</t>
        </is>
      </c>
      <c r="F47" s="5" t="inlineStr">
        <is>
          <t>Deepak Bakshi</t>
        </is>
      </c>
      <c r="G47" s="5" t="inlineStr">
        <is>
          <t>Co-lead</t>
        </is>
      </c>
      <c r="H47" s="5" t="inlineStr">
        <is>
          <t>Major</t>
        </is>
      </c>
      <c r="I47" s="5" t="inlineStr">
        <is>
          <t>No interaction documented; Aamir Khan appears as himself</t>
        </is>
      </c>
      <c r="J47" s="5" t="inlineStr">
        <is>
          <t>Not applicable</t>
        </is>
      </c>
      <c r="K47" s="19" t="inlineStr">
        <is>
          <t>The lead of Ashutosh Gowariker's Body Double remake.</t>
        </is>
      </c>
      <c r="L47" s="5" t="n"/>
      <c r="M47" s="5" t="inlineStr">
        <is>
          <t>SOURCE-026</t>
        </is>
      </c>
    </row>
    <row r="48" ht="34" customHeight="1">
      <c r="A48" s="15" t="inlineStr">
        <is>
          <t>CAST-047</t>
        </is>
      </c>
      <c r="B48" s="18" t="inlineStr">
        <is>
          <t>FILM-021</t>
        </is>
      </c>
      <c r="C48" s="5" t="inlineStr">
        <is>
          <t>Andaz Apna Apna</t>
        </is>
      </c>
      <c r="D48" s="17" t="n">
        <v>1994</v>
      </c>
      <c r="E48" s="5" t="inlineStr">
        <is>
          <t>Salman Khan</t>
        </is>
      </c>
      <c r="F48" s="5" t="inlineStr">
        <is>
          <t>Prem Bhopali</t>
        </is>
      </c>
      <c r="G48" s="5" t="inlineStr">
        <is>
          <t>Co-lead</t>
        </is>
      </c>
      <c r="H48" s="5" t="inlineStr">
        <is>
          <t>Major</t>
        </is>
      </c>
      <c r="I48" s="5" t="inlineStr">
        <is>
          <t>Rival fortune-hunter turned partner-in-comedy</t>
        </is>
      </c>
      <c r="J48" s="5" t="inlineStr">
        <is>
          <t>Competes for the heiress; ends up with the real Raveena</t>
        </is>
      </c>
      <c r="K48" s="19" t="inlineStr">
        <is>
          <t>Amar's equally scheming rival in the chase for an heiress.</t>
        </is>
      </c>
      <c r="L48" s="5" t="n"/>
      <c r="M48" s="5" t="inlineStr">
        <is>
          <t>SOURCE-027</t>
        </is>
      </c>
    </row>
    <row r="49" ht="34" customHeight="1">
      <c r="A49" s="15" t="inlineStr">
        <is>
          <t>CAST-048</t>
        </is>
      </c>
      <c r="B49" s="18" t="inlineStr">
        <is>
          <t>FILM-021</t>
        </is>
      </c>
      <c r="C49" s="5" t="inlineStr">
        <is>
          <t>Andaz Apna Apna</t>
        </is>
      </c>
      <c r="D49" s="17" t="n">
        <v>1994</v>
      </c>
      <c r="E49" s="5" t="inlineStr">
        <is>
          <t>Karisma Kapoor</t>
        </is>
      </c>
      <c r="F49" s="5" t="inlineStr">
        <is>
          <t>Raveena Bajaj (posing as Karishma)</t>
        </is>
      </c>
      <c r="G49" s="5" t="inlineStr">
        <is>
          <t>Co-lead</t>
        </is>
      </c>
      <c r="H49" s="5" t="inlineStr">
        <is>
          <t>Major</t>
        </is>
      </c>
      <c r="I49" s="5" t="inlineStr">
        <is>
          <t>The real heiress in disguise</t>
        </is>
      </c>
      <c r="J49" s="5" t="inlineStr">
        <is>
          <t>Swaps identities with her secretary to test suitors; paired with Prem</t>
        </is>
      </c>
      <c r="K49" s="19" t="inlineStr">
        <is>
          <t>The heiress who poses as her own secretary.</t>
        </is>
      </c>
      <c r="L49" s="5" t="n"/>
      <c r="M49" s="5" t="inlineStr">
        <is>
          <t>SOURCE-027</t>
        </is>
      </c>
    </row>
    <row r="50" ht="34" customHeight="1">
      <c r="A50" s="15" t="inlineStr">
        <is>
          <t>CAST-049</t>
        </is>
      </c>
      <c r="B50" s="18" t="inlineStr">
        <is>
          <t>FILM-021</t>
        </is>
      </c>
      <c r="C50" s="5" t="inlineStr">
        <is>
          <t>Andaz Apna Apna</t>
        </is>
      </c>
      <c r="D50" s="17" t="n">
        <v>1994</v>
      </c>
      <c r="E50" s="5" t="inlineStr">
        <is>
          <t>Paresh Rawal</t>
        </is>
      </c>
      <c r="F50" s="5" t="inlineStr">
        <is>
          <t>Ram Gopal Bajaj / Teja</t>
        </is>
      </c>
      <c r="G50" s="5" t="inlineStr">
        <is>
          <t>Antagonist</t>
        </is>
      </c>
      <c r="H50" s="5" t="inlineStr">
        <is>
          <t>Major</t>
        </is>
      </c>
      <c r="I50" s="5" t="inlineStr">
        <is>
          <t>The heiress's father and his criminal twin</t>
        </is>
      </c>
      <c r="J50" s="5" t="inlineStr">
        <is>
          <t>Ram Gopal approves the final marriages</t>
        </is>
      </c>
      <c r="K50" s="19" t="inlineStr">
        <is>
          <t>A double role as the wealthy father and his scheming twin brother Teja.</t>
        </is>
      </c>
      <c r="L50" s="5" t="n"/>
      <c r="M50" s="5" t="inlineStr">
        <is>
          <t>SOURCE-027</t>
        </is>
      </c>
    </row>
    <row r="51" ht="19" customHeight="1">
      <c r="A51" s="15" t="inlineStr">
        <is>
          <t>CAST-050</t>
        </is>
      </c>
      <c r="B51" s="18" t="inlineStr">
        <is>
          <t>FILM-021</t>
        </is>
      </c>
      <c r="C51" s="5" t="inlineStr">
        <is>
          <t>Andaz Apna Apna</t>
        </is>
      </c>
      <c r="D51" s="17" t="n">
        <v>1994</v>
      </c>
      <c r="E51" s="5" t="inlineStr">
        <is>
          <t>Shakti Kapoor</t>
        </is>
      </c>
      <c r="F51" s="5" t="inlineStr">
        <is>
          <t>Crime Master Gogo</t>
        </is>
      </c>
      <c r="G51" s="5" t="inlineStr">
        <is>
          <t>Comic support</t>
        </is>
      </c>
      <c r="H51" s="5" t="inlineStr">
        <is>
          <t>Medium</t>
        </is>
      </c>
      <c r="I51" s="5" t="inlineStr">
        <is>
          <t>Criminal adversary</t>
        </is>
      </c>
      <c r="J51" s="5" t="inlineStr">
        <is>
          <t>Not applicable</t>
        </is>
      </c>
      <c r="K51" s="19" t="inlineStr">
        <is>
          <t>A comic criminal in the plot around Ram Gopal's diamonds.</t>
        </is>
      </c>
      <c r="L51" s="5" t="inlineStr">
        <is>
          <t>Filmfare Best Comedian nomination</t>
        </is>
      </c>
      <c r="M51" s="5" t="inlineStr">
        <is>
          <t>SOURCE-027</t>
        </is>
      </c>
    </row>
    <row r="52" ht="34" customHeight="1">
      <c r="A52" s="15" t="inlineStr">
        <is>
          <t>CAST-051</t>
        </is>
      </c>
      <c r="B52" s="18" t="inlineStr">
        <is>
          <t>FILM-022</t>
        </is>
      </c>
      <c r="C52" s="5" t="inlineStr">
        <is>
          <t>Baazi</t>
        </is>
      </c>
      <c r="D52" s="17" t="n">
        <v>1995</v>
      </c>
      <c r="E52" s="5" t="inlineStr">
        <is>
          <t>Paresh Rawal</t>
        </is>
      </c>
      <c r="F52" s="5" t="inlineStr">
        <is>
          <t>Deputy Chief Minister Chaturvedi (Chaubey)</t>
        </is>
      </c>
      <c r="G52" s="5" t="inlineStr">
        <is>
          <t>Antagonist</t>
        </is>
      </c>
      <c r="H52" s="5" t="inlineStr">
        <is>
          <t>Major</t>
        </is>
      </c>
      <c r="I52" s="5" t="inlineStr">
        <is>
          <t>Murderer of his parents; frames him</t>
        </is>
      </c>
      <c r="J52" s="5" t="inlineStr">
        <is>
          <t>Endangers Sanjana in the siege</t>
        </is>
      </c>
      <c r="K52" s="19" t="inlineStr">
        <is>
          <t>The corrupt politician behind the scandal and the killing of Amar's parents.</t>
        </is>
      </c>
      <c r="L52" s="5" t="n"/>
      <c r="M52" s="5" t="inlineStr">
        <is>
          <t>SOURCE-028</t>
        </is>
      </c>
    </row>
    <row r="53" ht="19" customHeight="1">
      <c r="A53" s="15" t="inlineStr">
        <is>
          <t>CAST-052</t>
        </is>
      </c>
      <c r="B53" s="18" t="inlineStr">
        <is>
          <t>FILM-022</t>
        </is>
      </c>
      <c r="C53" s="5" t="inlineStr">
        <is>
          <t>Baazi</t>
        </is>
      </c>
      <c r="D53" s="17" t="n">
        <v>1995</v>
      </c>
      <c r="E53" s="5" t="inlineStr">
        <is>
          <t>Mukesh Rishi</t>
        </is>
      </c>
      <c r="F53" s="5" t="inlineStr">
        <is>
          <t>Raghu</t>
        </is>
      </c>
      <c r="G53" s="5" t="inlineStr">
        <is>
          <t>Antagonist</t>
        </is>
      </c>
      <c r="H53" s="5" t="inlineStr">
        <is>
          <t>Medium</t>
        </is>
      </c>
      <c r="I53" s="5" t="inlineStr">
        <is>
          <t>Head assassin</t>
        </is>
      </c>
      <c r="J53" s="5" t="inlineStr">
        <is>
          <t>Not applicable</t>
        </is>
      </c>
      <c r="K53" s="19" t="inlineStr">
        <is>
          <t>Chaubey's chief hitman, who battles Amar.</t>
        </is>
      </c>
      <c r="L53" s="5" t="n"/>
      <c r="M53" s="5" t="inlineStr">
        <is>
          <t>SOURCE-028</t>
        </is>
      </c>
    </row>
    <row r="54" ht="34" customHeight="1">
      <c r="A54" s="15" t="inlineStr">
        <is>
          <t>CAST-053</t>
        </is>
      </c>
      <c r="B54" s="18" t="inlineStr">
        <is>
          <t>FILM-023</t>
        </is>
      </c>
      <c r="C54" s="5" t="inlineStr">
        <is>
          <t>Aatank Hi Aatank</t>
        </is>
      </c>
      <c r="D54" s="17" t="n">
        <v>1995</v>
      </c>
      <c r="E54" s="5" t="inlineStr">
        <is>
          <t>Rajinikanth</t>
        </is>
      </c>
      <c r="F54" s="5" t="inlineStr">
        <is>
          <t>Munna</t>
        </is>
      </c>
      <c r="G54" s="5" t="inlineStr">
        <is>
          <t>Co-lead</t>
        </is>
      </c>
      <c r="H54" s="5" t="inlineStr">
        <is>
          <t>Major</t>
        </is>
      </c>
      <c r="I54" s="5" t="inlineStr">
        <is>
          <t>Brother and partner in the crime family</t>
        </is>
      </c>
      <c r="J54" s="5" t="inlineStr">
        <is>
          <t>Not applicable</t>
        </is>
      </c>
      <c r="K54" s="19" t="inlineStr">
        <is>
          <t>Rohan's brother and co-leader in the gang war; top-billed.</t>
        </is>
      </c>
      <c r="L54" s="5" t="n"/>
      <c r="M54" s="5" t="inlineStr">
        <is>
          <t>SOURCE-029</t>
        </is>
      </c>
    </row>
    <row r="55" ht="19" customHeight="1">
      <c r="A55" s="15" t="inlineStr">
        <is>
          <t>CAST-054</t>
        </is>
      </c>
      <c r="B55" s="18" t="inlineStr">
        <is>
          <t>FILM-023</t>
        </is>
      </c>
      <c r="C55" s="5" t="inlineStr">
        <is>
          <t>Aatank Hi Aatank</t>
        </is>
      </c>
      <c r="D55" s="17" t="n">
        <v>1995</v>
      </c>
      <c r="E55" s="5" t="inlineStr">
        <is>
          <t>Om Puri</t>
        </is>
      </c>
      <c r="F55" s="5" t="inlineStr">
        <is>
          <t>Sharad Joshi</t>
        </is>
      </c>
      <c r="G55" s="5" t="inlineStr">
        <is>
          <t>Antagonist</t>
        </is>
      </c>
      <c r="H55" s="5" t="inlineStr">
        <is>
          <t>Medium</t>
        </is>
      </c>
      <c r="I55" s="5" t="inlineStr">
        <is>
          <t>Hired to kill the family</t>
        </is>
      </c>
      <c r="J55" s="5" t="inlineStr">
        <is>
          <t>Not applicable</t>
        </is>
      </c>
      <c r="K55" s="19" t="inlineStr">
        <is>
          <t>An antagonist in the gang war against Rohan's family.</t>
        </is>
      </c>
      <c r="L55" s="5" t="n"/>
      <c r="M55" s="5" t="inlineStr">
        <is>
          <t>SOURCE-029</t>
        </is>
      </c>
    </row>
    <row r="56" ht="34" customHeight="1">
      <c r="A56" s="15" t="inlineStr">
        <is>
          <t>CAST-055</t>
        </is>
      </c>
      <c r="B56" s="18" t="inlineStr">
        <is>
          <t>FILM-024</t>
        </is>
      </c>
      <c r="C56" s="5" t="inlineStr">
        <is>
          <t>Rangeela</t>
        </is>
      </c>
      <c r="D56" s="17" t="n">
        <v>1995</v>
      </c>
      <c r="E56" s="5" t="inlineStr">
        <is>
          <t>Jackie Shroff</t>
        </is>
      </c>
      <c r="F56" s="5" t="inlineStr">
        <is>
          <t>Raj Kamal</t>
        </is>
      </c>
      <c r="G56" s="5" t="inlineStr">
        <is>
          <t>Romantic rival</t>
        </is>
      </c>
      <c r="H56" s="5" t="inlineStr">
        <is>
          <t>Major</t>
        </is>
      </c>
      <c r="I56" s="5" t="inlineStr">
        <is>
          <t>Film star Munna feels inferior to</t>
        </is>
      </c>
      <c r="J56" s="5" t="inlineStr">
        <is>
          <t>Attracted to Mili; ultimately helps reunite her with Munna</t>
        </is>
      </c>
      <c r="K56" s="19" t="inlineStr">
        <is>
          <t>A benign superstar whose attention to Mili feeds Munna's insecurity.</t>
        </is>
      </c>
      <c r="L56" s="5" t="inlineStr">
        <is>
          <t>Filmfare Award for Best Supporting Actor</t>
        </is>
      </c>
      <c r="M56" s="5" t="inlineStr">
        <is>
          <t>SOURCE-030</t>
        </is>
      </c>
    </row>
    <row r="57" ht="19" customHeight="1">
      <c r="A57" s="15" t="inlineStr">
        <is>
          <t>CAST-056</t>
        </is>
      </c>
      <c r="B57" s="18" t="inlineStr">
        <is>
          <t>FILM-024</t>
        </is>
      </c>
      <c r="C57" s="5" t="inlineStr">
        <is>
          <t>Rangeela</t>
        </is>
      </c>
      <c r="D57" s="17" t="n">
        <v>1995</v>
      </c>
      <c r="E57" s="5" t="inlineStr">
        <is>
          <t>Reema Lagoo</t>
        </is>
      </c>
      <c r="F57" s="5" t="inlineStr">
        <is>
          <t>Mrs. Joshi</t>
        </is>
      </c>
      <c r="G57" s="5" t="inlineStr">
        <is>
          <t>Family</t>
        </is>
      </c>
      <c r="H57" s="5" t="inlineStr">
        <is>
          <t>Minor</t>
        </is>
      </c>
      <c r="I57" s="5" t="inlineStr">
        <is>
          <t>Mother of his childhood friend</t>
        </is>
      </c>
      <c r="J57" s="5" t="inlineStr">
        <is>
          <t>Mili's mother</t>
        </is>
      </c>
      <c r="K57" s="19" t="inlineStr">
        <is>
          <t>Mili's mother in the neighbourhood where Munna grew up.</t>
        </is>
      </c>
      <c r="L57" s="5" t="n"/>
      <c r="M57" s="5" t="inlineStr">
        <is>
          <t>SOURCE-030</t>
        </is>
      </c>
    </row>
    <row r="58" ht="34" customHeight="1">
      <c r="A58" s="15" t="inlineStr">
        <is>
          <t>CAST-057</t>
        </is>
      </c>
      <c r="B58" s="18" t="inlineStr">
        <is>
          <t>FILM-025</t>
        </is>
      </c>
      <c r="C58" s="5" t="inlineStr">
        <is>
          <t>Akele Hum Akele Tum</t>
        </is>
      </c>
      <c r="D58" s="17" t="n">
        <v>1995</v>
      </c>
      <c r="E58" s="5" t="inlineStr">
        <is>
          <t>Master Adil Rizvi</t>
        </is>
      </c>
      <c r="F58" s="5" t="inlineStr">
        <is>
          <t>Sunil "Sonu"</t>
        </is>
      </c>
      <c r="G58" s="5" t="inlineStr">
        <is>
          <t>Family</t>
        </is>
      </c>
      <c r="H58" s="5" t="inlineStr">
        <is>
          <t>Major</t>
        </is>
      </c>
      <c r="I58" s="5" t="inlineStr">
        <is>
          <t>Son</t>
        </is>
      </c>
      <c r="J58" s="5" t="inlineStr">
        <is>
          <t>The custody dispute over him tests and finally reunites the marriage</t>
        </is>
      </c>
      <c r="K58" s="19" t="inlineStr">
        <is>
          <t>The boy Rohit raises alone after Kiran leaves.</t>
        </is>
      </c>
      <c r="L58" s="5" t="n"/>
      <c r="M58" s="5" t="inlineStr">
        <is>
          <t>SOURCE-031</t>
        </is>
      </c>
    </row>
    <row r="59" ht="19" customHeight="1">
      <c r="A59" s="15" t="inlineStr">
        <is>
          <t>CAST-058</t>
        </is>
      </c>
      <c r="B59" s="18" t="inlineStr">
        <is>
          <t>FILM-025</t>
        </is>
      </c>
      <c r="C59" s="5" t="inlineStr">
        <is>
          <t>Akele Hum Akele Tum</t>
        </is>
      </c>
      <c r="D59" s="17" t="n">
        <v>1995</v>
      </c>
      <c r="E59" s="5" t="inlineStr">
        <is>
          <t>Paresh Rawal</t>
        </is>
      </c>
      <c r="F59" s="5" t="inlineStr">
        <is>
          <t>Advocate Bhujbal</t>
        </is>
      </c>
      <c r="G59" s="5" t="inlineStr">
        <is>
          <t>Supporting</t>
        </is>
      </c>
      <c r="H59" s="5" t="inlineStr">
        <is>
          <t>Medium</t>
        </is>
      </c>
      <c r="I59" s="5" t="inlineStr">
        <is>
          <t>Opposing lawyer</t>
        </is>
      </c>
      <c r="J59" s="5" t="inlineStr">
        <is>
          <t>Represents Kiran in the custody case</t>
        </is>
      </c>
      <c r="K59" s="19" t="inlineStr">
        <is>
          <t>Kiran's lawyer in the courtroom battle over Sunil.</t>
        </is>
      </c>
      <c r="L59" s="5" t="n"/>
      <c r="M59" s="5" t="inlineStr">
        <is>
          <t>SOURCE-031</t>
        </is>
      </c>
    </row>
    <row r="60" ht="34" customHeight="1">
      <c r="A60" s="15" t="inlineStr">
        <is>
          <t>CAST-059</t>
        </is>
      </c>
      <c r="B60" s="18" t="inlineStr">
        <is>
          <t>FILM-025</t>
        </is>
      </c>
      <c r="C60" s="5" t="inlineStr">
        <is>
          <t>Akele Hum Akele Tum</t>
        </is>
      </c>
      <c r="D60" s="17" t="n">
        <v>1995</v>
      </c>
      <c r="E60" s="5" t="inlineStr">
        <is>
          <t>Tanvi Azmi</t>
        </is>
      </c>
      <c r="F60" s="5" t="inlineStr">
        <is>
          <t>Farida</t>
        </is>
      </c>
      <c r="G60" s="5" t="inlineStr">
        <is>
          <t>Supporting</t>
        </is>
      </c>
      <c r="H60" s="5" t="inlineStr">
        <is>
          <t>Medium</t>
        </is>
      </c>
      <c r="I60" s="5" t="inlineStr">
        <is>
          <t>Not documented</t>
        </is>
      </c>
      <c r="J60" s="5" t="inlineStr">
        <is>
          <t>Not documented</t>
        </is>
      </c>
      <c r="K60" s="19" t="inlineStr">
        <is>
          <t>A supporting role recognised with a Filmfare nomination.</t>
        </is>
      </c>
      <c r="L60" s="5" t="inlineStr">
        <is>
          <t>Filmfare Best Supporting Actress nomination</t>
        </is>
      </c>
      <c r="M60" s="5" t="inlineStr">
        <is>
          <t>SOURCE-031</t>
        </is>
      </c>
    </row>
    <row r="61" ht="34" customHeight="1">
      <c r="A61" s="15" t="inlineStr">
        <is>
          <t>CAST-060</t>
        </is>
      </c>
      <c r="B61" s="18" t="inlineStr">
        <is>
          <t>FILM-026</t>
        </is>
      </c>
      <c r="C61" s="5" t="inlineStr">
        <is>
          <t>Raja Hindustani</t>
        </is>
      </c>
      <c r="D61" s="17" t="n">
        <v>1996</v>
      </c>
      <c r="E61" s="5" t="inlineStr">
        <is>
          <t>Archana Puran Singh</t>
        </is>
      </c>
      <c r="F61" s="5" t="inlineStr">
        <is>
          <t>Shalini "Shalu" Mitra</t>
        </is>
      </c>
      <c r="G61" s="5" t="inlineStr">
        <is>
          <t>Antagonist</t>
        </is>
      </c>
      <c r="H61" s="5" t="inlineStr">
        <is>
          <t>Major</t>
        </is>
      </c>
      <c r="I61" s="5" t="inlineStr">
        <is>
          <t>Scheming step-mother-in-law</t>
        </is>
      </c>
      <c r="J61" s="5" t="inlineStr">
        <is>
          <t>Deceives both partners to break the marriage</t>
        </is>
      </c>
      <c r="K61" s="19" t="inlineStr">
        <is>
          <t>Aarti's stepmother, who manufactures the couple's separation.</t>
        </is>
      </c>
      <c r="L61" s="5" t="inlineStr">
        <is>
          <t>Filmfare Best Supporting Actress nomination</t>
        </is>
      </c>
      <c r="M61" s="5" t="inlineStr">
        <is>
          <t>SOURCE-032</t>
        </is>
      </c>
    </row>
    <row r="62" ht="34" customHeight="1">
      <c r="A62" s="15" t="inlineStr">
        <is>
          <t>CAST-061</t>
        </is>
      </c>
      <c r="B62" s="18" t="inlineStr">
        <is>
          <t>FILM-026</t>
        </is>
      </c>
      <c r="C62" s="5" t="inlineStr">
        <is>
          <t>Raja Hindustani</t>
        </is>
      </c>
      <c r="D62" s="17" t="n">
        <v>1996</v>
      </c>
      <c r="E62" s="5" t="inlineStr">
        <is>
          <t>Suresh Oberoi</t>
        </is>
      </c>
      <c r="F62" s="5" t="inlineStr">
        <is>
          <t>Bakshrath Sehgal</t>
        </is>
      </c>
      <c r="G62" s="5" t="inlineStr">
        <is>
          <t>Family</t>
        </is>
      </c>
      <c r="H62" s="5" t="inlineStr">
        <is>
          <t>Major</t>
        </is>
      </c>
      <c r="I62" s="5" t="inlineStr">
        <is>
          <t>Father-in-law</t>
        </is>
      </c>
      <c r="J62" s="5" t="inlineStr">
        <is>
          <t>Aarti's father; first rejects Raja, later accepts the marriage</t>
        </is>
      </c>
      <c r="K62" s="19" t="inlineStr">
        <is>
          <t>A wealthy father who comes round to his daughter's choice.</t>
        </is>
      </c>
      <c r="L62" s="5" t="n"/>
      <c r="M62" s="5" t="inlineStr">
        <is>
          <t>SOURCE-032</t>
        </is>
      </c>
    </row>
    <row r="63" ht="34" customHeight="1">
      <c r="A63" s="15" t="inlineStr">
        <is>
          <t>CAST-062</t>
        </is>
      </c>
      <c r="B63" s="18" t="inlineStr">
        <is>
          <t>FILM-026</t>
        </is>
      </c>
      <c r="C63" s="5" t="inlineStr">
        <is>
          <t>Raja Hindustani</t>
        </is>
      </c>
      <c r="D63" s="17" t="n">
        <v>1996</v>
      </c>
      <c r="E63" s="5" t="inlineStr">
        <is>
          <t>Johnny Lever</t>
        </is>
      </c>
      <c r="F63" s="5" t="inlineStr">
        <is>
          <t>Balwant Singh</t>
        </is>
      </c>
      <c r="G63" s="5" t="inlineStr">
        <is>
          <t>Comic support</t>
        </is>
      </c>
      <c r="H63" s="5" t="inlineStr">
        <is>
          <t>Minor</t>
        </is>
      </c>
      <c r="I63" s="5" t="inlineStr">
        <is>
          <t>Local companion</t>
        </is>
      </c>
      <c r="J63" s="5" t="inlineStr">
        <is>
          <t>Not applicable</t>
        </is>
      </c>
      <c r="K63" s="19" t="inlineStr">
        <is>
          <t>Comic relief in Palankhet.</t>
        </is>
      </c>
      <c r="L63" s="5" t="inlineStr">
        <is>
          <t>Screen Award for Best Comedian; Filmfare comic-role nomination</t>
        </is>
      </c>
      <c r="M63" s="5" t="inlineStr">
        <is>
          <t>SOURCE-032</t>
        </is>
      </c>
    </row>
    <row r="64" ht="34" customHeight="1">
      <c r="A64" s="15" t="inlineStr">
        <is>
          <t>CAST-063</t>
        </is>
      </c>
      <c r="B64" s="18" t="inlineStr">
        <is>
          <t>FILM-027</t>
        </is>
      </c>
      <c r="C64" s="5" t="inlineStr">
        <is>
          <t>Ishq</t>
        </is>
      </c>
      <c r="D64" s="17" t="n">
        <v>1997</v>
      </c>
      <c r="E64" s="5" t="inlineStr">
        <is>
          <t>Ajay Devgn</t>
        </is>
      </c>
      <c r="F64" s="5" t="inlineStr">
        <is>
          <t>Ajay Rai</t>
        </is>
      </c>
      <c r="G64" s="5" t="inlineStr">
        <is>
          <t>Co-lead</t>
        </is>
      </c>
      <c r="H64" s="5" t="inlineStr">
        <is>
          <t>Major</t>
        </is>
      </c>
      <c r="I64" s="5" t="inlineStr">
        <is>
          <t>Rich childhood best friend</t>
        </is>
      </c>
      <c r="J64" s="5" t="inlineStr">
        <is>
          <t>Loves Kajal; the fathers try to pair him with Madhu</t>
        </is>
      </c>
      <c r="K64" s="19" t="inlineStr">
        <is>
          <t>Raja's wealthy friend, whose own cross-class romance mirrors Raja's.</t>
        </is>
      </c>
      <c r="L64" s="5" t="inlineStr">
        <is>
          <t>Zee Cine Best Supporting Actor nomination</t>
        </is>
      </c>
      <c r="M64" s="5" t="inlineStr">
        <is>
          <t>SOURCE-033</t>
        </is>
      </c>
    </row>
    <row r="65" ht="34" customHeight="1">
      <c r="A65" s="15" t="inlineStr">
        <is>
          <t>CAST-064</t>
        </is>
      </c>
      <c r="B65" s="18" t="inlineStr">
        <is>
          <t>FILM-027</t>
        </is>
      </c>
      <c r="C65" s="5" t="inlineStr">
        <is>
          <t>Ishq</t>
        </is>
      </c>
      <c r="D65" s="17" t="n">
        <v>1997</v>
      </c>
      <c r="E65" s="5" t="inlineStr">
        <is>
          <t>Kajol</t>
        </is>
      </c>
      <c r="F65" s="5" t="inlineStr">
        <is>
          <t>Kajal</t>
        </is>
      </c>
      <c r="G65" s="5" t="inlineStr">
        <is>
          <t>Co-lead</t>
        </is>
      </c>
      <c r="H65" s="5" t="inlineStr">
        <is>
          <t>Major</t>
        </is>
      </c>
      <c r="I65" s="5" t="inlineStr">
        <is>
          <t>Friend</t>
        </is>
      </c>
      <c r="J65" s="5" t="inlineStr">
        <is>
          <t>Ajay's working-class partner, targeted by the fathers' schemes</t>
        </is>
      </c>
      <c r="K65" s="19" t="inlineStr">
        <is>
          <t>The poor heroine paired with Ajay.</t>
        </is>
      </c>
      <c r="L65" s="5" t="inlineStr">
        <is>
          <t>Zee Cine Best Supporting Actress nomination</t>
        </is>
      </c>
      <c r="M65" s="5" t="inlineStr">
        <is>
          <t>SOURCE-033</t>
        </is>
      </c>
    </row>
    <row r="66" ht="34" customHeight="1">
      <c r="A66" s="15" t="inlineStr">
        <is>
          <t>CAST-065</t>
        </is>
      </c>
      <c r="B66" s="18" t="inlineStr">
        <is>
          <t>FILM-027</t>
        </is>
      </c>
      <c r="C66" s="5" t="inlineStr">
        <is>
          <t>Ishq</t>
        </is>
      </c>
      <c r="D66" s="17" t="n">
        <v>1997</v>
      </c>
      <c r="E66" s="5" t="inlineStr">
        <is>
          <t>Sadashiv Amrapurkar</t>
        </is>
      </c>
      <c r="F66" s="5" t="inlineStr">
        <is>
          <t>Ranjit Rai</t>
        </is>
      </c>
      <c r="G66" s="5" t="inlineStr">
        <is>
          <t>Antagonist</t>
        </is>
      </c>
      <c r="H66" s="5" t="inlineStr">
        <is>
          <t>Major</t>
        </is>
      </c>
      <c r="I66" s="5" t="inlineStr">
        <is>
          <t>Friend's father who despises the poor</t>
        </is>
      </c>
      <c r="J66" s="5" t="inlineStr">
        <is>
          <t>Schemes with Harbans Lal against both cross-class couples</t>
        </is>
      </c>
      <c r="K66" s="19" t="inlineStr">
        <is>
          <t>Ajay's snobbish father and chief schemer.</t>
        </is>
      </c>
      <c r="L66" s="5" t="inlineStr">
        <is>
          <t>Filmfare Best Villain nomination</t>
        </is>
      </c>
      <c r="M66" s="5" t="inlineStr">
        <is>
          <t>SOURCE-033</t>
        </is>
      </c>
    </row>
    <row r="67" ht="34" customHeight="1">
      <c r="A67" s="15" t="inlineStr">
        <is>
          <t>CAST-066</t>
        </is>
      </c>
      <c r="B67" s="18" t="inlineStr">
        <is>
          <t>FILM-027</t>
        </is>
      </c>
      <c r="C67" s="5" t="inlineStr">
        <is>
          <t>Ishq</t>
        </is>
      </c>
      <c r="D67" s="17" t="n">
        <v>1997</v>
      </c>
      <c r="E67" s="5" t="inlineStr">
        <is>
          <t>Dalip Tahil</t>
        </is>
      </c>
      <c r="F67" s="5" t="inlineStr">
        <is>
          <t>Harbans Lal</t>
        </is>
      </c>
      <c r="G67" s="5" t="inlineStr">
        <is>
          <t>Antagonist</t>
        </is>
      </c>
      <c r="H67" s="5" t="inlineStr">
        <is>
          <t>Major</t>
        </is>
      </c>
      <c r="I67" s="5" t="inlineStr">
        <is>
          <t>Father of the woman he loves</t>
        </is>
      </c>
      <c r="J67" s="5" t="inlineStr">
        <is>
          <t>Madhu's father, co-author of the forged photographs</t>
        </is>
      </c>
      <c r="K67" s="19" t="inlineStr">
        <is>
          <t>Madhu's wealthy father and co-conspirator.</t>
        </is>
      </c>
      <c r="L67" s="5" t="n"/>
      <c r="M67" s="5" t="inlineStr">
        <is>
          <t>SOURCE-033</t>
        </is>
      </c>
    </row>
    <row r="68" ht="34" customHeight="1">
      <c r="A68" s="15" t="inlineStr">
        <is>
          <t>CAST-067</t>
        </is>
      </c>
      <c r="B68" s="18" t="inlineStr">
        <is>
          <t>FILM-028</t>
        </is>
      </c>
      <c r="C68" s="5" t="inlineStr">
        <is>
          <t>Ghulam</t>
        </is>
      </c>
      <c r="D68" s="17" t="n">
        <v>1998</v>
      </c>
      <c r="E68" s="5" t="inlineStr">
        <is>
          <t>Sharat Saxena</t>
        </is>
      </c>
      <c r="F68" s="5" t="inlineStr">
        <is>
          <t>Raunak "Ronnie" Singh</t>
        </is>
      </c>
      <c r="G68" s="5" t="inlineStr">
        <is>
          <t>Antagonist</t>
        </is>
      </c>
      <c r="H68" s="5" t="inlineStr">
        <is>
          <t>Major</t>
        </is>
      </c>
      <c r="I68" s="5" t="inlineStr">
        <is>
          <t>Gangster who controls the neighbourhood and his brother</t>
        </is>
      </c>
      <c r="J68" s="5" t="inlineStr">
        <is>
          <t>Orders the killing of Alisha's brother</t>
        </is>
      </c>
      <c r="K68" s="19" t="inlineStr">
        <is>
          <t>The neighbourhood tyrant Siddhu finally beats in a public boxing bout.</t>
        </is>
      </c>
      <c r="L68" s="5" t="inlineStr">
        <is>
          <t>Filmfare Best Villain nomination</t>
        </is>
      </c>
      <c r="M68" s="5" t="inlineStr">
        <is>
          <t>SOURCE-034</t>
        </is>
      </c>
    </row>
    <row r="69" ht="34" customHeight="1">
      <c r="A69" s="15" t="inlineStr">
        <is>
          <t>CAST-068</t>
        </is>
      </c>
      <c r="B69" s="18" t="inlineStr">
        <is>
          <t>FILM-028</t>
        </is>
      </c>
      <c r="C69" s="5" t="inlineStr">
        <is>
          <t>Ghulam</t>
        </is>
      </c>
      <c r="D69" s="17" t="n">
        <v>1998</v>
      </c>
      <c r="E69" s="5" t="inlineStr">
        <is>
          <t>Rajit Kapoor</t>
        </is>
      </c>
      <c r="F69" s="5" t="inlineStr">
        <is>
          <t>Jaidev "Jai" Marathe</t>
        </is>
      </c>
      <c r="G69" s="5" t="inlineStr">
        <is>
          <t>Family</t>
        </is>
      </c>
      <c r="H69" s="5" t="inlineStr">
        <is>
          <t>Major</t>
        </is>
      </c>
      <c r="I69" s="5" t="inlineStr">
        <is>
          <t>Elder brother and Ronnie's right-hand man</t>
        </is>
      </c>
      <c r="J69" s="5" t="inlineStr">
        <is>
          <t>Not applicable</t>
        </is>
      </c>
      <c r="K69" s="19" t="inlineStr">
        <is>
          <t>Siddhu's brother, whose loyalty to Ronnie ends in his own murder.</t>
        </is>
      </c>
      <c r="L69" s="5" t="n"/>
      <c r="M69" s="5" t="inlineStr">
        <is>
          <t>SOURCE-034</t>
        </is>
      </c>
    </row>
    <row r="70" ht="34" customHeight="1">
      <c r="A70" s="15" t="inlineStr">
        <is>
          <t>CAST-069</t>
        </is>
      </c>
      <c r="B70" s="18" t="inlineStr">
        <is>
          <t>FILM-028</t>
        </is>
      </c>
      <c r="C70" s="5" t="inlineStr">
        <is>
          <t>Ghulam</t>
        </is>
      </c>
      <c r="D70" s="17" t="n">
        <v>1998</v>
      </c>
      <c r="E70" s="5" t="inlineStr">
        <is>
          <t>Akshay Anand</t>
        </is>
      </c>
      <c r="F70" s="5" t="inlineStr">
        <is>
          <t>Harihar "Hari" Mafatlal</t>
        </is>
      </c>
      <c r="G70" s="5" t="inlineStr">
        <is>
          <t>Supporting</t>
        </is>
      </c>
      <c r="H70" s="5" t="inlineStr">
        <is>
          <t>Medium</t>
        </is>
      </c>
      <c r="I70" s="5" t="inlineStr">
        <is>
          <t>Social worker he unwittingly leads into an ambush</t>
        </is>
      </c>
      <c r="J70" s="5" t="inlineStr">
        <is>
          <t>Alisha's brother; his death breaks up the couple</t>
        </is>
      </c>
      <c r="K70" s="19" t="inlineStr">
        <is>
          <t>A principled activist murdered by Ronnie's gang.</t>
        </is>
      </c>
      <c r="L70" s="5" t="n"/>
      <c r="M70" s="5" t="inlineStr">
        <is>
          <t>SOURCE-034</t>
        </is>
      </c>
    </row>
    <row r="71" ht="19" customHeight="1">
      <c r="A71" s="15" t="inlineStr">
        <is>
          <t>CAST-070</t>
        </is>
      </c>
      <c r="B71" s="18" t="inlineStr">
        <is>
          <t>FILM-028</t>
        </is>
      </c>
      <c r="C71" s="5" t="inlineStr">
        <is>
          <t>Ghulam</t>
        </is>
      </c>
      <c r="D71" s="17" t="n">
        <v>1998</v>
      </c>
      <c r="E71" s="5" t="inlineStr">
        <is>
          <t>Deepak Tijori</t>
        </is>
      </c>
      <c r="F71" s="5" t="inlineStr">
        <is>
          <t>Charlie</t>
        </is>
      </c>
      <c r="G71" s="5" t="inlineStr">
        <is>
          <t>Supporting</t>
        </is>
      </c>
      <c r="H71" s="5" t="inlineStr">
        <is>
          <t>Medium</t>
        </is>
      </c>
      <c r="I71" s="5" t="inlineStr">
        <is>
          <t>Motorcycle-gang leader and rival</t>
        </is>
      </c>
      <c r="J71" s="5" t="inlineStr">
        <is>
          <t>Not documented</t>
        </is>
      </c>
      <c r="K71" s="19" t="inlineStr">
        <is>
          <t>The biker Siddhu beats and then saves in the train dare.</t>
        </is>
      </c>
      <c r="L71" s="5" t="n"/>
      <c r="M71" s="5" t="inlineStr">
        <is>
          <t>SOURCE-034; SOURCE-065</t>
        </is>
      </c>
    </row>
    <row r="72" ht="49" customHeight="1">
      <c r="A72" s="15" t="inlineStr">
        <is>
          <t>CAST-071</t>
        </is>
      </c>
      <c r="B72" s="18" t="inlineStr">
        <is>
          <t>FILM-029</t>
        </is>
      </c>
      <c r="C72" s="5" t="inlineStr">
        <is>
          <t>Sarfarosh</t>
        </is>
      </c>
      <c r="D72" s="17" t="n">
        <v>1999</v>
      </c>
      <c r="E72" s="5" t="inlineStr">
        <is>
          <t>Naseeruddin Shah</t>
        </is>
      </c>
      <c r="F72" s="5" t="inlineStr">
        <is>
          <t>Gulfam Hassan</t>
        </is>
      </c>
      <c r="G72" s="5" t="inlineStr">
        <is>
          <t>Antagonist</t>
        </is>
      </c>
      <c r="H72" s="5" t="inlineStr">
        <is>
          <t>Major</t>
        </is>
      </c>
      <c r="I72" s="5" t="inlineStr">
        <is>
          <t>Admired friend revealed as an intelligence agent</t>
        </is>
      </c>
      <c r="J72" s="5" t="inlineStr">
        <is>
          <t>Not applicable</t>
        </is>
      </c>
      <c r="K72" s="19" t="inlineStr">
        <is>
          <t>An admired friend secretly working for Pakistani intelligence behind the arms network.</t>
        </is>
      </c>
      <c r="L72" s="5" t="inlineStr">
        <is>
          <t>IIFA Award for Best Performance in a Negative Role; Filmfare nomination; singled out by critics</t>
        </is>
      </c>
      <c r="M72" s="5" t="inlineStr">
        <is>
          <t>SOURCE-036</t>
        </is>
      </c>
    </row>
    <row r="73" ht="34" customHeight="1">
      <c r="A73" s="15" t="inlineStr">
        <is>
          <t>CAST-072</t>
        </is>
      </c>
      <c r="B73" s="18" t="inlineStr">
        <is>
          <t>FILM-029</t>
        </is>
      </c>
      <c r="C73" s="5" t="inlineStr">
        <is>
          <t>Sarfarosh</t>
        </is>
      </c>
      <c r="D73" s="17" t="n">
        <v>1999</v>
      </c>
      <c r="E73" s="5" t="inlineStr">
        <is>
          <t>Mukesh Rishi</t>
        </is>
      </c>
      <c r="F73" s="5" t="inlineStr">
        <is>
          <t>Inspector Saleem Ahmed</t>
        </is>
      </c>
      <c r="G73" s="5" t="inlineStr">
        <is>
          <t>Supporting</t>
        </is>
      </c>
      <c r="H73" s="5" t="inlineStr">
        <is>
          <t>Major</t>
        </is>
      </c>
      <c r="I73" s="5" t="inlineStr">
        <is>
          <t>Resentful senior colleague who becomes an ally</t>
        </is>
      </c>
      <c r="J73" s="5" t="inlineStr">
        <is>
          <t>Not applicable</t>
        </is>
      </c>
      <c r="K73" s="19" t="inlineStr">
        <is>
          <t>A senior inspector who resents Ajay's appointment before becoming a key team member.</t>
        </is>
      </c>
      <c r="L73" s="5" t="inlineStr">
        <is>
          <t>Filmfare, IIFA and Screen Best Supporting Actor nominations</t>
        </is>
      </c>
      <c r="M73" s="5" t="inlineStr">
        <is>
          <t>SOURCE-036</t>
        </is>
      </c>
    </row>
    <row r="74" ht="19" customHeight="1">
      <c r="A74" s="15" t="inlineStr">
        <is>
          <t>CAST-073</t>
        </is>
      </c>
      <c r="B74" s="18" t="inlineStr">
        <is>
          <t>FILM-029</t>
        </is>
      </c>
      <c r="C74" s="5" t="inlineStr">
        <is>
          <t>Sarfarosh</t>
        </is>
      </c>
      <c r="D74" s="17" t="n">
        <v>1999</v>
      </c>
      <c r="E74" s="5" t="inlineStr">
        <is>
          <t>Pradeep Rawat</t>
        </is>
      </c>
      <c r="F74" s="5" t="inlineStr">
        <is>
          <t>Sultan Deep</t>
        </is>
      </c>
      <c r="G74" s="5" t="inlineStr">
        <is>
          <t>Antagonist</t>
        </is>
      </c>
      <c r="H74" s="5" t="inlineStr">
        <is>
          <t>Medium</t>
        </is>
      </c>
      <c r="I74" s="5" t="inlineStr">
        <is>
          <t>Criminal target</t>
        </is>
      </c>
      <c r="J74" s="5" t="inlineStr">
        <is>
          <t>Not applicable</t>
        </is>
      </c>
      <c r="K74" s="19" t="inlineStr">
        <is>
          <t>A criminal in the arms-smuggling network.</t>
        </is>
      </c>
      <c r="L74" s="5" t="n"/>
      <c r="M74" s="5" t="inlineStr">
        <is>
          <t>SOURCE-036</t>
        </is>
      </c>
    </row>
    <row r="75" ht="34" customHeight="1">
      <c r="A75" s="15" t="inlineStr">
        <is>
          <t>CAST-074</t>
        </is>
      </c>
      <c r="B75" s="18" t="inlineStr">
        <is>
          <t>FILM-030</t>
        </is>
      </c>
      <c r="C75" s="5" t="inlineStr">
        <is>
          <t>Mann</t>
        </is>
      </c>
      <c r="D75" s="17" t="n">
        <v>1999</v>
      </c>
      <c r="E75" s="5" t="inlineStr">
        <is>
          <t>Anil Kapoor</t>
        </is>
      </c>
      <c r="F75" s="5" t="inlineStr">
        <is>
          <t>Raj</t>
        </is>
      </c>
      <c r="G75" s="5" t="inlineStr">
        <is>
          <t>Romantic rival</t>
        </is>
      </c>
      <c r="H75" s="5" t="inlineStr">
        <is>
          <t>Medium</t>
        </is>
      </c>
      <c r="I75" s="5" t="inlineStr">
        <is>
          <t>Rival who becomes a benefactor</t>
        </is>
      </c>
      <c r="J75" s="5" t="inlineStr">
        <is>
          <t>Priya's fiancé, who steps aside and later helps them marry</t>
        </is>
      </c>
      <c r="K75" s="19" t="inlineStr">
        <is>
          <t>The man Priya agreed to marry out of gratitude.</t>
        </is>
      </c>
      <c r="L75" s="5" t="n"/>
      <c r="M75" s="5" t="inlineStr">
        <is>
          <t>SOURCE-037</t>
        </is>
      </c>
    </row>
    <row r="76" ht="19" customHeight="1">
      <c r="A76" s="15" t="inlineStr">
        <is>
          <t>CAST-075</t>
        </is>
      </c>
      <c r="B76" s="18" t="inlineStr">
        <is>
          <t>FILM-030</t>
        </is>
      </c>
      <c r="C76" s="5" t="inlineStr">
        <is>
          <t>Mann</t>
        </is>
      </c>
      <c r="D76" s="17" t="n">
        <v>1999</v>
      </c>
      <c r="E76" s="5" t="inlineStr">
        <is>
          <t>Sharmila Tagore</t>
        </is>
      </c>
      <c r="F76" s="5" t="inlineStr">
        <is>
          <t>Suhana Devi Singh</t>
        </is>
      </c>
      <c r="G76" s="5" t="inlineStr">
        <is>
          <t>Family</t>
        </is>
      </c>
      <c r="H76" s="5" t="inlineStr">
        <is>
          <t>Medium</t>
        </is>
      </c>
      <c r="I76" s="5" t="inlineStr">
        <is>
          <t>Grandmother</t>
        </is>
      </c>
      <c r="J76" s="5" t="inlineStr">
        <is>
          <t>Not documented</t>
        </is>
      </c>
      <c r="K76" s="19" t="inlineStr">
        <is>
          <t>Dev's grandmother.</t>
        </is>
      </c>
      <c r="L76" s="5" t="n"/>
      <c r="M76" s="5" t="inlineStr">
        <is>
          <t>SOURCE-037</t>
        </is>
      </c>
    </row>
    <row r="77" ht="34" customHeight="1">
      <c r="A77" s="15" t="inlineStr">
        <is>
          <t>CAST-076</t>
        </is>
      </c>
      <c r="B77" s="18" t="inlineStr">
        <is>
          <t>FILM-030</t>
        </is>
      </c>
      <c r="C77" s="5" t="inlineStr">
        <is>
          <t>Mann</t>
        </is>
      </c>
      <c r="D77" s="17" t="n">
        <v>1999</v>
      </c>
      <c r="E77" s="5" t="inlineStr">
        <is>
          <t>Deepti Bhatnagar</t>
        </is>
      </c>
      <c r="F77" s="5" t="inlineStr">
        <is>
          <t>Anita Singhania</t>
        </is>
      </c>
      <c r="G77" s="5" t="inlineStr">
        <is>
          <t>Supporting</t>
        </is>
      </c>
      <c r="H77" s="5" t="inlineStr">
        <is>
          <t>Minor</t>
        </is>
      </c>
      <c r="I77" s="5" t="inlineStr">
        <is>
          <t>Initial fiancée</t>
        </is>
      </c>
      <c r="J77" s="5" t="inlineStr">
        <is>
          <t>Dev breaks their mercenary engagement for Priya</t>
        </is>
      </c>
      <c r="K77" s="19" t="inlineStr">
        <is>
          <t>The tycoon's daughter Dev agreed to marry to clear his debts.</t>
        </is>
      </c>
      <c r="L77" s="5" t="n"/>
      <c r="M77" s="5" t="inlineStr">
        <is>
          <t>SOURCE-037</t>
        </is>
      </c>
    </row>
    <row r="78" ht="34" customHeight="1">
      <c r="A78" s="15" t="inlineStr">
        <is>
          <t>CAST-077</t>
        </is>
      </c>
      <c r="B78" s="18" t="inlineStr">
        <is>
          <t>FILM-031</t>
        </is>
      </c>
      <c r="C78" s="5" t="inlineStr">
        <is>
          <t>Earth</t>
        </is>
      </c>
      <c r="D78" s="17" t="n">
        <v>1999</v>
      </c>
      <c r="E78" s="5" t="inlineStr">
        <is>
          <t>Rahul Khanna</t>
        </is>
      </c>
      <c r="F78" s="5" t="inlineStr">
        <is>
          <t>Hassan, the Masseur</t>
        </is>
      </c>
      <c r="G78" s="5" t="inlineStr">
        <is>
          <t>Romantic rival</t>
        </is>
      </c>
      <c r="H78" s="5" t="inlineStr">
        <is>
          <t>Major</t>
        </is>
      </c>
      <c r="I78" s="5" t="inlineStr">
        <is>
          <t>Friend and rival</t>
        </is>
      </c>
      <c r="J78" s="5" t="inlineStr">
        <is>
          <t>Shanta's chosen partner</t>
        </is>
      </c>
      <c r="K78" s="19" t="inlineStr">
        <is>
          <t>The masseur Shanta plans to marry, whose success feeds Dil Navaz's jealousy.</t>
        </is>
      </c>
      <c r="L78" s="5" t="inlineStr">
        <is>
          <t>Filmfare Award for Best Male Debut</t>
        </is>
      </c>
      <c r="M78" s="5" t="inlineStr">
        <is>
          <t>SOURCE-035; SOURCE-069</t>
        </is>
      </c>
    </row>
    <row r="79" ht="34" customHeight="1">
      <c r="A79" s="15" t="inlineStr">
        <is>
          <t>CAST-078</t>
        </is>
      </c>
      <c r="B79" s="18" t="inlineStr">
        <is>
          <t>FILM-031</t>
        </is>
      </c>
      <c r="C79" s="5" t="inlineStr">
        <is>
          <t>Earth</t>
        </is>
      </c>
      <c r="D79" s="17" t="n">
        <v>1999</v>
      </c>
      <c r="E79" s="5" t="inlineStr">
        <is>
          <t>Maia Sethna</t>
        </is>
      </c>
      <c r="F79" s="5" t="inlineStr">
        <is>
          <t>Lenny Sethna (young)</t>
        </is>
      </c>
      <c r="G79" s="5" t="inlineStr">
        <is>
          <t>Co-lead</t>
        </is>
      </c>
      <c r="H79" s="5" t="inlineStr">
        <is>
          <t>Major</t>
        </is>
      </c>
      <c r="I79" s="5" t="inlineStr">
        <is>
          <t>Child he manipulates</t>
        </is>
      </c>
      <c r="J79" s="5" t="inlineStr">
        <is>
          <t>Tricked into revealing Shanta's hiding place</t>
        </is>
      </c>
      <c r="K79" s="19" t="inlineStr">
        <is>
          <t>The young girl through whose eyes Partition is seen.</t>
        </is>
      </c>
      <c r="L79" s="5" t="n"/>
      <c r="M79" s="5" t="inlineStr">
        <is>
          <t>SOURCE-035</t>
        </is>
      </c>
    </row>
    <row r="80" ht="19" customHeight="1">
      <c r="A80" s="15" t="inlineStr">
        <is>
          <t>CAST-079</t>
        </is>
      </c>
      <c r="B80" s="18" t="inlineStr">
        <is>
          <t>FILM-031</t>
        </is>
      </c>
      <c r="C80" s="5" t="inlineStr">
        <is>
          <t>Earth</t>
        </is>
      </c>
      <c r="D80" s="17" t="n">
        <v>1999</v>
      </c>
      <c r="E80" s="5" t="inlineStr">
        <is>
          <t>Shabana Azmi</t>
        </is>
      </c>
      <c r="F80" s="5" t="inlineStr">
        <is>
          <t>Older Lenny (narrator)</t>
        </is>
      </c>
      <c r="G80" s="5" t="inlineStr">
        <is>
          <t>Supporting</t>
        </is>
      </c>
      <c r="H80" s="5" t="inlineStr">
        <is>
          <t>Minor</t>
        </is>
      </c>
      <c r="I80" s="5" t="inlineStr">
        <is>
          <t>Narrating adult</t>
        </is>
      </c>
      <c r="J80" s="5" t="inlineStr">
        <is>
          <t>Not applicable</t>
        </is>
      </c>
      <c r="K80" s="19" t="inlineStr">
        <is>
          <t>The adult Lenny's reflective narration.</t>
        </is>
      </c>
      <c r="L80" s="5" t="n"/>
      <c r="M80" s="5" t="inlineStr">
        <is>
          <t>SOURCE-035</t>
        </is>
      </c>
    </row>
    <row r="81" ht="34" customHeight="1">
      <c r="A81" s="15" t="inlineStr">
        <is>
          <t>CAST-080</t>
        </is>
      </c>
      <c r="B81" s="18" t="inlineStr">
        <is>
          <t>FILM-032</t>
        </is>
      </c>
      <c r="C81" s="5" t="inlineStr">
        <is>
          <t>Mela</t>
        </is>
      </c>
      <c r="D81" s="17" t="n">
        <v>2000</v>
      </c>
      <c r="E81" s="5" t="inlineStr">
        <is>
          <t>Faisal Khan</t>
        </is>
      </c>
      <c r="F81" s="5" t="inlineStr">
        <is>
          <t>Shankar Shankar</t>
        </is>
      </c>
      <c r="G81" s="5" t="inlineStr">
        <is>
          <t>Friend</t>
        </is>
      </c>
      <c r="H81" s="5" t="inlineStr">
        <is>
          <t>Major</t>
        </is>
      </c>
      <c r="I81" s="5" t="inlineStr">
        <is>
          <t>Best friend and stage partner</t>
        </is>
      </c>
      <c r="J81" s="5" t="inlineStr">
        <is>
          <t>Initially distrusts Roopa; later meets Champakali</t>
        </is>
      </c>
      <c r="K81" s="19" t="inlineStr">
        <is>
          <t>Kishan's performing partner, initially distrustful of Roopa.</t>
        </is>
      </c>
      <c r="L81" s="5" t="n"/>
      <c r="M81" s="5" t="inlineStr">
        <is>
          <t>SOURCE-038</t>
        </is>
      </c>
    </row>
    <row r="82" ht="34" customHeight="1">
      <c r="A82" s="15" t="inlineStr">
        <is>
          <t>CAST-081</t>
        </is>
      </c>
      <c r="B82" s="18" t="inlineStr">
        <is>
          <t>FILM-032</t>
        </is>
      </c>
      <c r="C82" s="5" t="inlineStr">
        <is>
          <t>Mela</t>
        </is>
      </c>
      <c r="D82" s="17" t="n">
        <v>2000</v>
      </c>
      <c r="E82" s="5" t="inlineStr">
        <is>
          <t>Tinu Verma</t>
        </is>
      </c>
      <c r="F82" s="5" t="inlineStr">
        <is>
          <t>Gujjar Singh</t>
        </is>
      </c>
      <c r="G82" s="5" t="inlineStr">
        <is>
          <t>Antagonist</t>
        </is>
      </c>
      <c r="H82" s="5" t="inlineStr">
        <is>
          <t>Major</t>
        </is>
      </c>
      <c r="I82" s="5" t="inlineStr">
        <is>
          <t>Bandit he defeats</t>
        </is>
      </c>
      <c r="J82" s="5" t="inlineStr">
        <is>
          <t>Killed Roopa's brother and wants her as his mistress</t>
        </is>
      </c>
      <c r="K82" s="19" t="inlineStr">
        <is>
          <t>The terrorising bandit at the centre of Roopa's revenge.</t>
        </is>
      </c>
      <c r="L82" s="5" t="inlineStr">
        <is>
          <t>Praised as convincingly menacing</t>
        </is>
      </c>
      <c r="M82" s="5" t="inlineStr">
        <is>
          <t>SOURCE-038</t>
        </is>
      </c>
    </row>
    <row r="83" ht="19" customHeight="1">
      <c r="A83" s="15" t="inlineStr">
        <is>
          <t>CAST-082</t>
        </is>
      </c>
      <c r="B83" s="18" t="inlineStr">
        <is>
          <t>FILM-032</t>
        </is>
      </c>
      <c r="C83" s="5" t="inlineStr">
        <is>
          <t>Mela</t>
        </is>
      </c>
      <c r="D83" s="17" t="n">
        <v>2000</v>
      </c>
      <c r="E83" s="5" t="inlineStr">
        <is>
          <t>Johnny Lever</t>
        </is>
      </c>
      <c r="F83" s="5" t="inlineStr">
        <is>
          <t>Inspector Pakkad Singh</t>
        </is>
      </c>
      <c r="G83" s="5" t="inlineStr">
        <is>
          <t>Comic support</t>
        </is>
      </c>
      <c r="H83" s="5" t="inlineStr">
        <is>
          <t>Medium</t>
        </is>
      </c>
      <c r="I83" s="5" t="inlineStr">
        <is>
          <t>Police ally</t>
        </is>
      </c>
      <c r="J83" s="5" t="inlineStr">
        <is>
          <t>Helps set the trap for Gujjar</t>
        </is>
      </c>
      <c r="K83" s="19" t="inlineStr">
        <is>
          <t>A comic policeman who joins the plan against the bandit.</t>
        </is>
      </c>
      <c r="L83" s="5" t="n"/>
      <c r="M83" s="5" t="inlineStr">
        <is>
          <t>SOURCE-038</t>
        </is>
      </c>
    </row>
    <row r="84" ht="34" customHeight="1">
      <c r="A84" s="15" t="inlineStr">
        <is>
          <t>CAST-083</t>
        </is>
      </c>
      <c r="B84" s="18" t="inlineStr">
        <is>
          <t>FILM-032</t>
        </is>
      </c>
      <c r="C84" s="5" t="inlineStr">
        <is>
          <t>Mela</t>
        </is>
      </c>
      <c r="D84" s="17" t="n">
        <v>2000</v>
      </c>
      <c r="E84" s="5" t="inlineStr">
        <is>
          <t>Aishwarya Rai</t>
        </is>
      </c>
      <c r="F84" s="5" t="inlineStr">
        <is>
          <t>Champakali</t>
        </is>
      </c>
      <c r="G84" s="5" t="inlineStr">
        <is>
          <t>Cameo</t>
        </is>
      </c>
      <c r="H84" s="5" t="inlineStr">
        <is>
          <t>Minor</t>
        </is>
      </c>
      <c r="I84" s="5" t="inlineStr">
        <is>
          <t>Friend's new love interest</t>
        </is>
      </c>
      <c r="J84" s="5" t="inlineStr">
        <is>
          <t>Paired with Shankar in the final scene</t>
        </is>
      </c>
      <c r="K84" s="19" t="inlineStr">
        <is>
          <t>A special appearance in the closing moments.</t>
        </is>
      </c>
      <c r="L84" s="5" t="n"/>
      <c r="M84" s="5" t="inlineStr">
        <is>
          <t>SOURCE-038</t>
        </is>
      </c>
    </row>
    <row r="85" ht="34" customHeight="1">
      <c r="A85" s="15" t="inlineStr">
        <is>
          <t>CAST-084</t>
        </is>
      </c>
      <c r="B85" s="18" t="inlineStr">
        <is>
          <t>FILM-033</t>
        </is>
      </c>
      <c r="C85" s="5" t="inlineStr">
        <is>
          <t>Lagaan</t>
        </is>
      </c>
      <c r="D85" s="17" t="n">
        <v>2001</v>
      </c>
      <c r="E85" s="5" t="inlineStr">
        <is>
          <t>Paul Blackthorne</t>
        </is>
      </c>
      <c r="F85" s="5" t="inlineStr">
        <is>
          <t>Captain Andrew Russell</t>
        </is>
      </c>
      <c r="G85" s="5" t="inlineStr">
        <is>
          <t>Antagonist</t>
        </is>
      </c>
      <c r="H85" s="5" t="inlineStr">
        <is>
          <t>Major</t>
        </is>
      </c>
      <c r="I85" s="5" t="inlineStr">
        <is>
          <t>British officer who sets the wager</t>
        </is>
      </c>
      <c r="J85" s="5" t="inlineStr">
        <is>
          <t>Brother of Elizabeth, who secretly helps the villagers</t>
        </is>
      </c>
      <c r="K85" s="19" t="inlineStr">
        <is>
          <t>The arrogant officer who stakes the village's taxes on a cricket match.</t>
        </is>
      </c>
      <c r="L85" s="5" t="n"/>
      <c r="M85" s="5" t="inlineStr">
        <is>
          <t>SOURCE-039</t>
        </is>
      </c>
    </row>
    <row r="86" ht="34" customHeight="1">
      <c r="A86" s="15" t="inlineStr">
        <is>
          <t>CAST-085</t>
        </is>
      </c>
      <c r="B86" s="18" t="inlineStr">
        <is>
          <t>FILM-033</t>
        </is>
      </c>
      <c r="C86" s="5" t="inlineStr">
        <is>
          <t>Lagaan</t>
        </is>
      </c>
      <c r="D86" s="17" t="n">
        <v>2001</v>
      </c>
      <c r="E86" s="5" t="inlineStr">
        <is>
          <t>Yashpal Sharma</t>
        </is>
      </c>
      <c r="F86" s="5" t="inlineStr">
        <is>
          <t>Lakha</t>
        </is>
      </c>
      <c r="G86" s="5" t="inlineStr">
        <is>
          <t>Romantic rival</t>
        </is>
      </c>
      <c r="H86" s="5" t="inlineStr">
        <is>
          <t>Major</t>
        </is>
      </c>
      <c r="I86" s="5" t="inlineStr">
        <is>
          <t>Teammate who betrays him</t>
        </is>
      </c>
      <c r="J86" s="5" t="inlineStr">
        <is>
          <t>Covets Gauri; his jealousy drives his betrayal</t>
        </is>
      </c>
      <c r="K86" s="19" t="inlineStr">
        <is>
          <t>A woodcutter whose jealousy leads him to betray the team before Bhuvan offers him redemption.</t>
        </is>
      </c>
      <c r="L86" s="5" t="n"/>
      <c r="M86" s="5" t="inlineStr">
        <is>
          <t>SOURCE-039</t>
        </is>
      </c>
    </row>
    <row r="87" ht="34" customHeight="1">
      <c r="A87" s="15" t="inlineStr">
        <is>
          <t>CAST-086</t>
        </is>
      </c>
      <c r="B87" s="18" t="inlineStr">
        <is>
          <t>FILM-033</t>
        </is>
      </c>
      <c r="C87" s="5" t="inlineStr">
        <is>
          <t>Lagaan</t>
        </is>
      </c>
      <c r="D87" s="17" t="n">
        <v>2001</v>
      </c>
      <c r="E87" s="5" t="inlineStr">
        <is>
          <t>Aditya Lakhia</t>
        </is>
      </c>
      <c r="F87" s="5" t="inlineStr">
        <is>
          <t>Kachra</t>
        </is>
      </c>
      <c r="G87" s="5" t="inlineStr">
        <is>
          <t>Supporting</t>
        </is>
      </c>
      <c r="H87" s="5" t="inlineStr">
        <is>
          <t>Medium</t>
        </is>
      </c>
      <c r="I87" s="5" t="inlineStr">
        <is>
          <t>Teammate</t>
        </is>
      </c>
      <c r="J87" s="5" t="inlineStr">
        <is>
          <t>Not applicable</t>
        </is>
      </c>
      <c r="K87" s="19" t="inlineStr">
        <is>
          <t>An untouchable villager whose spin bowling Bhuvan champions against caste prejudice.</t>
        </is>
      </c>
      <c r="L87" s="5" t="n"/>
      <c r="M87" s="5" t="inlineStr">
        <is>
          <t>SOURCE-039</t>
        </is>
      </c>
    </row>
    <row r="88" ht="19" customHeight="1">
      <c r="A88" s="15" t="inlineStr">
        <is>
          <t>CAST-087</t>
        </is>
      </c>
      <c r="B88" s="18" t="inlineStr">
        <is>
          <t>FILM-033</t>
        </is>
      </c>
      <c r="C88" s="5" t="inlineStr">
        <is>
          <t>Lagaan</t>
        </is>
      </c>
      <c r="D88" s="17" t="n">
        <v>2001</v>
      </c>
      <c r="E88" s="5" t="inlineStr">
        <is>
          <t>Kulbhushan Kharbanda</t>
        </is>
      </c>
      <c r="F88" s="5" t="inlineStr">
        <is>
          <t>Raja Puran Singh</t>
        </is>
      </c>
      <c r="G88" s="5" t="inlineStr">
        <is>
          <t>Authority figure</t>
        </is>
      </c>
      <c r="H88" s="5" t="inlineStr">
        <is>
          <t>Medium</t>
        </is>
      </c>
      <c r="I88" s="5" t="inlineStr">
        <is>
          <t>Local ruler</t>
        </is>
      </c>
      <c r="J88" s="5" t="inlineStr">
        <is>
          <t>Blesses Bhuvan and Gauri's wedding</t>
        </is>
      </c>
      <c r="K88" s="19" t="inlineStr">
        <is>
          <t>The local raja caught between the British and his subjects.</t>
        </is>
      </c>
      <c r="L88" s="5" t="n"/>
      <c r="M88" s="5" t="inlineStr">
        <is>
          <t>SOURCE-039</t>
        </is>
      </c>
    </row>
    <row r="89" ht="19" customHeight="1">
      <c r="A89" s="15" t="inlineStr">
        <is>
          <t>CAST-088</t>
        </is>
      </c>
      <c r="B89" s="18" t="inlineStr">
        <is>
          <t>FILM-033</t>
        </is>
      </c>
      <c r="C89" s="5" t="inlineStr">
        <is>
          <t>Lagaan</t>
        </is>
      </c>
      <c r="D89" s="17" t="n">
        <v>2001</v>
      </c>
      <c r="E89" s="5" t="inlineStr">
        <is>
          <t>Suhasini Mulay</t>
        </is>
      </c>
      <c r="F89" s="5" t="inlineStr">
        <is>
          <t>Yashoda Mai</t>
        </is>
      </c>
      <c r="G89" s="5" t="inlineStr">
        <is>
          <t>Family</t>
        </is>
      </c>
      <c r="H89" s="5" t="inlineStr">
        <is>
          <t>Minor</t>
        </is>
      </c>
      <c r="I89" s="5" t="inlineStr">
        <is>
          <t>Mother</t>
        </is>
      </c>
      <c r="J89" s="5" t="inlineStr">
        <is>
          <t>Not documented</t>
        </is>
      </c>
      <c r="K89" s="19" t="inlineStr">
        <is>
          <t>Bhuvan's mother.</t>
        </is>
      </c>
      <c r="L89" s="5" t="n"/>
      <c r="M89" s="5" t="inlineStr">
        <is>
          <t>SOURCE-039</t>
        </is>
      </c>
    </row>
    <row r="90" ht="49" customHeight="1">
      <c r="A90" s="15" t="inlineStr">
        <is>
          <t>CAST-089</t>
        </is>
      </c>
      <c r="B90" s="18" t="inlineStr">
        <is>
          <t>FILM-034</t>
        </is>
      </c>
      <c r="C90" s="5" t="inlineStr">
        <is>
          <t>Dil Chahta Hai</t>
        </is>
      </c>
      <c r="D90" s="17" t="n">
        <v>2001</v>
      </c>
      <c r="E90" s="5" t="inlineStr">
        <is>
          <t>Saif Ali Khan</t>
        </is>
      </c>
      <c r="F90" s="5" t="inlineStr">
        <is>
          <t>Sameer Mulchandani</t>
        </is>
      </c>
      <c r="G90" s="5" t="inlineStr">
        <is>
          <t>Friend</t>
        </is>
      </c>
      <c r="H90" s="5" t="inlineStr">
        <is>
          <t>Major</t>
        </is>
      </c>
      <c r="I90" s="5" t="inlineStr">
        <is>
          <t>Best friend</t>
        </is>
      </c>
      <c r="J90" s="5" t="inlineStr">
        <is>
          <t>Mocks Akash's feelings for Shalini</t>
        </is>
      </c>
      <c r="K90" s="19" t="inlineStr">
        <is>
          <t>One of Akash's two closest friends; he eventually settles down with Pooja.</t>
        </is>
      </c>
      <c r="L90" s="5" t="inlineStr">
        <is>
          <t>Praised by critics; Filmfare comic-role award per the film's article (Low confidence)</t>
        </is>
      </c>
      <c r="M90" s="5" t="inlineStr">
        <is>
          <t>SOURCE-040</t>
        </is>
      </c>
    </row>
    <row r="91" ht="49" customHeight="1">
      <c r="A91" s="15" t="inlineStr">
        <is>
          <t>CAST-090</t>
        </is>
      </c>
      <c r="B91" s="18" t="inlineStr">
        <is>
          <t>FILM-034</t>
        </is>
      </c>
      <c r="C91" s="5" t="inlineStr">
        <is>
          <t>Dil Chahta Hai</t>
        </is>
      </c>
      <c r="D91" s="17" t="n">
        <v>2001</v>
      </c>
      <c r="E91" s="5" t="inlineStr">
        <is>
          <t>Akshaye Khanna</t>
        </is>
      </c>
      <c r="F91" s="5" t="inlineStr">
        <is>
          <t>Siddharth "Sid" Sinha</t>
        </is>
      </c>
      <c r="G91" s="5" t="inlineStr">
        <is>
          <t>Friend</t>
        </is>
      </c>
      <c r="H91" s="5" t="inlineStr">
        <is>
          <t>Major</t>
        </is>
      </c>
      <c r="I91" s="5" t="inlineStr">
        <is>
          <t>Best friend who falls out with him</t>
        </is>
      </c>
      <c r="J91" s="5" t="inlineStr">
        <is>
          <t>Encourages Akash emotionally; his own love for Tara strains the friendship</t>
        </is>
      </c>
      <c r="K91" s="19" t="inlineStr">
        <is>
          <t>The sensitive artist of the trio, in love with the older divorcée Tara; the friends drift apart and reunite at the hospital.</t>
        </is>
      </c>
      <c r="L91" s="5" t="inlineStr">
        <is>
          <t>Filmfare Award for Best Supporting Actor</t>
        </is>
      </c>
      <c r="M91" s="5" t="inlineStr">
        <is>
          <t>SOURCE-040; SOURCE-070</t>
        </is>
      </c>
    </row>
    <row r="92" ht="49" customHeight="1">
      <c r="A92" s="15" t="inlineStr">
        <is>
          <t>CAST-091</t>
        </is>
      </c>
      <c r="B92" s="18" t="inlineStr">
        <is>
          <t>FILM-034</t>
        </is>
      </c>
      <c r="C92" s="5" t="inlineStr">
        <is>
          <t>Dil Chahta Hai</t>
        </is>
      </c>
      <c r="D92" s="17" t="n">
        <v>2001</v>
      </c>
      <c r="E92" s="5" t="inlineStr">
        <is>
          <t>Dimple Kapadia</t>
        </is>
      </c>
      <c r="F92" s="5" t="inlineStr">
        <is>
          <t>Tara Jaiswal</t>
        </is>
      </c>
      <c r="G92" s="5" t="inlineStr">
        <is>
          <t>Supporting</t>
        </is>
      </c>
      <c r="H92" s="5" t="inlineStr">
        <is>
          <t>Medium</t>
        </is>
      </c>
      <c r="I92" s="5" t="inlineStr">
        <is>
          <t>Friend's love interest</t>
        </is>
      </c>
      <c r="J92" s="5" t="inlineStr">
        <is>
          <t>Sid's romantic interest; the friends reunite at the hospital as her condition deteriorates</t>
        </is>
      </c>
      <c r="K92" s="19" t="inlineStr">
        <is>
          <t>An older, alcoholic divorcée whom Sid loves.</t>
        </is>
      </c>
      <c r="L92" s="5" t="n"/>
      <c r="M92" s="5" t="inlineStr">
        <is>
          <t>SOURCE-040</t>
        </is>
      </c>
    </row>
    <row r="93" ht="34" customHeight="1">
      <c r="A93" s="15" t="inlineStr">
        <is>
          <t>CAST-092</t>
        </is>
      </c>
      <c r="B93" s="18" t="inlineStr">
        <is>
          <t>FILM-034</t>
        </is>
      </c>
      <c r="C93" s="5" t="inlineStr">
        <is>
          <t>Dil Chahta Hai</t>
        </is>
      </c>
      <c r="D93" s="17" t="n">
        <v>2001</v>
      </c>
      <c r="E93" s="5" t="inlineStr">
        <is>
          <t>Ayub Khan</t>
        </is>
      </c>
      <c r="F93" s="5" t="inlineStr">
        <is>
          <t>Rohit</t>
        </is>
      </c>
      <c r="G93" s="5" t="inlineStr">
        <is>
          <t>Romantic rival</t>
        </is>
      </c>
      <c r="H93" s="5" t="inlineStr">
        <is>
          <t>Medium</t>
        </is>
      </c>
      <c r="I93" s="5" t="inlineStr">
        <is>
          <t>College batchmate</t>
        </is>
      </c>
      <c r="J93" s="5" t="inlineStr">
        <is>
          <t>Shalini's fiancé, abandoned at the wedding</t>
        </is>
      </c>
      <c r="K93" s="19" t="inlineStr">
        <is>
          <t>The man Shalini is engaged to marry.</t>
        </is>
      </c>
      <c r="L93" s="5" t="n"/>
      <c r="M93" s="5" t="inlineStr">
        <is>
          <t>SOURCE-040</t>
        </is>
      </c>
    </row>
    <row r="94" ht="19" customHeight="1">
      <c r="A94" s="15" t="inlineStr">
        <is>
          <t>CAST-093</t>
        </is>
      </c>
      <c r="B94" s="18" t="inlineStr">
        <is>
          <t>FILM-034</t>
        </is>
      </c>
      <c r="C94" s="5" t="inlineStr">
        <is>
          <t>Dil Chahta Hai</t>
        </is>
      </c>
      <c r="D94" s="17" t="n">
        <v>2001</v>
      </c>
      <c r="E94" s="5" t="inlineStr">
        <is>
          <t>Sonali Kulkarni</t>
        </is>
      </c>
      <c r="F94" s="5" t="inlineStr">
        <is>
          <t>Pooja</t>
        </is>
      </c>
      <c r="G94" s="5" t="inlineStr">
        <is>
          <t>Supporting</t>
        </is>
      </c>
      <c r="H94" s="5" t="inlineStr">
        <is>
          <t>Minor</t>
        </is>
      </c>
      <c r="I94" s="5" t="inlineStr">
        <is>
          <t>Friend's partner</t>
        </is>
      </c>
      <c r="J94" s="5" t="inlineStr">
        <is>
          <t>Sameer's eventual fiancée</t>
        </is>
      </c>
      <c r="K94" s="19" t="inlineStr">
        <is>
          <t>The woman Sameer finally settles down with.</t>
        </is>
      </c>
      <c r="L94" s="5" t="n"/>
      <c r="M94" s="5" t="inlineStr">
        <is>
          <t>SOURCE-040</t>
        </is>
      </c>
    </row>
    <row r="95" ht="34" customHeight="1">
      <c r="A95" s="15" t="inlineStr">
        <is>
          <t>CAST-094</t>
        </is>
      </c>
      <c r="B95" s="18" t="inlineStr">
        <is>
          <t>FILM-035</t>
        </is>
      </c>
      <c r="C95" s="5" t="inlineStr">
        <is>
          <t>Mangal Pandey: The Rising</t>
        </is>
      </c>
      <c r="D95" s="17" t="n">
        <v>2005</v>
      </c>
      <c r="E95" s="5" t="inlineStr">
        <is>
          <t>Toby Stephens</t>
        </is>
      </c>
      <c r="F95" s="5" t="inlineStr">
        <is>
          <t>Captain William Gordon</t>
        </is>
      </c>
      <c r="G95" s="5" t="inlineStr">
        <is>
          <t>Friend</t>
        </is>
      </c>
      <c r="H95" s="5" t="inlineStr">
        <is>
          <t>Major</t>
        </is>
      </c>
      <c r="I95" s="5" t="inlineStr">
        <is>
          <t>British officer and close friend</t>
        </is>
      </c>
      <c r="J95" s="5" t="inlineStr">
        <is>
          <t>Has his own affair with the widow Jwala</t>
        </is>
      </c>
      <c r="K95" s="19" t="inlineStr">
        <is>
          <t>The officer whose life Pandey saved and who defends him at his court-martial.</t>
        </is>
      </c>
      <c r="L95" s="5" t="n"/>
      <c r="M95" s="5" t="inlineStr">
        <is>
          <t>SOURCE-041</t>
        </is>
      </c>
    </row>
    <row r="96" ht="34" customHeight="1">
      <c r="A96" s="15" t="inlineStr">
        <is>
          <t>CAST-095</t>
        </is>
      </c>
      <c r="B96" s="18" t="inlineStr">
        <is>
          <t>FILM-035</t>
        </is>
      </c>
      <c r="C96" s="5" t="inlineStr">
        <is>
          <t>Mangal Pandey: The Rising</t>
        </is>
      </c>
      <c r="D96" s="17" t="n">
        <v>2005</v>
      </c>
      <c r="E96" s="5" t="inlineStr">
        <is>
          <t>Ben Nealon</t>
        </is>
      </c>
      <c r="F96" s="5" t="inlineStr">
        <is>
          <t>Captain Hewson</t>
        </is>
      </c>
      <c r="G96" s="5" t="inlineStr">
        <is>
          <t>Antagonist</t>
        </is>
      </c>
      <c r="H96" s="5" t="inlineStr">
        <is>
          <t>Medium</t>
        </is>
      </c>
      <c r="I96" s="5" t="inlineStr">
        <is>
          <t>Officer who has him beaten</t>
        </is>
      </c>
      <c r="J96" s="5" t="inlineStr">
        <is>
          <t>Attempts to rape Heera</t>
        </is>
      </c>
      <c r="K96" s="19" t="inlineStr">
        <is>
          <t>A brutal officer whose assault on Heera brings Pandey and her together.</t>
        </is>
      </c>
      <c r="L96" s="5" t="n"/>
      <c r="M96" s="5" t="inlineStr">
        <is>
          <t>SOURCE-041</t>
        </is>
      </c>
    </row>
    <row r="97" ht="19" customHeight="1">
      <c r="A97" s="15" t="inlineStr">
        <is>
          <t>CAST-096</t>
        </is>
      </c>
      <c r="B97" s="18" t="inlineStr">
        <is>
          <t>FILM-035</t>
        </is>
      </c>
      <c r="C97" s="5" t="inlineStr">
        <is>
          <t>Mangal Pandey: The Rising</t>
        </is>
      </c>
      <c r="D97" s="17" t="n">
        <v>2005</v>
      </c>
      <c r="E97" s="5" t="inlineStr">
        <is>
          <t>Ameesha Patel</t>
        </is>
      </c>
      <c r="F97" s="5" t="inlineStr">
        <is>
          <t>Jwala</t>
        </is>
      </c>
      <c r="G97" s="5" t="inlineStr">
        <is>
          <t>Supporting</t>
        </is>
      </c>
      <c r="H97" s="5" t="inlineStr">
        <is>
          <t>Medium</t>
        </is>
      </c>
      <c r="I97" s="5" t="inlineStr">
        <is>
          <t>Widow rescued by his friend</t>
        </is>
      </c>
      <c r="J97" s="5" t="inlineStr">
        <is>
          <t>Gordon's lover, not Pandey's</t>
        </is>
      </c>
      <c r="K97" s="19" t="inlineStr">
        <is>
          <t>A widow Gordon rescues and falls in love with.</t>
        </is>
      </c>
      <c r="L97" s="5" t="n"/>
      <c r="M97" s="5" t="inlineStr">
        <is>
          <t>SOURCE-041</t>
        </is>
      </c>
    </row>
    <row r="98" ht="19" customHeight="1">
      <c r="A98" s="15" t="inlineStr">
        <is>
          <t>CAST-097</t>
        </is>
      </c>
      <c r="B98" s="18" t="inlineStr">
        <is>
          <t>FILM-035</t>
        </is>
      </c>
      <c r="C98" s="5" t="inlineStr">
        <is>
          <t>Mangal Pandey: The Rising</t>
        </is>
      </c>
      <c r="D98" s="17" t="n">
        <v>2005</v>
      </c>
      <c r="E98" s="5" t="inlineStr">
        <is>
          <t>Kirron Kher</t>
        </is>
      </c>
      <c r="F98" s="5" t="inlineStr">
        <is>
          <t>Lal Bibi</t>
        </is>
      </c>
      <c r="G98" s="5" t="inlineStr">
        <is>
          <t>Supporting</t>
        </is>
      </c>
      <c r="H98" s="5" t="inlineStr">
        <is>
          <t>Minor</t>
        </is>
      </c>
      <c r="I98" s="5" t="inlineStr">
        <is>
          <t>Brothel keeper</t>
        </is>
      </c>
      <c r="J98" s="5" t="inlineStr">
        <is>
          <t>Holds Heera in her establishment</t>
        </is>
      </c>
      <c r="K98" s="19" t="inlineStr">
        <is>
          <t>The madam of the brothel where Heera is sold.</t>
        </is>
      </c>
      <c r="L98" s="5" t="n"/>
      <c r="M98" s="5" t="inlineStr">
        <is>
          <t>SOURCE-041</t>
        </is>
      </c>
    </row>
    <row r="99" ht="34" customHeight="1">
      <c r="A99" s="15" t="inlineStr">
        <is>
          <t>CAST-098</t>
        </is>
      </c>
      <c r="B99" s="18" t="inlineStr">
        <is>
          <t>FILM-036</t>
        </is>
      </c>
      <c r="C99" s="5" t="inlineStr">
        <is>
          <t>Rang De Basanti</t>
        </is>
      </c>
      <c r="D99" s="17" t="n">
        <v>2006</v>
      </c>
      <c r="E99" s="5" t="inlineStr">
        <is>
          <t>Siddharth</t>
        </is>
      </c>
      <c r="F99" s="5" t="inlineStr">
        <is>
          <t>Karan Singhania / Bhagat Singh</t>
        </is>
      </c>
      <c r="G99" s="5" t="inlineStr">
        <is>
          <t>Friend</t>
        </is>
      </c>
      <c r="H99" s="5" t="inlineStr">
        <is>
          <t>Major</t>
        </is>
      </c>
      <c r="I99" s="5" t="inlineStr">
        <is>
          <t>Close friend and fellow rebel</t>
        </is>
      </c>
      <c r="J99" s="5" t="inlineStr">
        <is>
          <t>Not applicable</t>
        </is>
      </c>
      <c r="K99" s="19" t="inlineStr">
        <is>
          <t>A rich young man, son of a corrupt middleman, who dies with DJ at the radio station.</t>
        </is>
      </c>
      <c r="L99" s="5" t="inlineStr">
        <is>
          <t>Screen Award for Best Male Debut; Filmfare supporting nomination</t>
        </is>
      </c>
      <c r="M99" s="5" t="inlineStr">
        <is>
          <t>SOURCE-042</t>
        </is>
      </c>
    </row>
    <row r="100" ht="34" customHeight="1">
      <c r="A100" s="15" t="inlineStr">
        <is>
          <t>CAST-099</t>
        </is>
      </c>
      <c r="B100" s="18" t="inlineStr">
        <is>
          <t>FILM-036</t>
        </is>
      </c>
      <c r="C100" s="5" t="inlineStr">
        <is>
          <t>Rang De Basanti</t>
        </is>
      </c>
      <c r="D100" s="17" t="n">
        <v>2006</v>
      </c>
      <c r="E100" s="5" t="inlineStr">
        <is>
          <t>Alice Patten</t>
        </is>
      </c>
      <c r="F100" s="5" t="inlineStr">
        <is>
          <t>Sue McKinley</t>
        </is>
      </c>
      <c r="G100" s="5" t="inlineStr">
        <is>
          <t>Co-lead</t>
        </is>
      </c>
      <c r="H100" s="5" t="inlineStr">
        <is>
          <t>Major</t>
        </is>
      </c>
      <c r="I100" s="5" t="inlineStr">
        <is>
          <t>Filmmaker who casts him as Chandrashekhar Azad</t>
        </is>
      </c>
      <c r="J100" s="5" t="inlineStr">
        <is>
          <t>Has a romantic relationship with DJ</t>
        </is>
      </c>
      <c r="K100" s="19" t="inlineStr">
        <is>
          <t>A British documentary maker whose film about India's revolutionaries awakens the group.</t>
        </is>
      </c>
      <c r="L100" s="5" t="n"/>
      <c r="M100" s="5" t="inlineStr">
        <is>
          <t>SOURCE-042</t>
        </is>
      </c>
    </row>
    <row r="101" ht="34" customHeight="1">
      <c r="A101" s="15" t="inlineStr">
        <is>
          <t>CAST-100</t>
        </is>
      </c>
      <c r="B101" s="18" t="inlineStr">
        <is>
          <t>FILM-036</t>
        </is>
      </c>
      <c r="C101" s="5" t="inlineStr">
        <is>
          <t>Rang De Basanti</t>
        </is>
      </c>
      <c r="D101" s="17" t="n">
        <v>2006</v>
      </c>
      <c r="E101" s="5" t="inlineStr">
        <is>
          <t>R. Madhavan</t>
        </is>
      </c>
      <c r="F101" s="5" t="inlineStr">
        <is>
          <t>Flight Lieutenant Ajay Singh Rathod</t>
        </is>
      </c>
      <c r="G101" s="5" t="inlineStr">
        <is>
          <t>Friend</t>
        </is>
      </c>
      <c r="H101" s="5" t="inlineStr">
        <is>
          <t>Medium</t>
        </is>
      </c>
      <c r="I101" s="5" t="inlineStr">
        <is>
          <t>Friend whose death galvanises the group</t>
        </is>
      </c>
      <c r="J101" s="5" t="inlineStr">
        <is>
          <t>Sonia's fiancé</t>
        </is>
      </c>
      <c r="K101" s="19" t="inlineStr">
        <is>
          <t>An air force pilot killed in a MiG-21 crash blamed on corruption.</t>
        </is>
      </c>
      <c r="L101" s="5" t="n"/>
      <c r="M101" s="5" t="inlineStr">
        <is>
          <t>SOURCE-042</t>
        </is>
      </c>
    </row>
    <row r="102" ht="34" customHeight="1">
      <c r="A102" s="15" t="inlineStr">
        <is>
          <t>CAST-101</t>
        </is>
      </c>
      <c r="B102" s="18" t="inlineStr">
        <is>
          <t>FILM-036</t>
        </is>
      </c>
      <c r="C102" s="5" t="inlineStr">
        <is>
          <t>Rang De Basanti</t>
        </is>
      </c>
      <c r="D102" s="17" t="n">
        <v>2006</v>
      </c>
      <c r="E102" s="5" t="inlineStr">
        <is>
          <t>Sharman Joshi</t>
        </is>
      </c>
      <c r="F102" s="5" t="inlineStr">
        <is>
          <t>Sukhi Ram / Shivaram Rajguru</t>
        </is>
      </c>
      <c r="G102" s="5" t="inlineStr">
        <is>
          <t>Friend</t>
        </is>
      </c>
      <c r="H102" s="5" t="inlineStr">
        <is>
          <t>Medium</t>
        </is>
      </c>
      <c r="I102" s="5" t="inlineStr">
        <is>
          <t>Friend and fellow rebel</t>
        </is>
      </c>
      <c r="J102" s="5" t="inlineStr">
        <is>
          <t>Not applicable</t>
        </is>
      </c>
      <c r="K102" s="19" t="inlineStr">
        <is>
          <t>A member of the group who joins the rebellion.</t>
        </is>
      </c>
      <c r="L102" s="5" t="n"/>
      <c r="M102" s="5" t="inlineStr">
        <is>
          <t>SOURCE-042</t>
        </is>
      </c>
    </row>
    <row r="103" ht="34" customHeight="1">
      <c r="A103" s="15" t="inlineStr">
        <is>
          <t>CAST-102</t>
        </is>
      </c>
      <c r="B103" s="18" t="inlineStr">
        <is>
          <t>FILM-036</t>
        </is>
      </c>
      <c r="C103" s="5" t="inlineStr">
        <is>
          <t>Rang De Basanti</t>
        </is>
      </c>
      <c r="D103" s="17" t="n">
        <v>2006</v>
      </c>
      <c r="E103" s="5" t="inlineStr">
        <is>
          <t>Kunal Kapoor</t>
        </is>
      </c>
      <c r="F103" s="5" t="inlineStr">
        <is>
          <t>Aslam Khan / Ashfaqulla Khan</t>
        </is>
      </c>
      <c r="G103" s="5" t="inlineStr">
        <is>
          <t>Friend</t>
        </is>
      </c>
      <c r="H103" s="5" t="inlineStr">
        <is>
          <t>Medium</t>
        </is>
      </c>
      <c r="I103" s="5" t="inlineStr">
        <is>
          <t>Friend and fellow rebel</t>
        </is>
      </c>
      <c r="J103" s="5" t="inlineStr">
        <is>
          <t>Not applicable</t>
        </is>
      </c>
      <c r="K103" s="19" t="inlineStr">
        <is>
          <t>A Muslim friend and fellow rebel; his father is played by Om Puri.</t>
        </is>
      </c>
      <c r="L103" s="5" t="inlineStr">
        <is>
          <t>Stardust Breakthrough Performance award; Filmfare supporting nomination</t>
        </is>
      </c>
      <c r="M103" s="5" t="inlineStr">
        <is>
          <t>SOURCE-042</t>
        </is>
      </c>
    </row>
    <row r="104" ht="34" customHeight="1">
      <c r="A104" s="15" t="inlineStr">
        <is>
          <t>CAST-103</t>
        </is>
      </c>
      <c r="B104" s="18" t="inlineStr">
        <is>
          <t>FILM-036</t>
        </is>
      </c>
      <c r="C104" s="5" t="inlineStr">
        <is>
          <t>Rang De Basanti</t>
        </is>
      </c>
      <c r="D104" s="17" t="n">
        <v>2006</v>
      </c>
      <c r="E104" s="5" t="inlineStr">
        <is>
          <t>Atul Kulkarni</t>
        </is>
      </c>
      <c r="F104" s="5" t="inlineStr">
        <is>
          <t>Lakshman Pandey / Ram Prasad Bismil</t>
        </is>
      </c>
      <c r="G104" s="5" t="inlineStr">
        <is>
          <t>Friend</t>
        </is>
      </c>
      <c r="H104" s="5" t="inlineStr">
        <is>
          <t>Medium</t>
        </is>
      </c>
      <c r="I104" s="5" t="inlineStr">
        <is>
          <t>Right-wing rival who joins the group</t>
        </is>
      </c>
      <c r="J104" s="5" t="inlineStr">
        <is>
          <t>Not applicable</t>
        </is>
      </c>
      <c r="K104" s="19" t="inlineStr">
        <is>
          <t>A rival of the friends who later joins them.</t>
        </is>
      </c>
      <c r="L104" s="5" t="n"/>
      <c r="M104" s="5" t="inlineStr">
        <is>
          <t>SOURCE-042</t>
        </is>
      </c>
    </row>
    <row r="105" ht="34" customHeight="1">
      <c r="A105" s="15" t="inlineStr">
        <is>
          <t>CAST-104</t>
        </is>
      </c>
      <c r="B105" s="18" t="inlineStr">
        <is>
          <t>FILM-036</t>
        </is>
      </c>
      <c r="C105" s="5" t="inlineStr">
        <is>
          <t>Rang De Basanti</t>
        </is>
      </c>
      <c r="D105" s="17" t="n">
        <v>2006</v>
      </c>
      <c r="E105" s="5" t="inlineStr">
        <is>
          <t>Soha Ali Khan</t>
        </is>
      </c>
      <c r="F105" s="5" t="inlineStr">
        <is>
          <t>Sonia Chaudhary / Durgawati Devi</t>
        </is>
      </c>
      <c r="G105" s="5" t="inlineStr">
        <is>
          <t>Friend</t>
        </is>
      </c>
      <c r="H105" s="5" t="inlineStr">
        <is>
          <t>Medium</t>
        </is>
      </c>
      <c r="I105" s="5" t="inlineStr">
        <is>
          <t>Close friend</t>
        </is>
      </c>
      <c r="J105" s="5" t="inlineStr">
        <is>
          <t>Ajay's fiancée</t>
        </is>
      </c>
      <c r="K105" s="19" t="inlineStr">
        <is>
          <t>The friend whose fiancé's death drives the group to act.</t>
        </is>
      </c>
      <c r="L105" s="5" t="inlineStr">
        <is>
          <t>IIFA Best Supporting Actress</t>
        </is>
      </c>
      <c r="M105" s="5" t="inlineStr">
        <is>
          <t>SOURCE-042</t>
        </is>
      </c>
    </row>
    <row r="106" ht="19" customHeight="1">
      <c r="A106" s="15" t="inlineStr">
        <is>
          <t>CAST-105</t>
        </is>
      </c>
      <c r="B106" s="18" t="inlineStr">
        <is>
          <t>FILM-036</t>
        </is>
      </c>
      <c r="C106" s="5" t="inlineStr">
        <is>
          <t>Rang De Basanti</t>
        </is>
      </c>
      <c r="D106" s="17" t="n">
        <v>2006</v>
      </c>
      <c r="E106" s="5" t="inlineStr">
        <is>
          <t>Kirron Kher</t>
        </is>
      </c>
      <c r="F106" s="5" t="inlineStr">
        <is>
          <t>Mitro Kaur</t>
        </is>
      </c>
      <c r="G106" s="5" t="inlineStr">
        <is>
          <t>Family</t>
        </is>
      </c>
      <c r="H106" s="5" t="inlineStr">
        <is>
          <t>Medium</t>
        </is>
      </c>
      <c r="I106" s="5" t="inlineStr">
        <is>
          <t>Mother</t>
        </is>
      </c>
      <c r="J106" s="5" t="inlineStr">
        <is>
          <t>Not applicable</t>
        </is>
      </c>
      <c r="K106" s="19" t="inlineStr">
        <is>
          <t>DJ's mother.</t>
        </is>
      </c>
      <c r="L106" s="5" t="inlineStr">
        <is>
          <t>Screen Best Supporting Actress</t>
        </is>
      </c>
      <c r="M106" s="5" t="inlineStr">
        <is>
          <t>SOURCE-042</t>
        </is>
      </c>
    </row>
    <row r="107" ht="19" customHeight="1">
      <c r="A107" s="15" t="inlineStr">
        <is>
          <t>CAST-106</t>
        </is>
      </c>
      <c r="B107" s="18" t="inlineStr">
        <is>
          <t>FILM-036</t>
        </is>
      </c>
      <c r="C107" s="5" t="inlineStr">
        <is>
          <t>Rang De Basanti</t>
        </is>
      </c>
      <c r="D107" s="17" t="n">
        <v>2006</v>
      </c>
      <c r="E107" s="5" t="inlineStr">
        <is>
          <t>Anupam Kher</t>
        </is>
      </c>
      <c r="F107" s="5" t="inlineStr">
        <is>
          <t>Rajnath Singhania</t>
        </is>
      </c>
      <c r="G107" s="5" t="inlineStr">
        <is>
          <t>Antagonist</t>
        </is>
      </c>
      <c r="H107" s="5" t="inlineStr">
        <is>
          <t>Medium</t>
        </is>
      </c>
      <c r="I107" s="5" t="inlineStr">
        <is>
          <t>Corrupt middleman</t>
        </is>
      </c>
      <c r="J107" s="5" t="inlineStr">
        <is>
          <t>Not applicable</t>
        </is>
      </c>
      <c r="K107" s="19" t="inlineStr">
        <is>
          <t>Karan's father, a corrupt middleman.</t>
        </is>
      </c>
      <c r="L107" s="5" t="n"/>
      <c r="M107" s="5" t="inlineStr">
        <is>
          <t>SOURCE-042</t>
        </is>
      </c>
    </row>
    <row r="108" ht="19" customHeight="1">
      <c r="A108" s="15" t="inlineStr">
        <is>
          <t>CAST-107</t>
        </is>
      </c>
      <c r="B108" s="18" t="inlineStr">
        <is>
          <t>FILM-037</t>
        </is>
      </c>
      <c r="C108" s="5" t="inlineStr">
        <is>
          <t>Fanaa</t>
        </is>
      </c>
      <c r="D108" s="17" t="n">
        <v>2006</v>
      </c>
      <c r="E108" s="5" t="inlineStr">
        <is>
          <t>Tabu</t>
        </is>
      </c>
      <c r="F108" s="5" t="inlineStr">
        <is>
          <t>Malini Tyagi</t>
        </is>
      </c>
      <c r="G108" s="5" t="inlineStr">
        <is>
          <t>Antagonist</t>
        </is>
      </c>
      <c r="H108" s="5" t="inlineStr">
        <is>
          <t>Major</t>
        </is>
      </c>
      <c r="I108" s="5" t="inlineStr">
        <is>
          <t>Anti-terrorism officer hunting him</t>
        </is>
      </c>
      <c r="J108" s="5" t="inlineStr">
        <is>
          <t>Her report exposes Rehan to Zooni</t>
        </is>
      </c>
      <c r="K108" s="19" t="inlineStr">
        <is>
          <t>The security officer tracking the IKF and Rehan.</t>
        </is>
      </c>
      <c r="L108" s="5" t="n"/>
      <c r="M108" s="5" t="inlineStr">
        <is>
          <t>SOURCE-043</t>
        </is>
      </c>
    </row>
    <row r="109" ht="34" customHeight="1">
      <c r="A109" s="15" t="inlineStr">
        <is>
          <t>CAST-108</t>
        </is>
      </c>
      <c r="B109" s="18" t="inlineStr">
        <is>
          <t>FILM-037</t>
        </is>
      </c>
      <c r="C109" s="5" t="inlineStr">
        <is>
          <t>Fanaa</t>
        </is>
      </c>
      <c r="D109" s="17" t="n">
        <v>2006</v>
      </c>
      <c r="E109" s="5" t="inlineStr">
        <is>
          <t>Rishi Kapoor</t>
        </is>
      </c>
      <c r="F109" s="5" t="inlineStr">
        <is>
          <t>Zulfikar Ali Beg</t>
        </is>
      </c>
      <c r="G109" s="5" t="inlineStr">
        <is>
          <t>Family</t>
        </is>
      </c>
      <c r="H109" s="5" t="inlineStr">
        <is>
          <t>Major</t>
        </is>
      </c>
      <c r="I109" s="5" t="inlineStr">
        <is>
          <t>Father of the woman he loves; killed by him</t>
        </is>
      </c>
      <c r="J109" s="5" t="inlineStr">
        <is>
          <t>Zooni's father</t>
        </is>
      </c>
      <c r="K109" s="19" t="inlineStr">
        <is>
          <t>Zooni's gentle father, who shelters the wounded Rehan and is murdered by him.</t>
        </is>
      </c>
      <c r="L109" s="5" t="n"/>
      <c r="M109" s="5" t="inlineStr">
        <is>
          <t>SOURCE-043</t>
        </is>
      </c>
    </row>
    <row r="110" ht="19" customHeight="1">
      <c r="A110" s="15" t="inlineStr">
        <is>
          <t>CAST-109</t>
        </is>
      </c>
      <c r="B110" s="18" t="inlineStr">
        <is>
          <t>FILM-037</t>
        </is>
      </c>
      <c r="C110" s="5" t="inlineStr">
        <is>
          <t>Fanaa</t>
        </is>
      </c>
      <c r="D110" s="17" t="n">
        <v>2006</v>
      </c>
      <c r="E110" s="5" t="inlineStr">
        <is>
          <t>Ali Haji</t>
        </is>
      </c>
      <c r="F110" s="5" t="inlineStr">
        <is>
          <t>Rehan Qadri Jr.</t>
        </is>
      </c>
      <c r="G110" s="5" t="inlineStr">
        <is>
          <t>Family</t>
        </is>
      </c>
      <c r="H110" s="5" t="inlineStr">
        <is>
          <t>Medium</t>
        </is>
      </c>
      <c r="I110" s="5" t="inlineStr">
        <is>
          <t>Son he did not know about</t>
        </is>
      </c>
      <c r="J110" s="5" t="inlineStr">
        <is>
          <t>Child of Rehan and Zooni</t>
        </is>
      </c>
      <c r="K110" s="19" t="inlineStr">
        <is>
          <t>The boy whose existence draws Rehan toward family life.</t>
        </is>
      </c>
      <c r="L110" s="5" t="n"/>
      <c r="M110" s="5" t="inlineStr">
        <is>
          <t>SOURCE-043</t>
        </is>
      </c>
    </row>
    <row r="111" ht="49" customHeight="1">
      <c r="A111" s="15" t="inlineStr">
        <is>
          <t>CAST-110</t>
        </is>
      </c>
      <c r="B111" s="18" t="inlineStr">
        <is>
          <t>FILM-038</t>
        </is>
      </c>
      <c r="C111" s="5" t="inlineStr">
        <is>
          <t>Taare Zameen Par</t>
        </is>
      </c>
      <c r="D111" s="17" t="n">
        <v>2007</v>
      </c>
      <c r="E111" s="5" t="inlineStr">
        <is>
          <t>Darsheel Safary</t>
        </is>
      </c>
      <c r="F111" s="5" t="inlineStr">
        <is>
          <t>Ishaan "Inu" Nandkishore Awasthi</t>
        </is>
      </c>
      <c r="G111" s="5" t="inlineStr">
        <is>
          <t>Co-lead</t>
        </is>
      </c>
      <c r="H111" s="5" t="inlineStr">
        <is>
          <t>Major</t>
        </is>
      </c>
      <c r="I111" s="5" t="inlineStr">
        <is>
          <t>Student he rescues; the film's protagonist</t>
        </is>
      </c>
      <c r="J111" s="5" t="inlineStr">
        <is>
          <t>Not applicable</t>
        </is>
      </c>
      <c r="K111" s="19" t="inlineStr">
        <is>
          <t>An imaginative eight-year-old whose undiagnosed dyslexia leads to failure, boarding school and despair until Nikumbh intervenes.</t>
        </is>
      </c>
      <c r="L111" s="5" t="inlineStr">
        <is>
          <t>Filmfare Best Actor nomination</t>
        </is>
      </c>
      <c r="M111" s="5" t="inlineStr">
        <is>
          <t>SOURCE-044</t>
        </is>
      </c>
    </row>
    <row r="112" ht="34" customHeight="1">
      <c r="A112" s="15" t="inlineStr">
        <is>
          <t>CAST-111</t>
        </is>
      </c>
      <c r="B112" s="18" t="inlineStr">
        <is>
          <t>FILM-038</t>
        </is>
      </c>
      <c r="C112" s="5" t="inlineStr">
        <is>
          <t>Taare Zameen Par</t>
        </is>
      </c>
      <c r="D112" s="17" t="n">
        <v>2007</v>
      </c>
      <c r="E112" s="5" t="inlineStr">
        <is>
          <t>Tisca Chopra</t>
        </is>
      </c>
      <c r="F112" s="5" t="inlineStr">
        <is>
          <t>Maya Awasthi</t>
        </is>
      </c>
      <c r="G112" s="5" t="inlineStr">
        <is>
          <t>Family</t>
        </is>
      </c>
      <c r="H112" s="5" t="inlineStr">
        <is>
          <t>Medium</t>
        </is>
      </c>
      <c r="I112" s="5" t="inlineStr">
        <is>
          <t>Student's mother</t>
        </is>
      </c>
      <c r="J112" s="5" t="inlineStr">
        <is>
          <t>Not applicable</t>
        </is>
      </c>
      <c r="K112" s="19" t="inlineStr">
        <is>
          <t>Ishaan's mother, who learns to support him.</t>
        </is>
      </c>
      <c r="L112" s="5" t="inlineStr">
        <is>
          <t>Filmfare Best Supporting Actress nomination</t>
        </is>
      </c>
      <c r="M112" s="5" t="inlineStr">
        <is>
          <t>SOURCE-044</t>
        </is>
      </c>
    </row>
    <row r="113" ht="34" customHeight="1">
      <c r="A113" s="15" t="inlineStr">
        <is>
          <t>CAST-112</t>
        </is>
      </c>
      <c r="B113" s="18" t="inlineStr">
        <is>
          <t>FILM-038</t>
        </is>
      </c>
      <c r="C113" s="5" t="inlineStr">
        <is>
          <t>Taare Zameen Par</t>
        </is>
      </c>
      <c r="D113" s="17" t="n">
        <v>2007</v>
      </c>
      <c r="E113" s="5" t="inlineStr">
        <is>
          <t>Vipin Sharma</t>
        </is>
      </c>
      <c r="F113" s="5" t="inlineStr">
        <is>
          <t>Nandkishore Awasthi</t>
        </is>
      </c>
      <c r="G113" s="5" t="inlineStr">
        <is>
          <t>Family</t>
        </is>
      </c>
      <c r="H113" s="5" t="inlineStr">
        <is>
          <t>Medium</t>
        </is>
      </c>
      <c r="I113" s="5" t="inlineStr">
        <is>
          <t>Student's father who dismisses the diagnosis</t>
        </is>
      </c>
      <c r="J113" s="5" t="inlineStr">
        <is>
          <t>Not applicable</t>
        </is>
      </c>
      <c r="K113" s="19" t="inlineStr">
        <is>
          <t>Ishaan's demanding father, whom Nikumbh confronts.</t>
        </is>
      </c>
      <c r="L113" s="5" t="n"/>
      <c r="M113" s="5" t="inlineStr">
        <is>
          <t>SOURCE-044</t>
        </is>
      </c>
    </row>
    <row r="114" ht="19" customHeight="1">
      <c r="A114" s="15" t="inlineStr">
        <is>
          <t>CAST-113</t>
        </is>
      </c>
      <c r="B114" s="18" t="inlineStr">
        <is>
          <t>FILM-038</t>
        </is>
      </c>
      <c r="C114" s="5" t="inlineStr">
        <is>
          <t>Taare Zameen Par</t>
        </is>
      </c>
      <c r="D114" s="17" t="n">
        <v>2007</v>
      </c>
      <c r="E114" s="5" t="inlineStr">
        <is>
          <t>Tanay Chheda</t>
        </is>
      </c>
      <c r="F114" s="5" t="inlineStr">
        <is>
          <t>Rajan Damodaran</t>
        </is>
      </c>
      <c r="G114" s="5" t="inlineStr">
        <is>
          <t>Friend</t>
        </is>
      </c>
      <c r="H114" s="5" t="inlineStr">
        <is>
          <t>Minor</t>
        </is>
      </c>
      <c r="I114" s="5" t="inlineStr">
        <is>
          <t>Pupil</t>
        </is>
      </c>
      <c r="J114" s="5" t="inlineStr">
        <is>
          <t>Not applicable</t>
        </is>
      </c>
      <c r="K114" s="19" t="inlineStr">
        <is>
          <t>Ishaan's physically disabled best friend at boarding school.</t>
        </is>
      </c>
      <c r="L114" s="5" t="n"/>
      <c r="M114" s="5" t="inlineStr">
        <is>
          <t>SOURCE-044</t>
        </is>
      </c>
    </row>
    <row r="115" ht="34" customHeight="1">
      <c r="A115" s="15" t="inlineStr">
        <is>
          <t>CAST-114</t>
        </is>
      </c>
      <c r="B115" s="18" t="inlineStr">
        <is>
          <t>FILM-039</t>
        </is>
      </c>
      <c r="C115" s="5" t="inlineStr">
        <is>
          <t>Ghajini</t>
        </is>
      </c>
      <c r="D115" s="17" t="n">
        <v>2008</v>
      </c>
      <c r="E115" s="5" t="inlineStr">
        <is>
          <t>Pradeep Rawat</t>
        </is>
      </c>
      <c r="F115" s="5" t="inlineStr">
        <is>
          <t>Ghajini Dharmatma</t>
        </is>
      </c>
      <c r="G115" s="5" t="inlineStr">
        <is>
          <t>Antagonist</t>
        </is>
      </c>
      <c r="H115" s="5" t="inlineStr">
        <is>
          <t>Major</t>
        </is>
      </c>
      <c r="I115" s="5" t="inlineStr">
        <is>
          <t>Man who killed his fiancée and injured him</t>
        </is>
      </c>
      <c r="J115" s="5" t="inlineStr">
        <is>
          <t>Murders Kalpana</t>
        </is>
      </c>
      <c r="K115" s="19" t="inlineStr">
        <is>
          <t>A trafficking kingpin who kills Kalpana and is hunted by the amnesiac Sanjay.</t>
        </is>
      </c>
      <c r="L115" s="5" t="inlineStr">
        <is>
          <t>IIFA Best Villain nomination</t>
        </is>
      </c>
      <c r="M115" s="5" t="inlineStr">
        <is>
          <t>SOURCE-045</t>
        </is>
      </c>
    </row>
    <row r="116" ht="34" customHeight="1">
      <c r="A116" s="15" t="inlineStr">
        <is>
          <t>CAST-115</t>
        </is>
      </c>
      <c r="B116" s="18" t="inlineStr">
        <is>
          <t>FILM-039</t>
        </is>
      </c>
      <c r="C116" s="5" t="inlineStr">
        <is>
          <t>Ghajini</t>
        </is>
      </c>
      <c r="D116" s="17" t="n">
        <v>2008</v>
      </c>
      <c r="E116" s="5" t="inlineStr">
        <is>
          <t>Jiah Khan</t>
        </is>
      </c>
      <c r="F116" s="5" t="inlineStr">
        <is>
          <t>Sunita Kalantri</t>
        </is>
      </c>
      <c r="G116" s="5" t="inlineStr">
        <is>
          <t>Supporting</t>
        </is>
      </c>
      <c r="H116" s="5" t="inlineStr">
        <is>
          <t>Major</t>
        </is>
      </c>
      <c r="I116" s="5" t="inlineStr">
        <is>
          <t>Medical student who uncovers his past and helps him</t>
        </is>
      </c>
      <c r="J116" s="5" t="inlineStr">
        <is>
          <t>Reads his diaries and reminds him of Kalpana's murder</t>
        </is>
      </c>
      <c r="K116" s="19" t="inlineStr">
        <is>
          <t>A curious student investigating his amnesia who becomes his ally.</t>
        </is>
      </c>
      <c r="L116" s="5" t="inlineStr">
        <is>
          <t>Filmfare Best Supporting Actress nomination</t>
        </is>
      </c>
      <c r="M116" s="5" t="inlineStr">
        <is>
          <t>SOURCE-045</t>
        </is>
      </c>
    </row>
    <row r="117" ht="19" customHeight="1">
      <c r="A117" s="15" t="inlineStr">
        <is>
          <t>CAST-116</t>
        </is>
      </c>
      <c r="B117" s="18" t="inlineStr">
        <is>
          <t>FILM-039</t>
        </is>
      </c>
      <c r="C117" s="5" t="inlineStr">
        <is>
          <t>Ghajini</t>
        </is>
      </c>
      <c r="D117" s="17" t="n">
        <v>2008</v>
      </c>
      <c r="E117" s="5" t="inlineStr">
        <is>
          <t>Riyaz Khan</t>
        </is>
      </c>
      <c r="F117" s="5" t="inlineStr">
        <is>
          <t>Inspector Arjun Yadav</t>
        </is>
      </c>
      <c r="G117" s="5" t="inlineStr">
        <is>
          <t>Authority figure</t>
        </is>
      </c>
      <c r="H117" s="5" t="inlineStr">
        <is>
          <t>Medium</t>
        </is>
      </c>
      <c r="I117" s="5" t="inlineStr">
        <is>
          <t>Police investigator pursuing him</t>
        </is>
      </c>
      <c r="J117" s="5" t="inlineStr">
        <is>
          <t>Not applicable</t>
        </is>
      </c>
      <c r="K117" s="19" t="inlineStr">
        <is>
          <t>The detective investigating Sanjay's killings.</t>
        </is>
      </c>
      <c r="L117" s="5" t="n"/>
      <c r="M117" s="5" t="inlineStr">
        <is>
          <t>SOURCE-045</t>
        </is>
      </c>
    </row>
    <row r="118" ht="34" customHeight="1">
      <c r="A118" s="15" t="inlineStr">
        <is>
          <t>CAST-117</t>
        </is>
      </c>
      <c r="B118" s="18" t="inlineStr">
        <is>
          <t>FILM-040</t>
        </is>
      </c>
      <c r="C118" s="5" t="inlineStr">
        <is>
          <t>Luck by Chance</t>
        </is>
      </c>
      <c r="D118" s="17" t="n">
        <v>2009</v>
      </c>
      <c r="E118" s="5" t="inlineStr">
        <is>
          <t>Farhan Akhtar</t>
        </is>
      </c>
      <c r="F118" s="5" t="inlineStr">
        <is>
          <t>Vikram Jaisingh</t>
        </is>
      </c>
      <c r="G118" s="5" t="inlineStr">
        <is>
          <t>Co-lead</t>
        </is>
      </c>
      <c r="H118" s="5" t="inlineStr">
        <is>
          <t>Major</t>
        </is>
      </c>
      <c r="I118" s="5" t="inlineStr">
        <is>
          <t>No interaction documented; Aamir Khan appears as himself</t>
        </is>
      </c>
      <c r="J118" s="5" t="inlineStr">
        <is>
          <t>Not applicable</t>
        </is>
      </c>
      <c r="K118" s="19" t="inlineStr">
        <is>
          <t>An ambitious newcomer trying to break into Bollywood.</t>
        </is>
      </c>
      <c r="L118" s="5" t="n"/>
      <c r="M118" s="5" t="inlineStr">
        <is>
          <t>SOURCE-046</t>
        </is>
      </c>
    </row>
    <row r="119" ht="34" customHeight="1">
      <c r="A119" s="15" t="inlineStr">
        <is>
          <t>CAST-118</t>
        </is>
      </c>
      <c r="B119" s="18" t="inlineStr">
        <is>
          <t>FILM-040</t>
        </is>
      </c>
      <c r="C119" s="5" t="inlineStr">
        <is>
          <t>Luck by Chance</t>
        </is>
      </c>
      <c r="D119" s="17" t="n">
        <v>2009</v>
      </c>
      <c r="E119" s="5" t="inlineStr">
        <is>
          <t>Konkona Sen Sharma</t>
        </is>
      </c>
      <c r="F119" s="5" t="inlineStr">
        <is>
          <t>Sona Mishra</t>
        </is>
      </c>
      <c r="G119" s="5" t="inlineStr">
        <is>
          <t>Co-lead</t>
        </is>
      </c>
      <c r="H119" s="5" t="inlineStr">
        <is>
          <t>Major</t>
        </is>
      </c>
      <c r="I119" s="5" t="inlineStr">
        <is>
          <t>No interaction documented; Aamir Khan appears as himself</t>
        </is>
      </c>
      <c r="J119" s="5" t="inlineStr">
        <is>
          <t>Not applicable</t>
        </is>
      </c>
      <c r="K119" s="19" t="inlineStr">
        <is>
          <t>A struggling actress at the centre of the story.</t>
        </is>
      </c>
      <c r="L119" s="5" t="n"/>
      <c r="M119" s="5" t="inlineStr">
        <is>
          <t>SOURCE-046</t>
        </is>
      </c>
    </row>
    <row r="120" ht="19" customHeight="1">
      <c r="A120" s="15" t="inlineStr">
        <is>
          <t>CAST-119</t>
        </is>
      </c>
      <c r="B120" s="18" t="inlineStr">
        <is>
          <t>FILM-041</t>
        </is>
      </c>
      <c r="C120" s="5" t="inlineStr">
        <is>
          <t>3 Idiots</t>
        </is>
      </c>
      <c r="D120" s="17" t="n">
        <v>2009</v>
      </c>
      <c r="E120" s="5" t="inlineStr">
        <is>
          <t>R. Madhavan</t>
        </is>
      </c>
      <c r="F120" s="5" t="inlineStr">
        <is>
          <t>Farhan Qureshi</t>
        </is>
      </c>
      <c r="G120" s="5" t="inlineStr">
        <is>
          <t>Friend</t>
        </is>
      </c>
      <c r="H120" s="5" t="inlineStr">
        <is>
          <t>Major</t>
        </is>
      </c>
      <c r="I120" s="5" t="inlineStr">
        <is>
          <t>Roommate and best friend; narrator</t>
        </is>
      </c>
      <c r="J120" s="5" t="inlineStr">
        <is>
          <t>Helps bring Pia to Rancho</t>
        </is>
      </c>
      <c r="K120" s="19" t="inlineStr">
        <is>
          <t>An engineering student who turns to wildlife photography.</t>
        </is>
      </c>
      <c r="L120" s="5" t="n"/>
      <c r="M120" s="5" t="inlineStr">
        <is>
          <t>SOURCE-047</t>
        </is>
      </c>
    </row>
    <row r="121" ht="34" customHeight="1">
      <c r="A121" s="15" t="inlineStr">
        <is>
          <t>CAST-120</t>
        </is>
      </c>
      <c r="B121" s="18" t="inlineStr">
        <is>
          <t>FILM-041</t>
        </is>
      </c>
      <c r="C121" s="5" t="inlineStr">
        <is>
          <t>3 Idiots</t>
        </is>
      </c>
      <c r="D121" s="17" t="n">
        <v>2009</v>
      </c>
      <c r="E121" s="5" t="inlineStr">
        <is>
          <t>Sharman Joshi</t>
        </is>
      </c>
      <c r="F121" s="5" t="inlineStr">
        <is>
          <t>Raju Rastogi</t>
        </is>
      </c>
      <c r="G121" s="5" t="inlineStr">
        <is>
          <t>Friend</t>
        </is>
      </c>
      <c r="H121" s="5" t="inlineStr">
        <is>
          <t>Major</t>
        </is>
      </c>
      <c r="I121" s="5" t="inlineStr">
        <is>
          <t>Roommate and best friend</t>
        </is>
      </c>
      <c r="J121" s="5" t="inlineStr">
        <is>
          <t>Helps bring Pia to Rancho</t>
        </is>
      </c>
      <c r="K121" s="19" t="inlineStr">
        <is>
          <t>A fearful, insecure student who gains confidence through Rancho.</t>
        </is>
      </c>
      <c r="L121" s="5" t="n"/>
      <c r="M121" s="5" t="inlineStr">
        <is>
          <t>SOURCE-047</t>
        </is>
      </c>
    </row>
    <row r="122" ht="34" customHeight="1">
      <c r="A122" s="15" t="inlineStr">
        <is>
          <t>CAST-121</t>
        </is>
      </c>
      <c r="B122" s="18" t="inlineStr">
        <is>
          <t>FILM-041</t>
        </is>
      </c>
      <c r="C122" s="5" t="inlineStr">
        <is>
          <t>3 Idiots</t>
        </is>
      </c>
      <c r="D122" s="17" t="n">
        <v>2009</v>
      </c>
      <c r="E122" s="5" t="inlineStr">
        <is>
          <t>Boman Irani</t>
        </is>
      </c>
      <c r="F122" s="5" t="inlineStr">
        <is>
          <t>Dr. Viru "Virus" Sahastrabuddhe</t>
        </is>
      </c>
      <c r="G122" s="5" t="inlineStr">
        <is>
          <t>Antagonist</t>
        </is>
      </c>
      <c r="H122" s="5" t="inlineStr">
        <is>
          <t>Major</t>
        </is>
      </c>
      <c r="I122" s="5" t="inlineStr">
        <is>
          <t>College director and ideological opponent</t>
        </is>
      </c>
      <c r="J122" s="5" t="inlineStr">
        <is>
          <t>Pia's father, who opposes Rancho</t>
        </is>
      </c>
      <c r="K122" s="19" t="inlineStr">
        <is>
          <t>The rigid director who embodies rote competition and finally acknowledges Rancho.</t>
        </is>
      </c>
      <c r="L122" s="5" t="inlineStr">
        <is>
          <t>Filmfare Award for Best Supporting Actor</t>
        </is>
      </c>
      <c r="M122" s="5" t="inlineStr">
        <is>
          <t>SOURCE-047; SOURCE-073</t>
        </is>
      </c>
    </row>
    <row r="123" ht="34" customHeight="1">
      <c r="A123" s="15" t="inlineStr">
        <is>
          <t>CAST-122</t>
        </is>
      </c>
      <c r="B123" s="18" t="inlineStr">
        <is>
          <t>FILM-041</t>
        </is>
      </c>
      <c r="C123" s="5" t="inlineStr">
        <is>
          <t>3 Idiots</t>
        </is>
      </c>
      <c r="D123" s="17" t="n">
        <v>2009</v>
      </c>
      <c r="E123" s="5" t="inlineStr">
        <is>
          <t>Omi Vaidya</t>
        </is>
      </c>
      <c r="F123" s="5" t="inlineStr">
        <is>
          <t>Chatur "Silencer" Ramalingam</t>
        </is>
      </c>
      <c r="G123" s="5" t="inlineStr">
        <is>
          <t>Comic support</t>
        </is>
      </c>
      <c r="H123" s="5" t="inlineStr">
        <is>
          <t>Medium</t>
        </is>
      </c>
      <c r="I123" s="5" t="inlineStr">
        <is>
          <t>Competitive classmate</t>
        </is>
      </c>
      <c r="J123" s="5" t="inlineStr">
        <is>
          <t>Not applicable</t>
        </is>
      </c>
      <c r="K123" s="19" t="inlineStr">
        <is>
          <t>A rote-learning rival who challenges Rancho and returns in the present-day story.</t>
        </is>
      </c>
      <c r="L123" s="5" t="n"/>
      <c r="M123" s="5" t="inlineStr">
        <is>
          <t>SOURCE-047</t>
        </is>
      </c>
    </row>
    <row r="124" ht="34" customHeight="1">
      <c r="A124" s="15" t="inlineStr">
        <is>
          <t>CAST-123</t>
        </is>
      </c>
      <c r="B124" s="18" t="inlineStr">
        <is>
          <t>FILM-041</t>
        </is>
      </c>
      <c r="C124" s="5" t="inlineStr">
        <is>
          <t>3 Idiots</t>
        </is>
      </c>
      <c r="D124" s="17" t="n">
        <v>2009</v>
      </c>
      <c r="E124" s="5" t="inlineStr">
        <is>
          <t>Mona Singh</t>
        </is>
      </c>
      <c r="F124" s="5" t="inlineStr">
        <is>
          <t>Mona Sahastrabuddhe</t>
        </is>
      </c>
      <c r="G124" s="5" t="inlineStr">
        <is>
          <t>Family</t>
        </is>
      </c>
      <c r="H124" s="5" t="inlineStr">
        <is>
          <t>Minor</t>
        </is>
      </c>
      <c r="I124" s="5" t="inlineStr">
        <is>
          <t>Delivers her baby during a blackout</t>
        </is>
      </c>
      <c r="J124" s="5" t="inlineStr">
        <is>
          <t>Pia's sister</t>
        </is>
      </c>
      <c r="K124" s="19" t="inlineStr">
        <is>
          <t>Virus's elder daughter, whose emergency delivery Rancho improvises.</t>
        </is>
      </c>
      <c r="L124" s="5" t="n"/>
      <c r="M124" s="5" t="inlineStr">
        <is>
          <t>SOURCE-047</t>
        </is>
      </c>
    </row>
    <row r="125" ht="34" customHeight="1">
      <c r="A125" s="15" t="inlineStr">
        <is>
          <t>CAST-124</t>
        </is>
      </c>
      <c r="B125" s="18" t="inlineStr">
        <is>
          <t>FILM-042</t>
        </is>
      </c>
      <c r="C125" s="5" t="inlineStr">
        <is>
          <t>Dhobi Ghat</t>
        </is>
      </c>
      <c r="D125" s="17" t="n">
        <v>2011</v>
      </c>
      <c r="E125" s="5" t="inlineStr">
        <is>
          <t>Prateik</t>
        </is>
      </c>
      <c r="F125" s="5" t="inlineStr">
        <is>
          <t>Zohaib "Munna" Shaikh</t>
        </is>
      </c>
      <c r="G125" s="5" t="inlineStr">
        <is>
          <t>Co-lead</t>
        </is>
      </c>
      <c r="H125" s="5" t="inlineStr">
        <is>
          <t>Major</t>
        </is>
      </c>
      <c r="I125" s="5" t="inlineStr">
        <is>
          <t>Washerman who delivers his laundry</t>
        </is>
      </c>
      <c r="J125" s="5" t="inlineStr">
        <is>
          <t>Loves Shai and feels betrayed on seeing her with Arun</t>
        </is>
      </c>
      <c r="K125" s="19" t="inlineStr">
        <is>
          <t>A dhobi who cannot express his love for Shai across the class divide.</t>
        </is>
      </c>
      <c r="L125" s="5" t="n"/>
      <c r="M125" s="5" t="inlineStr">
        <is>
          <t>SOURCE-048</t>
        </is>
      </c>
    </row>
    <row r="126" ht="34" customHeight="1">
      <c r="A126" s="15" t="inlineStr">
        <is>
          <t>CAST-125</t>
        </is>
      </c>
      <c r="B126" s="18" t="inlineStr">
        <is>
          <t>FILM-042</t>
        </is>
      </c>
      <c r="C126" s="5" t="inlineStr">
        <is>
          <t>Dhobi Ghat</t>
        </is>
      </c>
      <c r="D126" s="17" t="n">
        <v>2011</v>
      </c>
      <c r="E126" s="5" t="inlineStr">
        <is>
          <t>Kriti Malhotra</t>
        </is>
      </c>
      <c r="F126" s="5" t="inlineStr">
        <is>
          <t>Yasmin Noor</t>
        </is>
      </c>
      <c r="G126" s="5" t="inlineStr">
        <is>
          <t>Co-lead</t>
        </is>
      </c>
      <c r="H126" s="5" t="inlineStr">
        <is>
          <t>Major</t>
        </is>
      </c>
      <c r="I126" s="5" t="inlineStr">
        <is>
          <t>Previous tenant known only through video diaries</t>
        </is>
      </c>
      <c r="J126" s="5" t="inlineStr">
        <is>
          <t>Arun's emotional fixation, though they never meet</t>
        </is>
      </c>
      <c r="K126" s="19" t="inlineStr">
        <is>
          <t>A lonely young bride whose video letters reveal an unfaithful husband and a suicidal end.</t>
        </is>
      </c>
      <c r="L126" s="5" t="n"/>
      <c r="M126" s="5" t="inlineStr">
        <is>
          <t>SOURCE-048</t>
        </is>
      </c>
    </row>
    <row r="127" ht="34" customHeight="1">
      <c r="A127" s="15" t="inlineStr">
        <is>
          <t>CAST-126</t>
        </is>
      </c>
      <c r="B127" s="18" t="inlineStr">
        <is>
          <t>FILM-043</t>
        </is>
      </c>
      <c r="C127" s="5" t="inlineStr">
        <is>
          <t>Delhi Belly</t>
        </is>
      </c>
      <c r="D127" s="17" t="n">
        <v>2011</v>
      </c>
      <c r="E127" s="5" t="inlineStr">
        <is>
          <t>Imran Khan</t>
        </is>
      </c>
      <c r="F127" s="5" t="inlineStr">
        <is>
          <t>Tashi Dorjee Lhatoo</t>
        </is>
      </c>
      <c r="G127" s="5" t="inlineStr">
        <is>
          <t>Co-lead</t>
        </is>
      </c>
      <c r="H127" s="5" t="inlineStr">
        <is>
          <t>Major</t>
        </is>
      </c>
      <c r="I127" s="5" t="inlineStr">
        <is>
          <t>No interaction; Aamir Khan appears only in the closing-credits song</t>
        </is>
      </c>
      <c r="J127" s="5" t="inlineStr">
        <is>
          <t>Not applicable</t>
        </is>
      </c>
      <c r="K127" s="19" t="inlineStr">
        <is>
          <t>One of the three roommates at the centre of the black comedy.</t>
        </is>
      </c>
      <c r="L127" s="5" t="n"/>
      <c r="M127" s="5" t="inlineStr">
        <is>
          <t>SOURCE-049</t>
        </is>
      </c>
    </row>
    <row r="128" ht="34" customHeight="1">
      <c r="A128" s="15" t="inlineStr">
        <is>
          <t>CAST-127</t>
        </is>
      </c>
      <c r="B128" s="18" t="inlineStr">
        <is>
          <t>FILM-043</t>
        </is>
      </c>
      <c r="C128" s="5" t="inlineStr">
        <is>
          <t>Delhi Belly</t>
        </is>
      </c>
      <c r="D128" s="17" t="n">
        <v>2011</v>
      </c>
      <c r="E128" s="5" t="inlineStr">
        <is>
          <t>Vir Das</t>
        </is>
      </c>
      <c r="F128" s="5" t="inlineStr">
        <is>
          <t>Arup Sengupta</t>
        </is>
      </c>
      <c r="G128" s="5" t="inlineStr">
        <is>
          <t>Co-lead</t>
        </is>
      </c>
      <c r="H128" s="5" t="inlineStr">
        <is>
          <t>Medium</t>
        </is>
      </c>
      <c r="I128" s="5" t="inlineStr">
        <is>
          <t>No interaction; Aamir Khan appears only in the closing-credits song</t>
        </is>
      </c>
      <c r="J128" s="5" t="inlineStr">
        <is>
          <t>Not applicable</t>
        </is>
      </c>
      <c r="K128" s="19" t="inlineStr">
        <is>
          <t>One of Tashi's roommates in the black comedy.</t>
        </is>
      </c>
      <c r="L128" s="5" t="n"/>
      <c r="M128" s="5" t="inlineStr">
        <is>
          <t>SOURCE-049</t>
        </is>
      </c>
    </row>
    <row r="129" ht="34" customHeight="1">
      <c r="A129" s="15" t="inlineStr">
        <is>
          <t>CAST-128</t>
        </is>
      </c>
      <c r="B129" s="18" t="inlineStr">
        <is>
          <t>FILM-044</t>
        </is>
      </c>
      <c r="C129" s="5" t="inlineStr">
        <is>
          <t>Talaash: The Answer Lies Within</t>
        </is>
      </c>
      <c r="D129" s="17" t="n">
        <v>2012</v>
      </c>
      <c r="E129" s="5" t="inlineStr">
        <is>
          <t>Kareena Kapoor</t>
        </is>
      </c>
      <c r="F129" s="5" t="inlineStr">
        <is>
          <t>Rosie / Simran</t>
        </is>
      </c>
      <c r="G129" s="5" t="inlineStr">
        <is>
          <t>Co-lead</t>
        </is>
      </c>
      <c r="H129" s="5" t="inlineStr">
        <is>
          <t>Major</t>
        </is>
      </c>
      <c r="I129" s="5" t="inlineStr">
        <is>
          <t>Informant later revealed as a ghost</t>
        </is>
      </c>
      <c r="J129" s="5" t="inlineStr">
        <is>
          <t>Not romantic; he declines her proposition</t>
        </is>
      </c>
      <c r="K129" s="19" t="inlineStr">
        <is>
          <t>An escort who guides Surjan to her own buried death three years earlier.</t>
        </is>
      </c>
      <c r="L129" s="5" t="n"/>
      <c r="M129" s="5" t="inlineStr">
        <is>
          <t>SOURCE-050</t>
        </is>
      </c>
    </row>
    <row r="130" ht="34" customHeight="1">
      <c r="A130" s="15" t="inlineStr">
        <is>
          <t>CAST-129</t>
        </is>
      </c>
      <c r="B130" s="18" t="inlineStr">
        <is>
          <t>FILM-044</t>
        </is>
      </c>
      <c r="C130" s="5" t="inlineStr">
        <is>
          <t>Talaash: The Answer Lies Within</t>
        </is>
      </c>
      <c r="D130" s="17" t="n">
        <v>2012</v>
      </c>
      <c r="E130" s="5" t="inlineStr">
        <is>
          <t>Nawazuddin Siddiqui</t>
        </is>
      </c>
      <c r="F130" s="5" t="inlineStr">
        <is>
          <t>Tehmur Langda</t>
        </is>
      </c>
      <c r="G130" s="5" t="inlineStr">
        <is>
          <t>Antagonist</t>
        </is>
      </c>
      <c r="H130" s="5" t="inlineStr">
        <is>
          <t>Major</t>
        </is>
      </c>
      <c r="I130" s="5" t="inlineStr">
        <is>
          <t>Blackmailer he investigates</t>
        </is>
      </c>
      <c r="J130" s="5" t="inlineStr">
        <is>
          <t>Not applicable</t>
        </is>
      </c>
      <c r="K130" s="19" t="inlineStr">
        <is>
          <t>A blackmailer trying to profit from the film star's secret.</t>
        </is>
      </c>
      <c r="L130" s="5" t="inlineStr">
        <is>
          <t>Filmfare Best Supporting Actor nomination</t>
        </is>
      </c>
      <c r="M130" s="5" t="inlineStr">
        <is>
          <t>SOURCE-050</t>
        </is>
      </c>
    </row>
    <row r="131" ht="34" customHeight="1">
      <c r="A131" s="15" t="inlineStr">
        <is>
          <t>CAST-130</t>
        </is>
      </c>
      <c r="B131" s="18" t="inlineStr">
        <is>
          <t>FILM-044</t>
        </is>
      </c>
      <c r="C131" s="5" t="inlineStr">
        <is>
          <t>Talaash: The Answer Lies Within</t>
        </is>
      </c>
      <c r="D131" s="17" t="n">
        <v>2012</v>
      </c>
      <c r="E131" s="5" t="inlineStr">
        <is>
          <t>Shernaz Patel</t>
        </is>
      </c>
      <c r="F131" s="5" t="inlineStr">
        <is>
          <t>Frenny</t>
        </is>
      </c>
      <c r="G131" s="5" t="inlineStr">
        <is>
          <t>Supporting</t>
        </is>
      </c>
      <c r="H131" s="5" t="inlineStr">
        <is>
          <t>Medium</t>
        </is>
      </c>
      <c r="I131" s="5" t="inlineStr">
        <is>
          <t>Psychic he distrusts</t>
        </is>
      </c>
      <c r="J131" s="5" t="inlineStr">
        <is>
          <t>Delivers the son's letter that allows the couple to reconcile</t>
        </is>
      </c>
      <c r="K131" s="19" t="inlineStr">
        <is>
          <t>The medium Roshni consults about their dead son.</t>
        </is>
      </c>
      <c r="L131" s="5" t="n"/>
      <c r="M131" s="5" t="inlineStr">
        <is>
          <t>SOURCE-050</t>
        </is>
      </c>
    </row>
    <row r="132" ht="34" customHeight="1">
      <c r="A132" s="15" t="inlineStr">
        <is>
          <t>CAST-131</t>
        </is>
      </c>
      <c r="B132" s="18" t="inlineStr">
        <is>
          <t>FILM-044</t>
        </is>
      </c>
      <c r="C132" s="5" t="inlineStr">
        <is>
          <t>Talaash: The Answer Lies Within</t>
        </is>
      </c>
      <c r="D132" s="17" t="n">
        <v>2012</v>
      </c>
      <c r="E132" s="5" t="inlineStr">
        <is>
          <t>Rajkummar Rao</t>
        </is>
      </c>
      <c r="F132" s="5" t="inlineStr">
        <is>
          <t>Devrath Kulkarni</t>
        </is>
      </c>
      <c r="G132" s="5" t="inlineStr">
        <is>
          <t>Supporting</t>
        </is>
      </c>
      <c r="H132" s="5" t="inlineStr">
        <is>
          <t>Minor</t>
        </is>
      </c>
      <c r="I132" s="5" t="inlineStr">
        <is>
          <t>Police assistant</t>
        </is>
      </c>
      <c r="J132" s="5" t="inlineStr">
        <is>
          <t>Not applicable</t>
        </is>
      </c>
      <c r="K132" s="19" t="inlineStr">
        <is>
          <t>Surjan's subordinate on the case.</t>
        </is>
      </c>
      <c r="L132" s="5" t="n"/>
      <c r="M132" s="5" t="inlineStr">
        <is>
          <t>SOURCE-050</t>
        </is>
      </c>
    </row>
    <row r="133" ht="34" customHeight="1">
      <c r="A133" s="15" t="inlineStr">
        <is>
          <t>CAST-132</t>
        </is>
      </c>
      <c r="B133" s="18" t="inlineStr">
        <is>
          <t>FILM-046</t>
        </is>
      </c>
      <c r="C133" s="5" t="inlineStr">
        <is>
          <t>Dhoom 3</t>
        </is>
      </c>
      <c r="D133" s="17" t="n">
        <v>2013</v>
      </c>
      <c r="E133" s="5" t="inlineStr">
        <is>
          <t>Abhishek Bachchan</t>
        </is>
      </c>
      <c r="F133" s="5" t="inlineStr">
        <is>
          <t>ACP Jai Dixit</t>
        </is>
      </c>
      <c r="G133" s="5" t="inlineStr">
        <is>
          <t>Antagonist</t>
        </is>
      </c>
      <c r="H133" s="5" t="inlineStr">
        <is>
          <t>Major</t>
        </is>
      </c>
      <c r="I133" s="5" t="inlineStr">
        <is>
          <t>Detective hunting the twins</t>
        </is>
      </c>
      <c r="J133" s="5" t="inlineStr">
        <is>
          <t>Uses Samar's romance with Aaliya to expose the twin secret</t>
        </is>
      </c>
      <c r="K133" s="19" t="inlineStr">
        <is>
          <t>The Mumbai detective who follows the heists to Chicago.</t>
        </is>
      </c>
      <c r="L133" s="5" t="inlineStr">
        <is>
          <t>Zee Cine Best Supporting Actor nomination</t>
        </is>
      </c>
      <c r="M133" s="5" t="inlineStr">
        <is>
          <t>SOURCE-052</t>
        </is>
      </c>
    </row>
    <row r="134" ht="34" customHeight="1">
      <c r="A134" s="15" t="inlineStr">
        <is>
          <t>CAST-133</t>
        </is>
      </c>
      <c r="B134" s="18" t="inlineStr">
        <is>
          <t>FILM-046</t>
        </is>
      </c>
      <c r="C134" s="5" t="inlineStr">
        <is>
          <t>Dhoom 3</t>
        </is>
      </c>
      <c r="D134" s="17" t="n">
        <v>2013</v>
      </c>
      <c r="E134" s="5" t="inlineStr">
        <is>
          <t>Uday Chopra</t>
        </is>
      </c>
      <c r="F134" s="5" t="inlineStr">
        <is>
          <t>Sub-Inspector Ali Akbar Fateh Khan</t>
        </is>
      </c>
      <c r="G134" s="5" t="inlineStr">
        <is>
          <t>Comic support</t>
        </is>
      </c>
      <c r="H134" s="5" t="inlineStr">
        <is>
          <t>Medium</t>
        </is>
      </c>
      <c r="I134" s="5" t="inlineStr">
        <is>
          <t>Detective's partner</t>
        </is>
      </c>
      <c r="J134" s="5" t="inlineStr">
        <is>
          <t>Not applicable</t>
        </is>
      </c>
      <c r="K134" s="19" t="inlineStr">
        <is>
          <t>Jai's comic sidekick; Uday Chopra's final film role.</t>
        </is>
      </c>
      <c r="L134" s="5" t="n"/>
      <c r="M134" s="5" t="inlineStr">
        <is>
          <t>SOURCE-052</t>
        </is>
      </c>
    </row>
    <row r="135" ht="34" customHeight="1">
      <c r="A135" s="15" t="inlineStr">
        <is>
          <t>CAST-134</t>
        </is>
      </c>
      <c r="B135" s="18" t="inlineStr">
        <is>
          <t>FILM-046</t>
        </is>
      </c>
      <c r="C135" s="5" t="inlineStr">
        <is>
          <t>Dhoom 3</t>
        </is>
      </c>
      <c r="D135" s="17" t="n">
        <v>2013</v>
      </c>
      <c r="E135" s="5" t="inlineStr">
        <is>
          <t>Jackie Shroff</t>
        </is>
      </c>
      <c r="F135" s="5" t="inlineStr">
        <is>
          <t>Iqbal Haroon Khan</t>
        </is>
      </c>
      <c r="G135" s="5" t="inlineStr">
        <is>
          <t>Family</t>
        </is>
      </c>
      <c r="H135" s="5" t="inlineStr">
        <is>
          <t>Medium</t>
        </is>
      </c>
      <c r="I135" s="5" t="inlineStr">
        <is>
          <t>Father whose suicide drives the revenge</t>
        </is>
      </c>
      <c r="J135" s="5" t="inlineStr">
        <is>
          <t>Not applicable</t>
        </is>
      </c>
      <c r="K135" s="19" t="inlineStr">
        <is>
          <t>Owner of the Great Indian Circus, ruined by the Western Bank of Chicago.</t>
        </is>
      </c>
      <c r="L135" s="5" t="n"/>
      <c r="M135" s="5" t="inlineStr">
        <is>
          <t>SOURCE-052</t>
        </is>
      </c>
    </row>
    <row r="136" ht="34" customHeight="1">
      <c r="A136" s="15" t="inlineStr">
        <is>
          <t>CAST-135</t>
        </is>
      </c>
      <c r="B136" s="18" t="inlineStr">
        <is>
          <t>FILM-047</t>
        </is>
      </c>
      <c r="C136" s="5" t="inlineStr">
        <is>
          <t>PK</t>
        </is>
      </c>
      <c r="D136" s="17" t="n">
        <v>2014</v>
      </c>
      <c r="E136" s="5" t="inlineStr">
        <is>
          <t>Saurabh Shukla</t>
        </is>
      </c>
      <c r="F136" s="5" t="inlineStr">
        <is>
          <t>Tapasvi Maharaj</t>
        </is>
      </c>
      <c r="G136" s="5" t="inlineStr">
        <is>
          <t>Antagonist</t>
        </is>
      </c>
      <c r="H136" s="5" t="inlineStr">
        <is>
          <t>Major</t>
        </is>
      </c>
      <c r="I136" s="5" t="inlineStr">
        <is>
          <t>Godman holding his remote</t>
        </is>
      </c>
      <c r="J136" s="5" t="inlineStr">
        <is>
          <t>Engineered Jaggu's separation from Sarfaraz with a false prophecy</t>
        </is>
      </c>
      <c r="K136" s="19" t="inlineStr">
        <is>
          <t>A fraudulent godman exposed by PK in a televised debate.</t>
        </is>
      </c>
      <c r="L136" s="5" t="n"/>
      <c r="M136" s="5" t="inlineStr">
        <is>
          <t>SOURCE-053</t>
        </is>
      </c>
    </row>
    <row r="137" ht="34" customHeight="1">
      <c r="A137" s="15" t="inlineStr">
        <is>
          <t>CAST-136</t>
        </is>
      </c>
      <c r="B137" s="18" t="inlineStr">
        <is>
          <t>FILM-047</t>
        </is>
      </c>
      <c r="C137" s="5" t="inlineStr">
        <is>
          <t>PK</t>
        </is>
      </c>
      <c r="D137" s="17" t="n">
        <v>2014</v>
      </c>
      <c r="E137" s="5" t="inlineStr">
        <is>
          <t>Sushant Singh Rajput</t>
        </is>
      </c>
      <c r="F137" s="5" t="inlineStr">
        <is>
          <t>Sarfaraz Yousuf</t>
        </is>
      </c>
      <c r="G137" s="5" t="inlineStr">
        <is>
          <t>Romantic rival</t>
        </is>
      </c>
      <c r="H137" s="5" t="inlineStr">
        <is>
          <t>Medium</t>
        </is>
      </c>
      <c r="I137" s="5" t="inlineStr">
        <is>
          <t>The man Jaggu loves</t>
        </is>
      </c>
      <c r="J137" s="5" t="inlineStr">
        <is>
          <t>PK reunites him with Jaggu at the cost of his own feelings</t>
        </is>
      </c>
      <c r="K137" s="19" t="inlineStr">
        <is>
          <t>A Pakistani student whose interfaith romance with Jaggu was sabotaged.</t>
        </is>
      </c>
      <c r="L137" s="5" t="n"/>
      <c r="M137" s="5" t="inlineStr">
        <is>
          <t>SOURCE-053</t>
        </is>
      </c>
    </row>
    <row r="138" ht="34" customHeight="1">
      <c r="A138" s="15" t="inlineStr">
        <is>
          <t>CAST-137</t>
        </is>
      </c>
      <c r="B138" s="18" t="inlineStr">
        <is>
          <t>FILM-047</t>
        </is>
      </c>
      <c r="C138" s="5" t="inlineStr">
        <is>
          <t>PK</t>
        </is>
      </c>
      <c r="D138" s="17" t="n">
        <v>2014</v>
      </c>
      <c r="E138" s="5" t="inlineStr">
        <is>
          <t>Sanjay Dutt</t>
        </is>
      </c>
      <c r="F138" s="5" t="inlineStr">
        <is>
          <t>Bhairon Singh</t>
        </is>
      </c>
      <c r="G138" s="5" t="inlineStr">
        <is>
          <t>Friend</t>
        </is>
      </c>
      <c r="H138" s="5" t="inlineStr">
        <is>
          <t>Medium</t>
        </is>
      </c>
      <c r="I138" s="5" t="inlineStr">
        <is>
          <t>Bandmaster who befriends him</t>
        </is>
      </c>
      <c r="J138" s="5" t="inlineStr">
        <is>
          <t>Not applicable</t>
        </is>
      </c>
      <c r="K138" s="19" t="inlineStr">
        <is>
          <t>PK's first friend on Earth.</t>
        </is>
      </c>
      <c r="L138" s="5" t="inlineStr">
        <is>
          <t>Bollywood Hungama Surfers' Choice supporting nomination</t>
        </is>
      </c>
      <c r="M138" s="5" t="inlineStr">
        <is>
          <t>SOURCE-053</t>
        </is>
      </c>
    </row>
    <row r="139" ht="19" customHeight="1">
      <c r="A139" s="15" t="inlineStr">
        <is>
          <t>CAST-138</t>
        </is>
      </c>
      <c r="B139" s="18" t="inlineStr">
        <is>
          <t>FILM-047</t>
        </is>
      </c>
      <c r="C139" s="5" t="inlineStr">
        <is>
          <t>PK</t>
        </is>
      </c>
      <c r="D139" s="17" t="n">
        <v>2014</v>
      </c>
      <c r="E139" s="5" t="inlineStr">
        <is>
          <t>Boman Irani</t>
        </is>
      </c>
      <c r="F139" s="5" t="inlineStr">
        <is>
          <t>Cherry Bajwa</t>
        </is>
      </c>
      <c r="G139" s="5" t="inlineStr">
        <is>
          <t>Authority figure</t>
        </is>
      </c>
      <c r="H139" s="5" t="inlineStr">
        <is>
          <t>Minor</t>
        </is>
      </c>
      <c r="I139" s="5" t="inlineStr">
        <is>
          <t>Television boss who airs PK's story</t>
        </is>
      </c>
      <c r="J139" s="5" t="inlineStr">
        <is>
          <t>Not applicable</t>
        </is>
      </c>
      <c r="K139" s="19" t="inlineStr">
        <is>
          <t>Jaggu's employer at the news channel.</t>
        </is>
      </c>
      <c r="L139" s="5" t="n"/>
      <c r="M139" s="5" t="inlineStr">
        <is>
          <t>SOURCE-053</t>
        </is>
      </c>
    </row>
    <row r="140" ht="34" customHeight="1">
      <c r="A140" s="15" t="inlineStr">
        <is>
          <t>CAST-139</t>
        </is>
      </c>
      <c r="B140" s="18" t="inlineStr">
        <is>
          <t>FILM-048</t>
        </is>
      </c>
      <c r="C140" s="5" t="inlineStr">
        <is>
          <t>Dil Dhadakne Do</t>
        </is>
      </c>
      <c r="D140" s="17" t="n">
        <v>2015</v>
      </c>
      <c r="E140" s="5" t="inlineStr">
        <is>
          <t>Anil Kapoor</t>
        </is>
      </c>
      <c r="F140" s="5" t="inlineStr">
        <is>
          <t>Kamal Mehra</t>
        </is>
      </c>
      <c r="G140" s="5" t="inlineStr">
        <is>
          <t>Co-lead</t>
        </is>
      </c>
      <c r="H140" s="5" t="inlineStr">
        <is>
          <t>Major</t>
        </is>
      </c>
      <c r="I140" s="5" t="inlineStr">
        <is>
          <t>Owner of Pluto, the narrating dog</t>
        </is>
      </c>
      <c r="J140" s="5" t="inlineStr">
        <is>
          <t>Not applicable</t>
        </is>
      </c>
      <c r="K140" s="19" t="inlineStr">
        <is>
          <t>The patriarch of the wealthy, dysfunctional Mehra family.</t>
        </is>
      </c>
      <c r="L140" s="5" t="inlineStr">
        <is>
          <t>Filmfare Award for Best Supporting Actor</t>
        </is>
      </c>
      <c r="M140" s="5" t="inlineStr">
        <is>
          <t>SOURCE-054</t>
        </is>
      </c>
    </row>
    <row r="141" ht="19" customHeight="1">
      <c r="A141" s="15" t="inlineStr">
        <is>
          <t>CAST-140</t>
        </is>
      </c>
      <c r="B141" s="18" t="inlineStr">
        <is>
          <t>FILM-048</t>
        </is>
      </c>
      <c r="C141" s="5" t="inlineStr">
        <is>
          <t>Dil Dhadakne Do</t>
        </is>
      </c>
      <c r="D141" s="17" t="n">
        <v>2015</v>
      </c>
      <c r="E141" s="5" t="inlineStr">
        <is>
          <t>Priyanka Chopra</t>
        </is>
      </c>
      <c r="F141" s="5" t="inlineStr">
        <is>
          <t>Ayesha Mehra</t>
        </is>
      </c>
      <c r="G141" s="5" t="inlineStr">
        <is>
          <t>Co-lead</t>
        </is>
      </c>
      <c r="H141" s="5" t="inlineStr">
        <is>
          <t>Major</t>
        </is>
      </c>
      <c r="I141" s="5" t="inlineStr">
        <is>
          <t>Member of Pluto's family</t>
        </is>
      </c>
      <c r="J141" s="5" t="inlineStr">
        <is>
          <t>Not applicable</t>
        </is>
      </c>
      <c r="K141" s="19" t="inlineStr">
        <is>
          <t>The Mehras' daughter.</t>
        </is>
      </c>
      <c r="L141" s="5" t="n"/>
      <c r="M141" s="5" t="inlineStr">
        <is>
          <t>SOURCE-054</t>
        </is>
      </c>
    </row>
    <row r="142" ht="19" customHeight="1">
      <c r="A142" s="15" t="inlineStr">
        <is>
          <t>CAST-141</t>
        </is>
      </c>
      <c r="B142" s="18" t="inlineStr">
        <is>
          <t>FILM-048</t>
        </is>
      </c>
      <c r="C142" s="5" t="inlineStr">
        <is>
          <t>Dil Dhadakne Do</t>
        </is>
      </c>
      <c r="D142" s="17" t="n">
        <v>2015</v>
      </c>
      <c r="E142" s="5" t="inlineStr">
        <is>
          <t>Ranveer Singh</t>
        </is>
      </c>
      <c r="F142" s="5" t="inlineStr">
        <is>
          <t>Kabir Mehra</t>
        </is>
      </c>
      <c r="G142" s="5" t="inlineStr">
        <is>
          <t>Co-lead</t>
        </is>
      </c>
      <c r="H142" s="5" t="inlineStr">
        <is>
          <t>Major</t>
        </is>
      </c>
      <c r="I142" s="5" t="inlineStr">
        <is>
          <t>Member of Pluto's family</t>
        </is>
      </c>
      <c r="J142" s="5" t="inlineStr">
        <is>
          <t>Not applicable</t>
        </is>
      </c>
      <c r="K142" s="19" t="inlineStr">
        <is>
          <t>The Mehras' son.</t>
        </is>
      </c>
      <c r="L142" s="5" t="n"/>
      <c r="M142" s="5" t="inlineStr">
        <is>
          <t>SOURCE-054</t>
        </is>
      </c>
    </row>
    <row r="143" ht="34" customHeight="1">
      <c r="A143" s="15" t="inlineStr">
        <is>
          <t>CAST-142</t>
        </is>
      </c>
      <c r="B143" s="18" t="inlineStr">
        <is>
          <t>FILM-049</t>
        </is>
      </c>
      <c r="C143" s="5" t="inlineStr">
        <is>
          <t>Dangal</t>
        </is>
      </c>
      <c r="D143" s="17" t="n">
        <v>2016</v>
      </c>
      <c r="E143" s="5" t="inlineStr">
        <is>
          <t>Fatima Sana Shaikh</t>
        </is>
      </c>
      <c r="F143" s="5" t="inlineStr">
        <is>
          <t>Geeta Phogat (adult)</t>
        </is>
      </c>
      <c r="G143" s="5" t="inlineStr">
        <is>
          <t>Family</t>
        </is>
      </c>
      <c r="H143" s="5" t="inlineStr">
        <is>
          <t>Major</t>
        </is>
      </c>
      <c r="I143" s="5" t="inlineStr">
        <is>
          <t>Eldest daughter and wrestler he coaches</t>
        </is>
      </c>
      <c r="J143" s="5" t="inlineStr">
        <is>
          <t>Not applicable</t>
        </is>
      </c>
      <c r="K143" s="19" t="inlineStr">
        <is>
          <t>Geeta rebels against her father's methods at the national academy, then wins Commonwealth gold with his guidance.</t>
        </is>
      </c>
      <c r="L143" s="5" t="inlineStr">
        <is>
          <t>News18 Best Debut (Female)</t>
        </is>
      </c>
      <c r="M143" s="5" t="inlineStr">
        <is>
          <t>SOURCE-055</t>
        </is>
      </c>
    </row>
    <row r="144" ht="34" customHeight="1">
      <c r="A144" s="15" t="inlineStr">
        <is>
          <t>CAST-143</t>
        </is>
      </c>
      <c r="B144" s="18" t="inlineStr">
        <is>
          <t>FILM-049</t>
        </is>
      </c>
      <c r="C144" s="5" t="inlineStr">
        <is>
          <t>Dangal</t>
        </is>
      </c>
      <c r="D144" s="17" t="n">
        <v>2016</v>
      </c>
      <c r="E144" s="5" t="inlineStr">
        <is>
          <t>Zaira Wasim</t>
        </is>
      </c>
      <c r="F144" s="5" t="inlineStr">
        <is>
          <t>Geeta Phogat (child)</t>
        </is>
      </c>
      <c r="G144" s="5" t="inlineStr">
        <is>
          <t>Family</t>
        </is>
      </c>
      <c r="H144" s="5" t="inlineStr">
        <is>
          <t>Major</t>
        </is>
      </c>
      <c r="I144" s="5" t="inlineStr">
        <is>
          <t>Eldest daughter</t>
        </is>
      </c>
      <c r="J144" s="5" t="inlineStr">
        <is>
          <t>Not applicable</t>
        </is>
      </c>
      <c r="K144" s="19" t="inlineStr">
        <is>
          <t>Young Geeta, forced into brutal training and village ridicule.</t>
        </is>
      </c>
      <c r="L144" s="5" t="inlineStr">
        <is>
          <t>National Film Award for Best Supporting Actress</t>
        </is>
      </c>
      <c r="M144" s="5" t="inlineStr">
        <is>
          <t>SOURCE-055</t>
        </is>
      </c>
    </row>
    <row r="145" ht="19" customHeight="1">
      <c r="A145" s="15" t="inlineStr">
        <is>
          <t>CAST-144</t>
        </is>
      </c>
      <c r="B145" s="18" t="inlineStr">
        <is>
          <t>FILM-049</t>
        </is>
      </c>
      <c r="C145" s="5" t="inlineStr">
        <is>
          <t>Dangal</t>
        </is>
      </c>
      <c r="D145" s="17" t="n">
        <v>2016</v>
      </c>
      <c r="E145" s="5" t="inlineStr">
        <is>
          <t>Sanya Malhotra</t>
        </is>
      </c>
      <c r="F145" s="5" t="inlineStr">
        <is>
          <t>Babita Kumari (adult)</t>
        </is>
      </c>
      <c r="G145" s="5" t="inlineStr">
        <is>
          <t>Family</t>
        </is>
      </c>
      <c r="H145" s="5" t="inlineStr">
        <is>
          <t>Major</t>
        </is>
      </c>
      <c r="I145" s="5" t="inlineStr">
        <is>
          <t>Second daughter and wrestler</t>
        </is>
      </c>
      <c r="J145" s="5" t="inlineStr">
        <is>
          <t>Not applicable</t>
        </is>
      </c>
      <c r="K145" s="19" t="inlineStr">
        <is>
          <t>Babita, who follows Geeta into international wrestling.</t>
        </is>
      </c>
      <c r="L145" s="5" t="n"/>
      <c r="M145" s="5" t="inlineStr">
        <is>
          <t>SOURCE-055</t>
        </is>
      </c>
    </row>
    <row r="146" ht="34" customHeight="1">
      <c r="A146" s="15" t="inlineStr">
        <is>
          <t>CAST-145</t>
        </is>
      </c>
      <c r="B146" s="18" t="inlineStr">
        <is>
          <t>FILM-049</t>
        </is>
      </c>
      <c r="C146" s="5" t="inlineStr">
        <is>
          <t>Dangal</t>
        </is>
      </c>
      <c r="D146" s="17" t="n">
        <v>2016</v>
      </c>
      <c r="E146" s="5" t="inlineStr">
        <is>
          <t>Aparshakti Khurana</t>
        </is>
      </c>
      <c r="F146" s="5" t="inlineStr">
        <is>
          <t>Omkar Singh Phogat</t>
        </is>
      </c>
      <c r="G146" s="5" t="inlineStr">
        <is>
          <t>Family</t>
        </is>
      </c>
      <c r="H146" s="5" t="inlineStr">
        <is>
          <t>Medium</t>
        </is>
      </c>
      <c r="I146" s="5" t="inlineStr">
        <is>
          <t>Nephew and training partner; narrator</t>
        </is>
      </c>
      <c r="J146" s="5" t="inlineStr">
        <is>
          <t>Not applicable</t>
        </is>
      </c>
      <c r="K146" s="19" t="inlineStr">
        <is>
          <t>The cousin who narrates the story.</t>
        </is>
      </c>
      <c r="L146" s="5" t="inlineStr">
        <is>
          <t>Screen Most Promising Newcomer (Male)</t>
        </is>
      </c>
      <c r="M146" s="5" t="inlineStr">
        <is>
          <t>SOURCE-055</t>
        </is>
      </c>
    </row>
    <row r="147" ht="34" customHeight="1">
      <c r="A147" s="15" t="inlineStr">
        <is>
          <t>CAST-146</t>
        </is>
      </c>
      <c r="B147" s="18" t="inlineStr">
        <is>
          <t>FILM-049</t>
        </is>
      </c>
      <c r="C147" s="5" t="inlineStr">
        <is>
          <t>Dangal</t>
        </is>
      </c>
      <c r="D147" s="17" t="n">
        <v>2016</v>
      </c>
      <c r="E147" s="5" t="inlineStr">
        <is>
          <t>Sakshi Tanwar</t>
        </is>
      </c>
      <c r="F147" s="5" t="inlineStr">
        <is>
          <t>Daya Shobha Kaur</t>
        </is>
      </c>
      <c r="G147" s="5" t="inlineStr">
        <is>
          <t>Family</t>
        </is>
      </c>
      <c r="H147" s="5" t="inlineStr">
        <is>
          <t>Medium</t>
        </is>
      </c>
      <c r="I147" s="5" t="inlineStr">
        <is>
          <t>Wife</t>
        </is>
      </c>
      <c r="J147" s="5" t="inlineStr">
        <is>
          <t>Marriage has minimal narrative weight; no Romances row</t>
        </is>
      </c>
      <c r="K147" s="19" t="inlineStr">
        <is>
          <t>Mahavir's wife, a quiet presence as he trains their daughters.</t>
        </is>
      </c>
      <c r="L147" s="5" t="n"/>
      <c r="M147" s="5" t="inlineStr">
        <is>
          <t>SOURCE-055</t>
        </is>
      </c>
    </row>
    <row r="148" ht="34" customHeight="1">
      <c r="A148" s="15" t="inlineStr">
        <is>
          <t>CAST-147</t>
        </is>
      </c>
      <c r="B148" s="18" t="inlineStr">
        <is>
          <t>FILM-049</t>
        </is>
      </c>
      <c r="C148" s="5" t="inlineStr">
        <is>
          <t>Dangal</t>
        </is>
      </c>
      <c r="D148" s="17" t="n">
        <v>2016</v>
      </c>
      <c r="E148" s="5" t="inlineStr">
        <is>
          <t>Girish Kulkarni</t>
        </is>
      </c>
      <c r="F148" s="5" t="inlineStr">
        <is>
          <t>Pramod Kadam</t>
        </is>
      </c>
      <c r="G148" s="5" t="inlineStr">
        <is>
          <t>Antagonist</t>
        </is>
      </c>
      <c r="H148" s="5" t="inlineStr">
        <is>
          <t>Medium</t>
        </is>
      </c>
      <c r="I148" s="5" t="inlineStr">
        <is>
          <t>National coach who sidelines him</t>
        </is>
      </c>
      <c r="J148" s="5" t="inlineStr">
        <is>
          <t>Not applicable</t>
        </is>
      </c>
      <c r="K148" s="19" t="inlineStr">
        <is>
          <t>The academy coach whose methods undermine Geeta; critics called the role a caricature.</t>
        </is>
      </c>
      <c r="L148" s="5" t="n"/>
      <c r="M148" s="5" t="inlineStr">
        <is>
          <t>SOURCE-055</t>
        </is>
      </c>
    </row>
    <row r="149" ht="34" customHeight="1">
      <c r="A149" s="15" t="inlineStr">
        <is>
          <t>CAST-148</t>
        </is>
      </c>
      <c r="B149" s="18" t="inlineStr">
        <is>
          <t>FILM-050</t>
        </is>
      </c>
      <c r="C149" s="5" t="inlineStr">
        <is>
          <t>Secret Superstar</t>
        </is>
      </c>
      <c r="D149" s="17" t="n">
        <v>2017</v>
      </c>
      <c r="E149" s="5" t="inlineStr">
        <is>
          <t>Zaira Wasim</t>
        </is>
      </c>
      <c r="F149" s="5" t="inlineStr">
        <is>
          <t>Insia "Insu" Malik</t>
        </is>
      </c>
      <c r="G149" s="5" t="inlineStr">
        <is>
          <t>Co-lead</t>
        </is>
      </c>
      <c r="H149" s="5" t="inlineStr">
        <is>
          <t>Major</t>
        </is>
      </c>
      <c r="I149" s="5" t="inlineStr">
        <is>
          <t>Teenage singer he mentors; the film's protagonist</t>
        </is>
      </c>
      <c r="J149" s="5" t="inlineStr">
        <is>
          <t>Not applicable</t>
        </is>
      </c>
      <c r="K149" s="19" t="inlineStr">
        <is>
          <t>A teenage singer whose YouTube songs bring her to Shakti's attention, while she lives with an abusive father.</t>
        </is>
      </c>
      <c r="L149" s="5" t="inlineStr">
        <is>
          <t>Filmfare Best Actress (Critics); Screen Most Promising Newcomer</t>
        </is>
      </c>
      <c r="M149" s="5" t="inlineStr">
        <is>
          <t>SOURCE-056</t>
        </is>
      </c>
    </row>
    <row r="150" ht="34" customHeight="1">
      <c r="A150" s="15" t="inlineStr">
        <is>
          <t>CAST-149</t>
        </is>
      </c>
      <c r="B150" s="18" t="inlineStr">
        <is>
          <t>FILM-050</t>
        </is>
      </c>
      <c r="C150" s="5" t="inlineStr">
        <is>
          <t>Secret Superstar</t>
        </is>
      </c>
      <c r="D150" s="17" t="n">
        <v>2017</v>
      </c>
      <c r="E150" s="5" t="inlineStr">
        <is>
          <t>Meher Vij</t>
        </is>
      </c>
      <c r="F150" s="5" t="inlineStr">
        <is>
          <t>Nazma Malik</t>
        </is>
      </c>
      <c r="G150" s="5" t="inlineStr">
        <is>
          <t>Family</t>
        </is>
      </c>
      <c r="H150" s="5" t="inlineStr">
        <is>
          <t>Major</t>
        </is>
      </c>
      <c r="I150" s="5" t="inlineStr">
        <is>
          <t>Protégée's mother</t>
        </is>
      </c>
      <c r="J150" s="5" t="inlineStr">
        <is>
          <t>Not applicable</t>
        </is>
      </c>
      <c r="K150" s="19" t="inlineStr">
        <is>
          <t>Insia's mother.</t>
        </is>
      </c>
      <c r="L150" s="5" t="inlineStr">
        <is>
          <t>Filmfare Award for Best Supporting Actress</t>
        </is>
      </c>
      <c r="M150" s="5" t="inlineStr">
        <is>
          <t>SOURCE-056</t>
        </is>
      </c>
    </row>
    <row r="151" ht="19" customHeight="1">
      <c r="A151" s="15" t="inlineStr">
        <is>
          <t>CAST-150</t>
        </is>
      </c>
      <c r="B151" s="18" t="inlineStr">
        <is>
          <t>FILM-050</t>
        </is>
      </c>
      <c r="C151" s="5" t="inlineStr">
        <is>
          <t>Secret Superstar</t>
        </is>
      </c>
      <c r="D151" s="17" t="n">
        <v>2017</v>
      </c>
      <c r="E151" s="5" t="inlineStr">
        <is>
          <t>Raj Arjun</t>
        </is>
      </c>
      <c r="F151" s="5" t="inlineStr">
        <is>
          <t>Farookh Malik</t>
        </is>
      </c>
      <c r="G151" s="5" t="inlineStr">
        <is>
          <t>Antagonist</t>
        </is>
      </c>
      <c r="H151" s="5" t="inlineStr">
        <is>
          <t>Major</t>
        </is>
      </c>
      <c r="I151" s="5" t="inlineStr">
        <is>
          <t>Protégée's abusive father</t>
        </is>
      </c>
      <c r="J151" s="5" t="inlineStr">
        <is>
          <t>Not applicable</t>
        </is>
      </c>
      <c r="K151" s="19" t="inlineStr">
        <is>
          <t>Insia's abusive father.</t>
        </is>
      </c>
      <c r="L151" s="5" t="n"/>
      <c r="M151" s="5" t="inlineStr">
        <is>
          <t>SOURCE-056</t>
        </is>
      </c>
    </row>
    <row r="152" ht="34" customHeight="1">
      <c r="A152" s="15" t="inlineStr">
        <is>
          <t>CAST-151</t>
        </is>
      </c>
      <c r="B152" s="18" t="inlineStr">
        <is>
          <t>FILM-051</t>
        </is>
      </c>
      <c r="C152" s="5" t="inlineStr">
        <is>
          <t>Thugs of Hindostan</t>
        </is>
      </c>
      <c r="D152" s="17" t="n">
        <v>2018</v>
      </c>
      <c r="E152" s="5" t="inlineStr">
        <is>
          <t>Amitabh Bachchan</t>
        </is>
      </c>
      <c r="F152" s="5" t="inlineStr">
        <is>
          <t>Khudabaksh "Azaad"</t>
        </is>
      </c>
      <c r="G152" s="5" t="inlineStr">
        <is>
          <t>Co-lead</t>
        </is>
      </c>
      <c r="H152" s="5" t="inlineStr">
        <is>
          <t>Major</t>
        </is>
      </c>
      <c r="I152" s="5" t="inlineStr">
        <is>
          <t>Rebel commander Firangi betrays and then saves</t>
        </is>
      </c>
      <c r="J152" s="5" t="inlineStr">
        <is>
          <t>Adoptive father of Zafira</t>
        </is>
      </c>
      <c r="K152" s="19" t="inlineStr">
        <is>
          <t>The leader of the thugs fighting the East India Company.</t>
        </is>
      </c>
      <c r="L152" s="5" t="n"/>
      <c r="M152" s="5" t="inlineStr">
        <is>
          <t>SOURCE-057</t>
        </is>
      </c>
    </row>
    <row r="153" ht="49" customHeight="1">
      <c r="A153" s="15" t="inlineStr">
        <is>
          <t>CAST-152</t>
        </is>
      </c>
      <c r="B153" s="18" t="inlineStr">
        <is>
          <t>FILM-051</t>
        </is>
      </c>
      <c r="C153" s="5" t="inlineStr">
        <is>
          <t>Thugs of Hindostan</t>
        </is>
      </c>
      <c r="D153" s="17" t="n">
        <v>2018</v>
      </c>
      <c r="E153" s="5" t="inlineStr">
        <is>
          <t>Fatima Sana Shaikh</t>
        </is>
      </c>
      <c r="F153" s="5" t="inlineStr">
        <is>
          <t>Zafira Baig</t>
        </is>
      </c>
      <c r="G153" s="5" t="inlineStr">
        <is>
          <t>Co-lead</t>
        </is>
      </c>
      <c r="H153" s="5" t="inlineStr">
        <is>
          <t>Major</t>
        </is>
      </c>
      <c r="I153" s="5" t="inlineStr">
        <is>
          <t>Warrior he takes a bullet for</t>
        </is>
      </c>
      <c r="J153" s="5" t="inlineStr">
        <is>
          <t>Presented as a love interest in some descriptions; the thread is thinly documented</t>
        </is>
      </c>
      <c r="K153" s="19" t="inlineStr">
        <is>
          <t>A princess-turned-warrior avenging her family and becoming queen.</t>
        </is>
      </c>
      <c r="L153" s="5" t="n"/>
      <c r="M153" s="5" t="inlineStr">
        <is>
          <t>SOURCE-057</t>
        </is>
      </c>
    </row>
    <row r="154" ht="34" customHeight="1">
      <c r="A154" s="15" t="inlineStr">
        <is>
          <t>CAST-153</t>
        </is>
      </c>
      <c r="B154" s="18" t="inlineStr">
        <is>
          <t>FILM-051</t>
        </is>
      </c>
      <c r="C154" s="5" t="inlineStr">
        <is>
          <t>Thugs of Hindostan</t>
        </is>
      </c>
      <c r="D154" s="17" t="n">
        <v>2018</v>
      </c>
      <c r="E154" s="5" t="inlineStr">
        <is>
          <t>Katrina Kaif</t>
        </is>
      </c>
      <c r="F154" s="5" t="inlineStr">
        <is>
          <t>Suraiyya</t>
        </is>
      </c>
      <c r="G154" s="5" t="inlineStr">
        <is>
          <t>Supporting</t>
        </is>
      </c>
      <c r="H154" s="5" t="inlineStr">
        <is>
          <t>Medium</t>
        </is>
      </c>
      <c r="I154" s="5" t="inlineStr">
        <is>
          <t>Dancer who challenges and later escapes with him</t>
        </is>
      </c>
      <c r="J154" s="5" t="inlineStr">
        <is>
          <t>Firangi's flirtation; they sail away together</t>
        </is>
      </c>
      <c r="K154" s="19" t="inlineStr">
        <is>
          <t>A performer who exposes Firangi's disguise and joins the attack on Clive.</t>
        </is>
      </c>
      <c r="L154" s="5" t="n"/>
      <c r="M154" s="5" t="inlineStr">
        <is>
          <t>SOURCE-057</t>
        </is>
      </c>
    </row>
    <row r="155" ht="34" customHeight="1">
      <c r="A155" s="15" t="inlineStr">
        <is>
          <t>CAST-154</t>
        </is>
      </c>
      <c r="B155" s="18" t="inlineStr">
        <is>
          <t>FILM-051</t>
        </is>
      </c>
      <c r="C155" s="5" t="inlineStr">
        <is>
          <t>Thugs of Hindostan</t>
        </is>
      </c>
      <c r="D155" s="17" t="n">
        <v>2018</v>
      </c>
      <c r="E155" s="5" t="inlineStr">
        <is>
          <t>Lloyd Owen</t>
        </is>
      </c>
      <c r="F155" s="5" t="inlineStr">
        <is>
          <t>John Clive</t>
        </is>
      </c>
      <c r="G155" s="5" t="inlineStr">
        <is>
          <t>Antagonist</t>
        </is>
      </c>
      <c r="H155" s="5" t="inlineStr">
        <is>
          <t>Major</t>
        </is>
      </c>
      <c r="I155" s="5" t="inlineStr">
        <is>
          <t>Company officer who employs him as informer</t>
        </is>
      </c>
      <c r="J155" s="5" t="inlineStr">
        <is>
          <t>Not applicable</t>
        </is>
      </c>
      <c r="K155" s="19" t="inlineStr">
        <is>
          <t>The East India Company officer seeking to crush the thugs.</t>
        </is>
      </c>
      <c r="L155" s="5" t="n"/>
      <c r="M155" s="5" t="inlineStr">
        <is>
          <t>SOURCE-057</t>
        </is>
      </c>
    </row>
    <row r="156" ht="19" customHeight="1">
      <c r="A156" s="15" t="inlineStr">
        <is>
          <t>CAST-155</t>
        </is>
      </c>
      <c r="B156" s="18" t="inlineStr">
        <is>
          <t>FILM-051</t>
        </is>
      </c>
      <c r="C156" s="5" t="inlineStr">
        <is>
          <t>Thugs of Hindostan</t>
        </is>
      </c>
      <c r="D156" s="17" t="n">
        <v>2018</v>
      </c>
      <c r="E156" s="5" t="inlineStr">
        <is>
          <t>Mohammed Zeeshan Ayyub</t>
        </is>
      </c>
      <c r="F156" s="5" t="inlineStr">
        <is>
          <t>Shanichar</t>
        </is>
      </c>
      <c r="G156" s="5" t="inlineStr">
        <is>
          <t>Friend</t>
        </is>
      </c>
      <c r="H156" s="5" t="inlineStr">
        <is>
          <t>Medium</t>
        </is>
      </c>
      <c r="I156" s="5" t="inlineStr">
        <is>
          <t>Sidekick</t>
        </is>
      </c>
      <c r="J156" s="5" t="inlineStr">
        <is>
          <t>Not applicable</t>
        </is>
      </c>
      <c r="K156" s="19" t="inlineStr">
        <is>
          <t>Firangi's companion in cons, who escapes with him.</t>
        </is>
      </c>
      <c r="L156" s="5" t="n"/>
      <c r="M156" s="5" t="inlineStr">
        <is>
          <t>SOURCE-057</t>
        </is>
      </c>
    </row>
    <row r="157" ht="34" customHeight="1">
      <c r="A157" s="15" t="inlineStr">
        <is>
          <t>CAST-156</t>
        </is>
      </c>
      <c r="B157" s="18" t="inlineStr">
        <is>
          <t>FILM-052</t>
        </is>
      </c>
      <c r="C157" s="5" t="inlineStr">
        <is>
          <t>Koi Jaane Na</t>
        </is>
      </c>
      <c r="D157" s="17" t="n">
        <v>2021</v>
      </c>
      <c r="E157" s="5" t="inlineStr">
        <is>
          <t>Kunal Kapoor</t>
        </is>
      </c>
      <c r="F157" s="5" t="inlineStr">
        <is>
          <t>Kabir Kapoor</t>
        </is>
      </c>
      <c r="G157" s="5" t="inlineStr">
        <is>
          <t>Co-lead</t>
        </is>
      </c>
      <c r="H157" s="5" t="inlineStr">
        <is>
          <t>Major</t>
        </is>
      </c>
      <c r="I157" s="5" t="inlineStr">
        <is>
          <t>No interaction; Aamir Khan appears only in a song</t>
        </is>
      </c>
      <c r="J157" s="5" t="inlineStr">
        <is>
          <t>Not applicable</t>
        </is>
      </c>
      <c r="K157" s="19" t="inlineStr">
        <is>
          <t>The lead of the psychological thriller.</t>
        </is>
      </c>
      <c r="L157" s="5" t="n"/>
      <c r="M157" s="5" t="inlineStr">
        <is>
          <t>SOURCE-058</t>
        </is>
      </c>
    </row>
    <row r="158" ht="34" customHeight="1">
      <c r="A158" s="15" t="inlineStr">
        <is>
          <t>CAST-157</t>
        </is>
      </c>
      <c r="B158" s="18" t="inlineStr">
        <is>
          <t>FILM-053</t>
        </is>
      </c>
      <c r="C158" s="5" t="inlineStr">
        <is>
          <t>Laal Singh Chaddha</t>
        </is>
      </c>
      <c r="D158" s="17" t="n">
        <v>2022</v>
      </c>
      <c r="E158" s="5" t="inlineStr">
        <is>
          <t>Naga Chaitanya</t>
        </is>
      </c>
      <c r="F158" s="5" t="inlineStr">
        <is>
          <t>Naik Balaraju "Bala" Bodi</t>
        </is>
      </c>
      <c r="G158" s="5" t="inlineStr">
        <is>
          <t>Friend</t>
        </is>
      </c>
      <c r="H158" s="5" t="inlineStr">
        <is>
          <t>Major</t>
        </is>
      </c>
      <c r="I158" s="5" t="inlineStr">
        <is>
          <t>Army comrade and closest friend</t>
        </is>
      </c>
      <c r="J158" s="5" t="inlineStr">
        <is>
          <t>Not applicable</t>
        </is>
      </c>
      <c r="K158" s="19" t="inlineStr">
        <is>
          <t>Laal's army friend, whose death he grieves and after whom he first names his business.</t>
        </is>
      </c>
      <c r="L158" s="5" t="n"/>
      <c r="M158" s="5" t="inlineStr">
        <is>
          <t>SOURCE-059</t>
        </is>
      </c>
    </row>
    <row r="159" ht="19" customHeight="1">
      <c r="A159" s="15" t="inlineStr">
        <is>
          <t>CAST-158</t>
        </is>
      </c>
      <c r="B159" s="18" t="inlineStr">
        <is>
          <t>FILM-053</t>
        </is>
      </c>
      <c r="C159" s="5" t="inlineStr">
        <is>
          <t>Laal Singh Chaddha</t>
        </is>
      </c>
      <c r="D159" s="17" t="n">
        <v>2022</v>
      </c>
      <c r="E159" s="5" t="inlineStr">
        <is>
          <t>Mona Singh</t>
        </is>
      </c>
      <c r="F159" s="5" t="inlineStr">
        <is>
          <t>Gurpreet Kaur Chaddha</t>
        </is>
      </c>
      <c r="G159" s="5" t="inlineStr">
        <is>
          <t>Family</t>
        </is>
      </c>
      <c r="H159" s="5" t="inlineStr">
        <is>
          <t>Major</t>
        </is>
      </c>
      <c r="I159" s="5" t="inlineStr">
        <is>
          <t>Mother</t>
        </is>
      </c>
      <c r="J159" s="5" t="inlineStr">
        <is>
          <t>Not applicable</t>
        </is>
      </c>
      <c r="K159" s="19" t="inlineStr">
        <is>
          <t>The mother whose belief in Laal shapes his confidence.</t>
        </is>
      </c>
      <c r="L159" s="5" t="n"/>
      <c r="M159" s="5" t="inlineStr">
        <is>
          <t>SOURCE-059</t>
        </is>
      </c>
    </row>
    <row r="160" ht="34" customHeight="1">
      <c r="A160" s="15" t="inlineStr">
        <is>
          <t>CAST-159</t>
        </is>
      </c>
      <c r="B160" s="18" t="inlineStr">
        <is>
          <t>FILM-053</t>
        </is>
      </c>
      <c r="C160" s="5" t="inlineStr">
        <is>
          <t>Laal Singh Chaddha</t>
        </is>
      </c>
      <c r="D160" s="17" t="n">
        <v>2022</v>
      </c>
      <c r="E160" s="5" t="inlineStr">
        <is>
          <t>Manav Vij</t>
        </is>
      </c>
      <c r="F160" s="5" t="inlineStr">
        <is>
          <t>Muhammad Yakoob (Muhammad Paji)</t>
        </is>
      </c>
      <c r="G160" s="5" t="inlineStr">
        <is>
          <t>Friend</t>
        </is>
      </c>
      <c r="H160" s="5" t="inlineStr">
        <is>
          <t>Medium</t>
        </is>
      </c>
      <c r="I160" s="5" t="inlineStr">
        <is>
          <t>Pakistani officer he saves, who later befriends him</t>
        </is>
      </c>
      <c r="J160" s="5" t="inlineStr">
        <is>
          <t>Not applicable</t>
        </is>
      </c>
      <c r="K160" s="19" t="inlineStr">
        <is>
          <t>An enemy commander rescued by Laal who becomes his friend; a plot change cited in the boycott campaign.</t>
        </is>
      </c>
      <c r="L160" s="5" t="n"/>
      <c r="M160" s="5" t="inlineStr">
        <is>
          <t>SOURCE-059</t>
        </is>
      </c>
    </row>
    <row r="161" ht="19" customHeight="1">
      <c r="A161" s="15" t="inlineStr">
        <is>
          <t>CAST-160</t>
        </is>
      </c>
      <c r="B161" s="18" t="inlineStr">
        <is>
          <t>FILM-053</t>
        </is>
      </c>
      <c r="C161" s="5" t="inlineStr">
        <is>
          <t>Laal Singh Chaddha</t>
        </is>
      </c>
      <c r="D161" s="17" t="n">
        <v>2022</v>
      </c>
      <c r="E161" s="5" t="inlineStr">
        <is>
          <t>Rohaan Singh</t>
        </is>
      </c>
      <c r="F161" s="5" t="inlineStr">
        <is>
          <t>Aman Chaddha</t>
        </is>
      </c>
      <c r="G161" s="5" t="inlineStr">
        <is>
          <t>Family</t>
        </is>
      </c>
      <c r="H161" s="5" t="inlineStr">
        <is>
          <t>Minor</t>
        </is>
      </c>
      <c r="I161" s="5" t="inlineStr">
        <is>
          <t>Son</t>
        </is>
      </c>
      <c r="J161" s="5" t="inlineStr">
        <is>
          <t>Child of Laal and Rupa</t>
        </is>
      </c>
      <c r="K161" s="19" t="inlineStr">
        <is>
          <t>The son Laal raises after Rupa's death.</t>
        </is>
      </c>
      <c r="L161" s="5" t="n"/>
      <c r="M161" s="5" t="inlineStr">
        <is>
          <t>SOURCE-059</t>
        </is>
      </c>
    </row>
    <row r="162" ht="34" customHeight="1">
      <c r="A162" s="15" t="inlineStr">
        <is>
          <t>CAST-161</t>
        </is>
      </c>
      <c r="B162" s="18" t="inlineStr">
        <is>
          <t>FILM-054</t>
        </is>
      </c>
      <c r="C162" s="5" t="inlineStr">
        <is>
          <t>Salaam Venky</t>
        </is>
      </c>
      <c r="D162" s="17" t="n">
        <v>2022</v>
      </c>
      <c r="E162" s="5" t="inlineStr">
        <is>
          <t>Kajol</t>
        </is>
      </c>
      <c r="F162" s="5" t="inlineStr">
        <is>
          <t>Kolavennu Sujata Krishnan</t>
        </is>
      </c>
      <c r="G162" s="5" t="inlineStr">
        <is>
          <t>Co-lead</t>
        </is>
      </c>
      <c r="H162" s="5" t="inlineStr">
        <is>
          <t>Major</t>
        </is>
      </c>
      <c r="I162" s="5" t="inlineStr">
        <is>
          <t>Sees Aamir Khan's cameo figure as an illusion</t>
        </is>
      </c>
      <c r="J162" s="5" t="inlineStr">
        <is>
          <t>Not applicable</t>
        </is>
      </c>
      <c r="K162" s="19" t="inlineStr">
        <is>
          <t>The mother at the centre of the true story of Kolavennu Venkatesh.</t>
        </is>
      </c>
      <c r="L162" s="5" t="n"/>
      <c r="M162" s="5" t="inlineStr">
        <is>
          <t>SOURCE-060</t>
        </is>
      </c>
    </row>
    <row r="163" ht="34" customHeight="1">
      <c r="A163" s="15" t="inlineStr">
        <is>
          <t>CAST-162</t>
        </is>
      </c>
      <c r="B163" s="18" t="inlineStr">
        <is>
          <t>FILM-054</t>
        </is>
      </c>
      <c r="C163" s="5" t="inlineStr">
        <is>
          <t>Salaam Venky</t>
        </is>
      </c>
      <c r="D163" s="17" t="n">
        <v>2022</v>
      </c>
      <c r="E163" s="5" t="inlineStr">
        <is>
          <t>Vishal Jethwa</t>
        </is>
      </c>
      <c r="F163" s="5" t="inlineStr">
        <is>
          <t>Kolavennu Venkatesh "Venky"</t>
        </is>
      </c>
      <c r="G163" s="5" t="inlineStr">
        <is>
          <t>Co-lead</t>
        </is>
      </c>
      <c r="H163" s="5" t="inlineStr">
        <is>
          <t>Major</t>
        </is>
      </c>
      <c r="I163" s="5" t="inlineStr">
        <is>
          <t>No interaction documented</t>
        </is>
      </c>
      <c r="J163" s="5" t="inlineStr">
        <is>
          <t>Not applicable</t>
        </is>
      </c>
      <c r="K163" s="19" t="inlineStr">
        <is>
          <t>The young man whose true story the film tells.</t>
        </is>
      </c>
      <c r="L163" s="5" t="n"/>
      <c r="M163" s="5" t="inlineStr">
        <is>
          <t>SOURCE-060</t>
        </is>
      </c>
    </row>
    <row r="164" ht="19" customHeight="1">
      <c r="A164" s="15" t="inlineStr">
        <is>
          <t>CAST-163</t>
        </is>
      </c>
      <c r="B164" s="18" t="inlineStr">
        <is>
          <t>FILM-055</t>
        </is>
      </c>
      <c r="C164" s="5" t="inlineStr">
        <is>
          <t>Sitaare Zameen Par</t>
        </is>
      </c>
      <c r="D164" s="17" t="n">
        <v>2025</v>
      </c>
      <c r="E164" s="5" t="inlineStr">
        <is>
          <t>Aroush Datta</t>
        </is>
      </c>
      <c r="F164" s="5" t="inlineStr">
        <is>
          <t>Satbir</t>
        </is>
      </c>
      <c r="G164" s="5" t="inlineStr">
        <is>
          <t>Supporting</t>
        </is>
      </c>
      <c r="H164" s="5" t="inlineStr">
        <is>
          <t>Medium</t>
        </is>
      </c>
      <c r="I164" s="5" t="inlineStr">
        <is>
          <t>Player on the team he coaches</t>
        </is>
      </c>
      <c r="J164" s="5" t="inlineStr">
        <is>
          <t>Not applicable</t>
        </is>
      </c>
      <c r="K164" s="19" t="inlineStr">
        <is>
          <t>A member of the intellectually disabled basketball team.</t>
        </is>
      </c>
      <c r="L164" s="5" t="n"/>
      <c r="M164" s="5" t="inlineStr">
        <is>
          <t>SOURCE-061</t>
        </is>
      </c>
    </row>
    <row r="165" ht="34" customHeight="1">
      <c r="A165" s="15" t="inlineStr">
        <is>
          <t>CAST-164</t>
        </is>
      </c>
      <c r="B165" s="18" t="inlineStr">
        <is>
          <t>FILM-055</t>
        </is>
      </c>
      <c r="C165" s="5" t="inlineStr">
        <is>
          <t>Sitaare Zameen Par</t>
        </is>
      </c>
      <c r="D165" s="17" t="n">
        <v>2025</v>
      </c>
      <c r="E165" s="5" t="inlineStr">
        <is>
          <t>Gopi Krishnan Varma</t>
        </is>
      </c>
      <c r="F165" s="5" t="inlineStr">
        <is>
          <t>Guddu</t>
        </is>
      </c>
      <c r="G165" s="5" t="inlineStr">
        <is>
          <t>Supporting</t>
        </is>
      </c>
      <c r="H165" s="5" t="inlineStr">
        <is>
          <t>Medium</t>
        </is>
      </c>
      <c r="I165" s="5" t="inlineStr">
        <is>
          <t>Player he helps overcome a fear of bathing</t>
        </is>
      </c>
      <c r="J165" s="5" t="inlineStr">
        <is>
          <t>Not applicable</t>
        </is>
      </c>
      <c r="K165" s="19" t="inlineStr">
        <is>
          <t>The player whose phobia provides Gulshan's turning point.</t>
        </is>
      </c>
      <c r="L165" s="5" t="n"/>
      <c r="M165" s="5" t="inlineStr">
        <is>
          <t>SOURCE-061</t>
        </is>
      </c>
    </row>
    <row r="166" ht="19" customHeight="1">
      <c r="A166" s="15" t="inlineStr">
        <is>
          <t>CAST-165</t>
        </is>
      </c>
      <c r="B166" s="18" t="inlineStr">
        <is>
          <t>FILM-055</t>
        </is>
      </c>
      <c r="C166" s="5" t="inlineStr">
        <is>
          <t>Sitaare Zameen Par</t>
        </is>
      </c>
      <c r="D166" s="17" t="n">
        <v>2025</v>
      </c>
      <c r="E166" s="5" t="inlineStr">
        <is>
          <t>Simran Mangeshkar</t>
        </is>
      </c>
      <c r="F166" s="5" t="inlineStr">
        <is>
          <t>Golu Khan</t>
        </is>
      </c>
      <c r="G166" s="5" t="inlineStr">
        <is>
          <t>Supporting</t>
        </is>
      </c>
      <c r="H166" s="5" t="inlineStr">
        <is>
          <t>Medium</t>
        </is>
      </c>
      <c r="I166" s="5" t="inlineStr">
        <is>
          <t>Player on the team</t>
        </is>
      </c>
      <c r="J166" s="5" t="inlineStr">
        <is>
          <t>Not applicable</t>
        </is>
      </c>
      <c r="K166" s="19" t="inlineStr">
        <is>
          <t>A charismatic late addition to the team.</t>
        </is>
      </c>
      <c r="L166" s="5" t="n"/>
      <c r="M166" s="5" t="inlineStr">
        <is>
          <t>SOURCE-061</t>
        </is>
      </c>
    </row>
    <row r="167" ht="19" customHeight="1">
      <c r="A167" s="15" t="inlineStr">
        <is>
          <t>CAST-166</t>
        </is>
      </c>
      <c r="B167" s="18" t="inlineStr">
        <is>
          <t>FILM-055</t>
        </is>
      </c>
      <c r="C167" s="5" t="inlineStr">
        <is>
          <t>Sitaare Zameen Par</t>
        </is>
      </c>
      <c r="D167" s="17" t="n">
        <v>2025</v>
      </c>
      <c r="E167" s="5" t="inlineStr">
        <is>
          <t>Dolly Ahluwalia</t>
        </is>
      </c>
      <c r="F167" s="5" t="inlineStr">
        <is>
          <t>Preeto</t>
        </is>
      </c>
      <c r="G167" s="5" t="inlineStr">
        <is>
          <t>Family</t>
        </is>
      </c>
      <c r="H167" s="5" t="inlineStr">
        <is>
          <t>Minor</t>
        </is>
      </c>
      <c r="I167" s="5" t="inlineStr">
        <is>
          <t>Mother</t>
        </is>
      </c>
      <c r="J167" s="5" t="inlineStr">
        <is>
          <t>Not documented</t>
        </is>
      </c>
      <c r="K167" s="19" t="inlineStr">
        <is>
          <t>Gulshan's mother.</t>
        </is>
      </c>
      <c r="L167" s="5" t="n"/>
      <c r="M167" s="5" t="inlineStr">
        <is>
          <t>SOURCE-061</t>
        </is>
      </c>
    </row>
    <row r="168" ht="34" customHeight="1">
      <c r="A168" s="15" t="inlineStr">
        <is>
          <t>CAST-167</t>
        </is>
      </c>
      <c r="B168" s="18" t="inlineStr">
        <is>
          <t>FILM-056</t>
        </is>
      </c>
      <c r="C168" s="5" t="inlineStr">
        <is>
          <t>Coolie</t>
        </is>
      </c>
      <c r="D168" s="17" t="n">
        <v>2025</v>
      </c>
      <c r="E168" s="5" t="inlineStr">
        <is>
          <t>Rajinikanth</t>
        </is>
      </c>
      <c r="F168" s="5" t="inlineStr">
        <is>
          <t>Devaraj "Deva"</t>
        </is>
      </c>
      <c r="G168" s="5" t="inlineStr">
        <is>
          <t>Co-lead</t>
        </is>
      </c>
      <c r="H168" s="5" t="inlineStr">
        <is>
          <t>Major</t>
        </is>
      </c>
      <c r="I168" s="5" t="inlineStr">
        <is>
          <t>Lead of the film in which Aamir Khan makes a cameo</t>
        </is>
      </c>
      <c r="J168" s="5" t="inlineStr">
        <is>
          <t>Not applicable</t>
        </is>
      </c>
      <c r="K168" s="19" t="inlineStr">
        <is>
          <t>The hero of Lokesh Kanagaraj's action thriller.</t>
        </is>
      </c>
      <c r="L168" s="5" t="n"/>
      <c r="M168" s="5" t="inlineStr">
        <is>
          <t>SOURCE-062</t>
        </is>
      </c>
    </row>
    <row r="169" ht="34" customHeight="1">
      <c r="A169" s="15" t="inlineStr">
        <is>
          <t>CAST-168</t>
        </is>
      </c>
      <c r="B169" s="18" t="inlineStr">
        <is>
          <t>FILM-057</t>
        </is>
      </c>
      <c r="C169" s="5" t="inlineStr">
        <is>
          <t>Happy Patel: Khatarnak Jasoos</t>
        </is>
      </c>
      <c r="D169" s="17" t="n">
        <v>2026</v>
      </c>
      <c r="E169" s="5" t="inlineStr">
        <is>
          <t>Vir Das</t>
        </is>
      </c>
      <c r="F169" s="5" t="inlineStr">
        <is>
          <t>Happy Patel</t>
        </is>
      </c>
      <c r="G169" s="5" t="inlineStr">
        <is>
          <t>Co-lead</t>
        </is>
      </c>
      <c r="H169" s="5" t="inlineStr">
        <is>
          <t>Major</t>
        </is>
      </c>
      <c r="I169" s="5" t="inlineStr">
        <is>
          <t>Lead of the film in which Aamir Khan makes a cameo</t>
        </is>
      </c>
      <c r="J169" s="5" t="inlineStr">
        <is>
          <t>Not applicable</t>
        </is>
      </c>
      <c r="K169" s="19" t="inlineStr">
        <is>
          <t>The title character of the spy comedy; Das also co-directed.</t>
        </is>
      </c>
      <c r="L169" s="5" t="n"/>
      <c r="M169" s="5" t="inlineStr">
        <is>
          <t>SOURCE-063</t>
        </is>
      </c>
    </row>
    <row r="170" ht="34" customHeight="1">
      <c r="A170" s="15" t="inlineStr">
        <is>
          <t>CAST-169</t>
        </is>
      </c>
      <c r="B170" s="18" t="inlineStr">
        <is>
          <t>FILM-057</t>
        </is>
      </c>
      <c r="C170" s="5" t="inlineStr">
        <is>
          <t>Happy Patel: Khatarnak Jasoos</t>
        </is>
      </c>
      <c r="D170" s="17" t="n">
        <v>2026</v>
      </c>
      <c r="E170" s="5" t="inlineStr">
        <is>
          <t>Mona Singh</t>
        </is>
      </c>
      <c r="F170" s="5" t="inlineStr">
        <is>
          <t>Mama</t>
        </is>
      </c>
      <c r="G170" s="5" t="inlineStr">
        <is>
          <t>Supporting</t>
        </is>
      </c>
      <c r="H170" s="5" t="inlineStr">
        <is>
          <t>Medium</t>
        </is>
      </c>
      <c r="I170" s="5" t="inlineStr">
        <is>
          <t>No interaction documented</t>
        </is>
      </c>
      <c r="J170" s="5" t="inlineStr">
        <is>
          <t>Not applicable</t>
        </is>
      </c>
      <c r="K170" s="19" t="inlineStr">
        <is>
          <t>A principal supporting role in the spy comedy.</t>
        </is>
      </c>
      <c r="L170" s="5" t="n"/>
      <c r="M170" s="5" t="inlineStr">
        <is>
          <t>SOURCE-063</t>
        </is>
      </c>
    </row>
  </sheetData>
  <autoFilter ref="A1:M170"/>
  <dataValidations count="2">
    <dataValidation sqref="G2:G370" showDropDown="0" showInputMessage="0" showErrorMessage="1" allowBlank="1" errorTitle="Cast Function" error="Choose a value from the list." type="list">
      <formula1>"Co-lead,Supporting,Antagonist,Mentor,Family,Friend,Comic support,Romantic rival,Authority figure,Cameo,Self appearance"</formula1>
    </dataValidation>
    <dataValidation sqref="H2:H370" showDropDown="0" showInputMessage="0" showErrorMessage="1" allowBlank="1" errorTitle="Importance Level" error="Choose a value from the list." type="list">
      <formula1>"Major,Medium,Minor"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6" customWidth="1" min="5" max="5"/>
    <col width="30" customWidth="1" min="6" max="6"/>
    <col width="24" customWidth="1" min="7" max="7"/>
    <col width="16" customWidth="1" min="8" max="8"/>
    <col width="14" customWidth="1" min="9" max="9"/>
    <col width="14" customWidth="1" min="10" max="10"/>
    <col width="36" customWidth="1" min="11" max="11"/>
    <col width="22" customWidth="1" min="12" max="12"/>
    <col width="12" customWidth="1" min="13" max="13"/>
  </cols>
  <sheetData>
    <row r="1" ht="36" customHeight="1">
      <c r="A1" s="12" t="inlineStr">
        <is>
          <t>Award ID</t>
        </is>
      </c>
      <c r="B1" s="12" t="inlineStr">
        <is>
          <t>Film ID</t>
        </is>
      </c>
      <c r="C1" s="12" t="inlineStr">
        <is>
          <t>Film</t>
        </is>
      </c>
      <c r="D1" s="12" t="inlineStr">
        <is>
          <t>Ceremony Year</t>
        </is>
      </c>
      <c r="E1" s="12" t="inlineStr">
        <is>
          <t>Award Organization</t>
        </is>
      </c>
      <c r="F1" s="12" t="inlineStr">
        <is>
          <t>Category</t>
        </is>
      </c>
      <c r="G1" s="12" t="inlineStr">
        <is>
          <t>Recipient</t>
        </is>
      </c>
      <c r="H1" s="12" t="inlineStr">
        <is>
          <t>Recipient Type</t>
        </is>
      </c>
      <c r="I1" s="12" t="inlineStr">
        <is>
          <t>Win or Nomination</t>
        </is>
      </c>
      <c r="J1" s="12" t="inlineStr">
        <is>
          <t>Competitive or Honorary</t>
        </is>
      </c>
      <c r="K1" s="12" t="inlineStr">
        <is>
          <t>Notes</t>
        </is>
      </c>
      <c r="L1" s="12" t="inlineStr">
        <is>
          <t>Source IDs</t>
        </is>
      </c>
      <c r="M1" s="12" t="inlineStr">
        <is>
          <t>Confidence Grade</t>
        </is>
      </c>
    </row>
    <row r="2" ht="49" customHeight="1">
      <c r="A2" s="15" t="inlineStr">
        <is>
          <t>AWARD-001</t>
        </is>
      </c>
      <c r="B2" s="18" t="inlineStr">
        <is>
          <t>FILM-004</t>
        </is>
      </c>
      <c r="C2" s="5" t="inlineStr">
        <is>
          <t>Qayamat Se Qayamat Tak</t>
        </is>
      </c>
      <c r="D2" s="17" t="n">
        <v>1989</v>
      </c>
      <c r="E2" s="5" t="inlineStr">
        <is>
          <t>National Film Awards (36th)</t>
        </is>
      </c>
      <c r="F2" s="5" t="inlineStr">
        <is>
          <t>Best Popular Film Providing Wholesome Entertainment</t>
        </is>
      </c>
      <c r="G2" s="5" t="inlineStr">
        <is>
          <t>Nasir Hussain Films (producer); Mansoor Khan (director)</t>
        </is>
      </c>
      <c r="H2" s="5" t="inlineStr">
        <is>
          <t>Film</t>
        </is>
      </c>
      <c r="I2" s="5" t="inlineStr">
        <is>
          <t>Win</t>
        </is>
      </c>
      <c r="J2" s="5" t="inlineStr">
        <is>
          <t>Competitive</t>
        </is>
      </c>
      <c r="K2" s="5" t="inlineStr">
        <is>
          <t>Citation: 'For presenting fresh and clean charm on celluloid with discerning imagination.'</t>
        </is>
      </c>
      <c r="L2" s="5" t="inlineStr">
        <is>
          <t>SOURCE-067; SOURCE-007</t>
        </is>
      </c>
      <c r="M2" s="5" t="inlineStr">
        <is>
          <t>High</t>
        </is>
      </c>
    </row>
    <row r="3" ht="79" customHeight="1">
      <c r="A3" s="15" t="inlineStr">
        <is>
          <t>AWARD-002</t>
        </is>
      </c>
      <c r="B3" s="18" t="inlineStr">
        <is>
          <t>FILM-004</t>
        </is>
      </c>
      <c r="C3" s="5" t="inlineStr">
        <is>
          <t>Qayamat Se Qayamat Tak</t>
        </is>
      </c>
      <c r="D3" s="17" t="n">
        <v>1989</v>
      </c>
      <c r="E3" s="5" t="inlineStr">
        <is>
          <t>National Film Awards (36th)</t>
        </is>
      </c>
      <c r="F3" s="5" t="inlineStr">
        <is>
          <t>Special Mention (Feature Film)</t>
        </is>
      </c>
      <c r="G3" s="5" t="inlineStr">
        <is>
          <t>Aamir Khan</t>
        </is>
      </c>
      <c r="H3" s="5" t="inlineStr">
        <is>
          <t>Actor</t>
        </is>
      </c>
      <c r="I3" s="5" t="inlineStr">
        <is>
          <t>Win</t>
        </is>
      </c>
      <c r="J3" s="5" t="inlineStr">
        <is>
          <t>Competitive</t>
        </is>
      </c>
      <c r="K3" s="5" t="inlineStr">
        <is>
          <t>Certificate only. A single citation covering his performances in Qayamat Se Qayamat Tak and Raakh: 'For the imaginative, innovative and promising performance of character roles in the films.'</t>
        </is>
      </c>
      <c r="L3" s="5" t="inlineStr">
        <is>
          <t>SOURCE-067; SOURCE-008</t>
        </is>
      </c>
      <c r="M3" s="5" t="inlineStr">
        <is>
          <t>High</t>
        </is>
      </c>
    </row>
    <row r="4" ht="19" customHeight="1">
      <c r="A4" s="15" t="inlineStr">
        <is>
          <t>AWARD-003</t>
        </is>
      </c>
      <c r="B4" s="18" t="inlineStr">
        <is>
          <t>FILM-005</t>
        </is>
      </c>
      <c r="C4" s="5" t="inlineStr">
        <is>
          <t>Raakh</t>
        </is>
      </c>
      <c r="D4" s="17" t="n">
        <v>1989</v>
      </c>
      <c r="E4" s="5" t="inlineStr">
        <is>
          <t>National Film Awards (36th)</t>
        </is>
      </c>
      <c r="F4" s="5" t="inlineStr">
        <is>
          <t>Best Supporting Actor</t>
        </is>
      </c>
      <c r="G4" s="5" t="inlineStr">
        <is>
          <t>Pankaj Kapur</t>
        </is>
      </c>
      <c r="H4" s="5" t="inlineStr">
        <is>
          <t>Actor</t>
        </is>
      </c>
      <c r="I4" s="5" t="inlineStr">
        <is>
          <t>Win</t>
        </is>
      </c>
      <c r="J4" s="5" t="inlineStr">
        <is>
          <t>Competitive</t>
        </is>
      </c>
      <c r="K4" s="5" t="n"/>
      <c r="L4" s="5" t="inlineStr">
        <is>
          <t>SOURCE-067; SOURCE-008</t>
        </is>
      </c>
      <c r="M4" s="5" t="inlineStr">
        <is>
          <t>High</t>
        </is>
      </c>
    </row>
    <row r="5" ht="19" customHeight="1">
      <c r="A5" s="15" t="inlineStr">
        <is>
          <t>AWARD-004</t>
        </is>
      </c>
      <c r="B5" s="18" t="inlineStr">
        <is>
          <t>FILM-005</t>
        </is>
      </c>
      <c r="C5" s="5" t="inlineStr">
        <is>
          <t>Raakh</t>
        </is>
      </c>
      <c r="D5" s="17" t="n">
        <v>1989</v>
      </c>
      <c r="E5" s="5" t="inlineStr">
        <is>
          <t>National Film Awards (36th)</t>
        </is>
      </c>
      <c r="F5" s="5" t="inlineStr">
        <is>
          <t>Best Editing</t>
        </is>
      </c>
      <c r="G5" s="5" t="inlineStr">
        <is>
          <t>A. Sreekar Prasad</t>
        </is>
      </c>
      <c r="H5" s="5" t="inlineStr">
        <is>
          <t>Editor</t>
        </is>
      </c>
      <c r="I5" s="5" t="inlineStr">
        <is>
          <t>Win</t>
        </is>
      </c>
      <c r="J5" s="5" t="inlineStr">
        <is>
          <t>Competitive</t>
        </is>
      </c>
      <c r="K5" s="5" t="n"/>
      <c r="L5" s="5" t="inlineStr">
        <is>
          <t>SOURCE-067; SOURCE-008</t>
        </is>
      </c>
      <c r="M5" s="5" t="inlineStr">
        <is>
          <t>High</t>
        </is>
      </c>
    </row>
    <row r="6" ht="19" customHeight="1">
      <c r="A6" s="15" t="inlineStr">
        <is>
          <t>AWARD-005</t>
        </is>
      </c>
      <c r="B6" s="18" t="inlineStr">
        <is>
          <t>FILM-004</t>
        </is>
      </c>
      <c r="C6" s="5" t="inlineStr">
        <is>
          <t>Qayamat Se Qayamat Tak</t>
        </is>
      </c>
      <c r="D6" s="17" t="n">
        <v>1989</v>
      </c>
      <c r="E6" s="5" t="inlineStr">
        <is>
          <t>Filmfare Awards (34th)</t>
        </is>
      </c>
      <c r="F6" s="5" t="inlineStr">
        <is>
          <t>Best Film</t>
        </is>
      </c>
      <c r="G6" s="5" t="inlineStr">
        <is>
          <t>Nasir Hussain</t>
        </is>
      </c>
      <c r="H6" s="5" t="inlineStr">
        <is>
          <t>Producer</t>
        </is>
      </c>
      <c r="I6" s="5" t="inlineStr">
        <is>
          <t>Win</t>
        </is>
      </c>
      <c r="J6" s="5" t="inlineStr">
        <is>
          <t>Competitive</t>
        </is>
      </c>
      <c r="K6" s="5" t="n"/>
      <c r="L6" s="5" t="inlineStr">
        <is>
          <t>SOURCE-007; SOURCE-075</t>
        </is>
      </c>
      <c r="M6" s="5" t="inlineStr">
        <is>
          <t>High</t>
        </is>
      </c>
    </row>
    <row r="7" ht="19" customHeight="1">
      <c r="A7" s="15" t="inlineStr">
        <is>
          <t>AWARD-006</t>
        </is>
      </c>
      <c r="B7" s="18" t="inlineStr">
        <is>
          <t>FILM-004</t>
        </is>
      </c>
      <c r="C7" s="5" t="inlineStr">
        <is>
          <t>Qayamat Se Qayamat Tak</t>
        </is>
      </c>
      <c r="D7" s="17" t="n">
        <v>1989</v>
      </c>
      <c r="E7" s="5" t="inlineStr">
        <is>
          <t>Filmfare Awards (34th)</t>
        </is>
      </c>
      <c r="F7" s="5" t="inlineStr">
        <is>
          <t>Best Director</t>
        </is>
      </c>
      <c r="G7" s="5" t="inlineStr">
        <is>
          <t>Mansoor Khan</t>
        </is>
      </c>
      <c r="H7" s="5" t="inlineStr">
        <is>
          <t>Director</t>
        </is>
      </c>
      <c r="I7" s="5" t="inlineStr">
        <is>
          <t>Win</t>
        </is>
      </c>
      <c r="J7" s="5" t="inlineStr">
        <is>
          <t>Competitive</t>
        </is>
      </c>
      <c r="K7" s="5" t="n"/>
      <c r="L7" s="5" t="inlineStr">
        <is>
          <t>SOURCE-007; SOURCE-079</t>
        </is>
      </c>
      <c r="M7" s="5" t="inlineStr">
        <is>
          <t>High</t>
        </is>
      </c>
    </row>
    <row r="8" ht="19" customHeight="1">
      <c r="A8" s="15" t="inlineStr">
        <is>
          <t>AWARD-007</t>
        </is>
      </c>
      <c r="B8" s="18" t="inlineStr">
        <is>
          <t>FILM-004</t>
        </is>
      </c>
      <c r="C8" s="5" t="inlineStr">
        <is>
          <t>Qayamat Se Qayamat Tak</t>
        </is>
      </c>
      <c r="D8" s="17" t="n">
        <v>1989</v>
      </c>
      <c r="E8" s="5" t="inlineStr">
        <is>
          <t>Filmfare Awards (34th)</t>
        </is>
      </c>
      <c r="F8" s="5" t="inlineStr">
        <is>
          <t>Best Actor</t>
        </is>
      </c>
      <c r="G8" s="5" t="inlineStr">
        <is>
          <t>Aamir Khan</t>
        </is>
      </c>
      <c r="H8" s="5" t="inlineStr">
        <is>
          <t>Actor</t>
        </is>
      </c>
      <c r="I8" s="5" t="inlineStr">
        <is>
          <t>Nomination</t>
        </is>
      </c>
      <c r="J8" s="5" t="inlineStr">
        <is>
          <t>Competitive</t>
        </is>
      </c>
      <c r="K8" s="5" t="inlineStr">
        <is>
          <t>Award won by Anil Kapoor.</t>
        </is>
      </c>
      <c r="L8" s="5" t="inlineStr">
        <is>
          <t>SOURCE-066; SOURCE-007</t>
        </is>
      </c>
      <c r="M8" s="5" t="inlineStr">
        <is>
          <t>High</t>
        </is>
      </c>
    </row>
    <row r="9" ht="19" customHeight="1">
      <c r="A9" s="15" t="inlineStr">
        <is>
          <t>AWARD-008</t>
        </is>
      </c>
      <c r="B9" s="18" t="inlineStr">
        <is>
          <t>FILM-004</t>
        </is>
      </c>
      <c r="C9" s="5" t="inlineStr">
        <is>
          <t>Qayamat Se Qayamat Tak</t>
        </is>
      </c>
      <c r="D9" s="17" t="n">
        <v>1989</v>
      </c>
      <c r="E9" s="5" t="inlineStr">
        <is>
          <t>Filmfare Awards (34th)</t>
        </is>
      </c>
      <c r="F9" s="5" t="inlineStr">
        <is>
          <t>Best Male Debut</t>
        </is>
      </c>
      <c r="G9" s="5" t="inlineStr">
        <is>
          <t>Aamir Khan</t>
        </is>
      </c>
      <c r="H9" s="5" t="inlineStr">
        <is>
          <t>Actor</t>
        </is>
      </c>
      <c r="I9" s="5" t="inlineStr">
        <is>
          <t>Win</t>
        </is>
      </c>
      <c r="J9" s="5" t="inlineStr">
        <is>
          <t>Competitive</t>
        </is>
      </c>
      <c r="K9" s="5" t="n"/>
      <c r="L9" s="5" t="inlineStr">
        <is>
          <t>SOURCE-007; SOURCE-003</t>
        </is>
      </c>
      <c r="M9" s="5" t="inlineStr">
        <is>
          <t>High</t>
        </is>
      </c>
    </row>
    <row r="10" ht="19" customHeight="1">
      <c r="A10" s="15" t="inlineStr">
        <is>
          <t>AWARD-009</t>
        </is>
      </c>
      <c r="B10" s="18" t="inlineStr">
        <is>
          <t>FILM-004</t>
        </is>
      </c>
      <c r="C10" s="5" t="inlineStr">
        <is>
          <t>Qayamat Se Qayamat Tak</t>
        </is>
      </c>
      <c r="D10" s="17" t="n">
        <v>1989</v>
      </c>
      <c r="E10" s="5" t="inlineStr">
        <is>
          <t>Filmfare Awards (34th)</t>
        </is>
      </c>
      <c r="F10" s="5" t="inlineStr">
        <is>
          <t>Best Female Debut</t>
        </is>
      </c>
      <c r="G10" s="5" t="inlineStr">
        <is>
          <t>Juhi Chawla</t>
        </is>
      </c>
      <c r="H10" s="5" t="inlineStr">
        <is>
          <t>Actress</t>
        </is>
      </c>
      <c r="I10" s="5" t="inlineStr">
        <is>
          <t>Win</t>
        </is>
      </c>
      <c r="J10" s="5" t="inlineStr">
        <is>
          <t>Competitive</t>
        </is>
      </c>
      <c r="K10" s="5" t="n"/>
      <c r="L10" s="5" t="inlineStr">
        <is>
          <t>SOURCE-007</t>
        </is>
      </c>
      <c r="M10" s="5" t="inlineStr">
        <is>
          <t>High</t>
        </is>
      </c>
    </row>
    <row r="11" ht="19" customHeight="1">
      <c r="A11" s="15" t="inlineStr">
        <is>
          <t>AWARD-010</t>
        </is>
      </c>
      <c r="B11" s="18" t="inlineStr">
        <is>
          <t>FILM-004</t>
        </is>
      </c>
      <c r="C11" s="5" t="inlineStr">
        <is>
          <t>Qayamat Se Qayamat Tak</t>
        </is>
      </c>
      <c r="D11" s="17" t="n">
        <v>1989</v>
      </c>
      <c r="E11" s="5" t="inlineStr">
        <is>
          <t>Filmfare Awards (34th)</t>
        </is>
      </c>
      <c r="F11" s="5" t="inlineStr">
        <is>
          <t>Best Music Director</t>
        </is>
      </c>
      <c r="G11" s="5" t="inlineStr">
        <is>
          <t>Anand–Milind</t>
        </is>
      </c>
      <c r="H11" s="5" t="inlineStr">
        <is>
          <t>Composer</t>
        </is>
      </c>
      <c r="I11" s="5" t="inlineStr">
        <is>
          <t>Win</t>
        </is>
      </c>
      <c r="J11" s="5" t="inlineStr">
        <is>
          <t>Competitive</t>
        </is>
      </c>
      <c r="K11" s="5" t="n"/>
      <c r="L11" s="5" t="inlineStr">
        <is>
          <t>SOURCE-007; SOURCE-080</t>
        </is>
      </c>
      <c r="M11" s="5" t="inlineStr">
        <is>
          <t>High</t>
        </is>
      </c>
    </row>
    <row r="12" ht="34" customHeight="1">
      <c r="A12" s="15" t="inlineStr">
        <is>
          <t>AWARD-011</t>
        </is>
      </c>
      <c r="B12" s="18" t="inlineStr">
        <is>
          <t>FILM-004</t>
        </is>
      </c>
      <c r="C12" s="5" t="inlineStr">
        <is>
          <t>Qayamat Se Qayamat Tak</t>
        </is>
      </c>
      <c r="D12" s="17" t="n">
        <v>1989</v>
      </c>
      <c r="E12" s="5" t="inlineStr">
        <is>
          <t>Filmfare Awards (34th)</t>
        </is>
      </c>
      <c r="F12" s="5" t="inlineStr">
        <is>
          <t>Best Male Playback Singer</t>
        </is>
      </c>
      <c r="G12" s="5" t="inlineStr">
        <is>
          <t>Udit Narayan ("Papa Kehte Hain")</t>
        </is>
      </c>
      <c r="H12" s="5" t="inlineStr">
        <is>
          <t>Playback singer</t>
        </is>
      </c>
      <c r="I12" s="5" t="inlineStr">
        <is>
          <t>Win</t>
        </is>
      </c>
      <c r="J12" s="5" t="inlineStr">
        <is>
          <t>Competitive</t>
        </is>
      </c>
      <c r="K12" s="5" t="n"/>
      <c r="L12" s="5" t="inlineStr">
        <is>
          <t>SOURCE-007</t>
        </is>
      </c>
      <c r="M12" s="5" t="inlineStr">
        <is>
          <t>High</t>
        </is>
      </c>
    </row>
    <row r="13" ht="19" customHeight="1">
      <c r="A13" s="15" t="inlineStr">
        <is>
          <t>AWARD-012</t>
        </is>
      </c>
      <c r="B13" s="18" t="inlineStr">
        <is>
          <t>FILM-004</t>
        </is>
      </c>
      <c r="C13" s="5" t="inlineStr">
        <is>
          <t>Qayamat Se Qayamat Tak</t>
        </is>
      </c>
      <c r="D13" s="17" t="n">
        <v>1989</v>
      </c>
      <c r="E13" s="5" t="inlineStr">
        <is>
          <t>Filmfare Awards (34th)</t>
        </is>
      </c>
      <c r="F13" s="5" t="inlineStr">
        <is>
          <t>Best Screenplay</t>
        </is>
      </c>
      <c r="G13" s="5" t="inlineStr">
        <is>
          <t>Nasir Hussain</t>
        </is>
      </c>
      <c r="H13" s="5" t="inlineStr">
        <is>
          <t>Writer</t>
        </is>
      </c>
      <c r="I13" s="5" t="inlineStr">
        <is>
          <t>Win</t>
        </is>
      </c>
      <c r="J13" s="5" t="inlineStr">
        <is>
          <t>Competitive</t>
        </is>
      </c>
      <c r="K13" s="5" t="n"/>
      <c r="L13" s="5" t="inlineStr">
        <is>
          <t>SOURCE-007; SOURCE-075</t>
        </is>
      </c>
      <c r="M13" s="5" t="inlineStr">
        <is>
          <t>High</t>
        </is>
      </c>
    </row>
    <row r="14" ht="19" customHeight="1">
      <c r="A14" s="15" t="inlineStr">
        <is>
          <t>AWARD-013</t>
        </is>
      </c>
      <c r="B14" s="18" t="inlineStr">
        <is>
          <t>FILM-004</t>
        </is>
      </c>
      <c r="C14" s="5" t="inlineStr">
        <is>
          <t>Qayamat Se Qayamat Tak</t>
        </is>
      </c>
      <c r="D14" s="17" t="n">
        <v>1989</v>
      </c>
      <c r="E14" s="5" t="inlineStr">
        <is>
          <t>Filmfare Awards (34th)</t>
        </is>
      </c>
      <c r="F14" s="5" t="inlineStr">
        <is>
          <t>Best Cinematography</t>
        </is>
      </c>
      <c r="G14" s="5" t="inlineStr">
        <is>
          <t>Kiran Deohans</t>
        </is>
      </c>
      <c r="H14" s="5" t="inlineStr">
        <is>
          <t>Cinematographer</t>
        </is>
      </c>
      <c r="I14" s="5" t="inlineStr">
        <is>
          <t>Win</t>
        </is>
      </c>
      <c r="J14" s="5" t="inlineStr">
        <is>
          <t>Competitive</t>
        </is>
      </c>
      <c r="K14" s="5" t="n"/>
      <c r="L14" s="5" t="inlineStr">
        <is>
          <t>SOURCE-007</t>
        </is>
      </c>
      <c r="M14" s="5" t="inlineStr">
        <is>
          <t>High</t>
        </is>
      </c>
    </row>
    <row r="15" ht="19" customHeight="1">
      <c r="A15" s="15" t="inlineStr">
        <is>
          <t>AWARD-014</t>
        </is>
      </c>
      <c r="B15" s="18" t="inlineStr">
        <is>
          <t>FILM-005</t>
        </is>
      </c>
      <c r="C15" s="5" t="inlineStr">
        <is>
          <t>Raakh</t>
        </is>
      </c>
      <c r="D15" s="17" t="n">
        <v>1990</v>
      </c>
      <c r="E15" s="5" t="inlineStr">
        <is>
          <t>Filmfare Awards (35th)</t>
        </is>
      </c>
      <c r="F15" s="5" t="inlineStr">
        <is>
          <t>Best Actor</t>
        </is>
      </c>
      <c r="G15" s="5" t="inlineStr">
        <is>
          <t>Aamir Khan</t>
        </is>
      </c>
      <c r="H15" s="5" t="inlineStr">
        <is>
          <t>Actor</t>
        </is>
      </c>
      <c r="I15" s="5" t="inlineStr">
        <is>
          <t>Nomination</t>
        </is>
      </c>
      <c r="J15" s="5" t="inlineStr">
        <is>
          <t>Competitive</t>
        </is>
      </c>
      <c r="K15" s="5" t="inlineStr">
        <is>
          <t>Award won by Jackie Shroff.</t>
        </is>
      </c>
      <c r="L15" s="5" t="inlineStr">
        <is>
          <t>SOURCE-066; SOURCE-008</t>
        </is>
      </c>
      <c r="M15" s="5" t="inlineStr">
        <is>
          <t>High</t>
        </is>
      </c>
    </row>
    <row r="16" ht="34" customHeight="1">
      <c r="A16" s="15" t="inlineStr">
        <is>
          <t>AWARD-015</t>
        </is>
      </c>
      <c r="B16" s="18" t="inlineStr">
        <is>
          <t>FILM-009</t>
        </is>
      </c>
      <c r="C16" s="5" t="inlineStr">
        <is>
          <t>Dil</t>
        </is>
      </c>
      <c r="D16" s="17" t="n">
        <v>1991</v>
      </c>
      <c r="E16" s="5" t="inlineStr">
        <is>
          <t>Filmfare Awards (36th)</t>
        </is>
      </c>
      <c r="F16" s="5" t="inlineStr">
        <is>
          <t>Best Actress</t>
        </is>
      </c>
      <c r="G16" s="5" t="inlineStr">
        <is>
          <t>Madhuri Dixit</t>
        </is>
      </c>
      <c r="H16" s="5" t="inlineStr">
        <is>
          <t>Actress</t>
        </is>
      </c>
      <c r="I16" s="5" t="inlineStr">
        <is>
          <t>Win</t>
        </is>
      </c>
      <c r="J16" s="5" t="inlineStr">
        <is>
          <t>Competitive</t>
        </is>
      </c>
      <c r="K16" s="5" t="inlineStr">
        <is>
          <t>Madhuri Dixit's first Filmfare Best Actress award.</t>
        </is>
      </c>
      <c r="L16" s="5" t="inlineStr">
        <is>
          <t>SOURCE-014</t>
        </is>
      </c>
      <c r="M16" s="5" t="inlineStr">
        <is>
          <t>High</t>
        </is>
      </c>
    </row>
    <row r="17" ht="19" customHeight="1">
      <c r="A17" s="15" t="inlineStr">
        <is>
          <t>AWARD-016</t>
        </is>
      </c>
      <c r="B17" s="18" t="inlineStr">
        <is>
          <t>FILM-009</t>
        </is>
      </c>
      <c r="C17" s="5" t="inlineStr">
        <is>
          <t>Dil</t>
        </is>
      </c>
      <c r="D17" s="17" t="n">
        <v>1991</v>
      </c>
      <c r="E17" s="5" t="inlineStr">
        <is>
          <t>Filmfare Awards (36th)</t>
        </is>
      </c>
      <c r="F17" s="5" t="inlineStr">
        <is>
          <t>Best Actor</t>
        </is>
      </c>
      <c r="G17" s="5" t="inlineStr">
        <is>
          <t>Aamir Khan</t>
        </is>
      </c>
      <c r="H17" s="5" t="inlineStr">
        <is>
          <t>Actor</t>
        </is>
      </c>
      <c r="I17" s="5" t="inlineStr">
        <is>
          <t>Nomination</t>
        </is>
      </c>
      <c r="J17" s="5" t="inlineStr">
        <is>
          <t>Competitive</t>
        </is>
      </c>
      <c r="K17" s="5" t="inlineStr">
        <is>
          <t>Award won by Sunny Deol.</t>
        </is>
      </c>
      <c r="L17" s="5" t="inlineStr">
        <is>
          <t>SOURCE-066; SOURCE-014</t>
        </is>
      </c>
      <c r="M17" s="5" t="inlineStr">
        <is>
          <t>High</t>
        </is>
      </c>
    </row>
    <row r="18" ht="34" customHeight="1">
      <c r="A18" s="15" t="inlineStr">
        <is>
          <t>AWARD-017</t>
        </is>
      </c>
      <c r="B18" s="18" t="inlineStr">
        <is>
          <t>FILM-013</t>
        </is>
      </c>
      <c r="C18" s="5" t="inlineStr">
        <is>
          <t>Dil Hai Ke Manta Nahin</t>
        </is>
      </c>
      <c r="D18" s="17" t="n">
        <v>1992</v>
      </c>
      <c r="E18" s="5" t="inlineStr">
        <is>
          <t>Filmfare Awards (37th)</t>
        </is>
      </c>
      <c r="F18" s="5" t="inlineStr">
        <is>
          <t>Best Female Playback Singer</t>
        </is>
      </c>
      <c r="G18" s="5" t="inlineStr">
        <is>
          <t>Anuradha Paudwal ("Dil Hai Ki Manta Nahin")</t>
        </is>
      </c>
      <c r="H18" s="5" t="inlineStr">
        <is>
          <t>Playback singer</t>
        </is>
      </c>
      <c r="I18" s="5" t="inlineStr">
        <is>
          <t>Win</t>
        </is>
      </c>
      <c r="J18" s="5" t="inlineStr">
        <is>
          <t>Competitive</t>
        </is>
      </c>
      <c r="K18" s="5" t="n"/>
      <c r="L18" s="5" t="inlineStr">
        <is>
          <t>SOURCE-018</t>
        </is>
      </c>
      <c r="M18" s="5" t="inlineStr">
        <is>
          <t>High</t>
        </is>
      </c>
    </row>
    <row r="19" ht="19" customHeight="1">
      <c r="A19" s="15" t="inlineStr">
        <is>
          <t>AWARD-018</t>
        </is>
      </c>
      <c r="B19" s="18" t="inlineStr">
        <is>
          <t>FILM-013</t>
        </is>
      </c>
      <c r="C19" s="5" t="inlineStr">
        <is>
          <t>Dil Hai Ke Manta Nahin</t>
        </is>
      </c>
      <c r="D19" s="17" t="n">
        <v>1992</v>
      </c>
      <c r="E19" s="5" t="inlineStr">
        <is>
          <t>Filmfare Awards (37th)</t>
        </is>
      </c>
      <c r="F19" s="5" t="inlineStr">
        <is>
          <t>Best Actor</t>
        </is>
      </c>
      <c r="G19" s="5" t="inlineStr">
        <is>
          <t>Aamir Khan</t>
        </is>
      </c>
      <c r="H19" s="5" t="inlineStr">
        <is>
          <t>Actor</t>
        </is>
      </c>
      <c r="I19" s="5" t="inlineStr">
        <is>
          <t>Nomination</t>
        </is>
      </c>
      <c r="J19" s="5" t="inlineStr">
        <is>
          <t>Competitive</t>
        </is>
      </c>
      <c r="K19" s="5" t="inlineStr">
        <is>
          <t>Award won by Amitabh Bachchan.</t>
        </is>
      </c>
      <c r="L19" s="5" t="inlineStr">
        <is>
          <t>SOURCE-066; SOURCE-018</t>
        </is>
      </c>
      <c r="M19" s="5" t="inlineStr">
        <is>
          <t>High</t>
        </is>
      </c>
    </row>
    <row r="20" ht="19" customHeight="1">
      <c r="A20" s="15" t="inlineStr">
        <is>
          <t>AWARD-019</t>
        </is>
      </c>
      <c r="B20" s="18" t="inlineStr">
        <is>
          <t>FILM-015</t>
        </is>
      </c>
      <c r="C20" s="5" t="inlineStr">
        <is>
          <t>Jo Jeeta Wohi Sikandar</t>
        </is>
      </c>
      <c r="D20" s="17" t="n">
        <v>1993</v>
      </c>
      <c r="E20" s="5" t="inlineStr">
        <is>
          <t>Filmfare Awards (38th)</t>
        </is>
      </c>
      <c r="F20" s="5" t="inlineStr">
        <is>
          <t>Best Film</t>
        </is>
      </c>
      <c r="G20" s="5" t="inlineStr">
        <is>
          <t>Nasir Hussain</t>
        </is>
      </c>
      <c r="H20" s="5" t="inlineStr">
        <is>
          <t>Producer</t>
        </is>
      </c>
      <c r="I20" s="5" t="inlineStr">
        <is>
          <t>Win</t>
        </is>
      </c>
      <c r="J20" s="5" t="inlineStr">
        <is>
          <t>Competitive</t>
        </is>
      </c>
      <c r="K20" s="5" t="n"/>
      <c r="L20" s="5" t="inlineStr">
        <is>
          <t>SOURCE-021; SOURCE-075</t>
        </is>
      </c>
      <c r="M20" s="5" t="inlineStr">
        <is>
          <t>High</t>
        </is>
      </c>
    </row>
    <row r="21" ht="19" customHeight="1">
      <c r="A21" s="15" t="inlineStr">
        <is>
          <t>AWARD-020</t>
        </is>
      </c>
      <c r="B21" s="18" t="inlineStr">
        <is>
          <t>FILM-015</t>
        </is>
      </c>
      <c r="C21" s="5" t="inlineStr">
        <is>
          <t>Jo Jeeta Wohi Sikandar</t>
        </is>
      </c>
      <c r="D21" s="17" t="n">
        <v>1993</v>
      </c>
      <c r="E21" s="5" t="inlineStr">
        <is>
          <t>Filmfare Awards (38th)</t>
        </is>
      </c>
      <c r="F21" s="5" t="inlineStr">
        <is>
          <t>Best Editing</t>
        </is>
      </c>
      <c r="G21" s="5" t="inlineStr">
        <is>
          <t>Zafar Sultan; Dilip Katalgi</t>
        </is>
      </c>
      <c r="H21" s="5" t="inlineStr">
        <is>
          <t>Editor</t>
        </is>
      </c>
      <c r="I21" s="5" t="inlineStr">
        <is>
          <t>Win</t>
        </is>
      </c>
      <c r="J21" s="5" t="inlineStr">
        <is>
          <t>Competitive</t>
        </is>
      </c>
      <c r="K21" s="5" t="n"/>
      <c r="L21" s="5" t="inlineStr">
        <is>
          <t>SOURCE-021</t>
        </is>
      </c>
      <c r="M21" s="5" t="inlineStr">
        <is>
          <t>High</t>
        </is>
      </c>
    </row>
    <row r="22" ht="19" customHeight="1">
      <c r="A22" s="15" t="inlineStr">
        <is>
          <t>AWARD-021</t>
        </is>
      </c>
      <c r="B22" s="18" t="inlineStr">
        <is>
          <t>FILM-015</t>
        </is>
      </c>
      <c r="C22" s="5" t="inlineStr">
        <is>
          <t>Jo Jeeta Wohi Sikandar</t>
        </is>
      </c>
      <c r="D22" s="17" t="n">
        <v>1993</v>
      </c>
      <c r="E22" s="5" t="inlineStr">
        <is>
          <t>Filmfare Awards (38th)</t>
        </is>
      </c>
      <c r="F22" s="5" t="inlineStr">
        <is>
          <t>Best Actor</t>
        </is>
      </c>
      <c r="G22" s="5" t="inlineStr">
        <is>
          <t>Aamir Khan</t>
        </is>
      </c>
      <c r="H22" s="5" t="inlineStr">
        <is>
          <t>Actor</t>
        </is>
      </c>
      <c r="I22" s="5" t="inlineStr">
        <is>
          <t>Nomination</t>
        </is>
      </c>
      <c r="J22" s="5" t="inlineStr">
        <is>
          <t>Competitive</t>
        </is>
      </c>
      <c r="K22" s="5" t="inlineStr">
        <is>
          <t>Award won by Anil Kapoor.</t>
        </is>
      </c>
      <c r="L22" s="5" t="inlineStr">
        <is>
          <t>SOURCE-066; SOURCE-021</t>
        </is>
      </c>
      <c r="M22" s="5" t="inlineStr">
        <is>
          <t>High</t>
        </is>
      </c>
    </row>
    <row r="23" ht="19" customHeight="1">
      <c r="A23" s="15" t="inlineStr">
        <is>
          <t>AWARD-022</t>
        </is>
      </c>
      <c r="B23" s="18" t="inlineStr">
        <is>
          <t>FILM-019</t>
        </is>
      </c>
      <c r="C23" s="5" t="inlineStr">
        <is>
          <t>Hum Hain Rahi Pyar Ke</t>
        </is>
      </c>
      <c r="D23" s="17" t="n">
        <v>1994</v>
      </c>
      <c r="E23" s="5" t="inlineStr">
        <is>
          <t>Filmfare Awards (39th)</t>
        </is>
      </c>
      <c r="F23" s="5" t="inlineStr">
        <is>
          <t>Best Film</t>
        </is>
      </c>
      <c r="G23" s="5" t="inlineStr">
        <is>
          <t>Tahir Hussain</t>
        </is>
      </c>
      <c r="H23" s="5" t="inlineStr">
        <is>
          <t>Producer</t>
        </is>
      </c>
      <c r="I23" s="5" t="inlineStr">
        <is>
          <t>Win</t>
        </is>
      </c>
      <c r="J23" s="5" t="inlineStr">
        <is>
          <t>Competitive</t>
        </is>
      </c>
      <c r="K23" s="5" t="n"/>
      <c r="L23" s="5" t="inlineStr">
        <is>
          <t>SOURCE-025</t>
        </is>
      </c>
      <c r="M23" s="5" t="inlineStr">
        <is>
          <t>High</t>
        </is>
      </c>
    </row>
    <row r="24" ht="19" customHeight="1">
      <c r="A24" s="15" t="inlineStr">
        <is>
          <t>AWARD-023</t>
        </is>
      </c>
      <c r="B24" s="18" t="inlineStr">
        <is>
          <t>FILM-019</t>
        </is>
      </c>
      <c r="C24" s="5" t="inlineStr">
        <is>
          <t>Hum Hain Rahi Pyar Ke</t>
        </is>
      </c>
      <c r="D24" s="17" t="n">
        <v>1994</v>
      </c>
      <c r="E24" s="5" t="inlineStr">
        <is>
          <t>Filmfare Awards (39th)</t>
        </is>
      </c>
      <c r="F24" s="5" t="inlineStr">
        <is>
          <t>Best Actress</t>
        </is>
      </c>
      <c r="G24" s="5" t="inlineStr">
        <is>
          <t>Juhi Chawla</t>
        </is>
      </c>
      <c r="H24" s="5" t="inlineStr">
        <is>
          <t>Actress</t>
        </is>
      </c>
      <c r="I24" s="5" t="inlineStr">
        <is>
          <t>Win</t>
        </is>
      </c>
      <c r="J24" s="5" t="inlineStr">
        <is>
          <t>Competitive</t>
        </is>
      </c>
      <c r="K24" s="5" t="n"/>
      <c r="L24" s="5" t="inlineStr">
        <is>
          <t>SOURCE-025</t>
        </is>
      </c>
      <c r="M24" s="5" t="inlineStr">
        <is>
          <t>High</t>
        </is>
      </c>
    </row>
    <row r="25" ht="34" customHeight="1">
      <c r="A25" s="15" t="inlineStr">
        <is>
          <t>AWARD-024</t>
        </is>
      </c>
      <c r="B25" s="18" t="inlineStr">
        <is>
          <t>FILM-019</t>
        </is>
      </c>
      <c r="C25" s="5" t="inlineStr">
        <is>
          <t>Hum Hain Rahi Pyar Ke</t>
        </is>
      </c>
      <c r="D25" s="17" t="n">
        <v>1994</v>
      </c>
      <c r="E25" s="5" t="inlineStr">
        <is>
          <t>Filmfare Awards (39th)</t>
        </is>
      </c>
      <c r="F25" s="5" t="inlineStr">
        <is>
          <t>Best Lyricist</t>
        </is>
      </c>
      <c r="G25" s="5" t="inlineStr">
        <is>
          <t>Sameer ("Ghoonghat Ki Aad Se")</t>
        </is>
      </c>
      <c r="H25" s="5" t="inlineStr">
        <is>
          <t>Lyricist</t>
        </is>
      </c>
      <c r="I25" s="5" t="inlineStr">
        <is>
          <t>Win</t>
        </is>
      </c>
      <c r="J25" s="5" t="inlineStr">
        <is>
          <t>Competitive</t>
        </is>
      </c>
      <c r="K25" s="5" t="n"/>
      <c r="L25" s="5" t="inlineStr">
        <is>
          <t>SOURCE-025</t>
        </is>
      </c>
      <c r="M25" s="5" t="inlineStr">
        <is>
          <t>High</t>
        </is>
      </c>
    </row>
    <row r="26" ht="19" customHeight="1">
      <c r="A26" s="15" t="inlineStr">
        <is>
          <t>AWARD-025</t>
        </is>
      </c>
      <c r="B26" s="18" t="inlineStr">
        <is>
          <t>FILM-019</t>
        </is>
      </c>
      <c r="C26" s="5" t="inlineStr">
        <is>
          <t>Hum Hain Rahi Pyar Ke</t>
        </is>
      </c>
      <c r="D26" s="17" t="n">
        <v>1994</v>
      </c>
      <c r="E26" s="5" t="inlineStr">
        <is>
          <t>Filmfare Awards (39th)</t>
        </is>
      </c>
      <c r="F26" s="5" t="inlineStr">
        <is>
          <t>Best Actor</t>
        </is>
      </c>
      <c r="G26" s="5" t="inlineStr">
        <is>
          <t>Aamir Khan</t>
        </is>
      </c>
      <c r="H26" s="5" t="inlineStr">
        <is>
          <t>Actor</t>
        </is>
      </c>
      <c r="I26" s="5" t="inlineStr">
        <is>
          <t>Nomination</t>
        </is>
      </c>
      <c r="J26" s="5" t="inlineStr">
        <is>
          <t>Competitive</t>
        </is>
      </c>
      <c r="K26" s="5" t="inlineStr">
        <is>
          <t>Award won by Shah Rukh Khan.</t>
        </is>
      </c>
      <c r="L26" s="5" t="inlineStr">
        <is>
          <t>SOURCE-066; SOURCE-025</t>
        </is>
      </c>
      <c r="M26" s="5" t="inlineStr">
        <is>
          <t>High</t>
        </is>
      </c>
    </row>
    <row r="27" ht="34" customHeight="1">
      <c r="A27" s="15" t="inlineStr">
        <is>
          <t>AWARD-026</t>
        </is>
      </c>
      <c r="B27" s="18" t="inlineStr">
        <is>
          <t>FILM-019</t>
        </is>
      </c>
      <c r="C27" s="5" t="inlineStr">
        <is>
          <t>Hum Hain Rahi Pyar Ke</t>
        </is>
      </c>
      <c r="D27" s="17" t="n">
        <v>1994</v>
      </c>
      <c r="E27" s="5" t="inlineStr">
        <is>
          <t>National Film Awards (41st)</t>
        </is>
      </c>
      <c r="F27" s="5" t="inlineStr">
        <is>
          <t>Best Female Playback Singer</t>
        </is>
      </c>
      <c r="G27" s="5" t="inlineStr">
        <is>
          <t>Alka Yagnik ("Ghoonghat Ki Aad Se")</t>
        </is>
      </c>
      <c r="H27" s="5" t="inlineStr">
        <is>
          <t>Playback singer</t>
        </is>
      </c>
      <c r="I27" s="5" t="inlineStr">
        <is>
          <t>Win</t>
        </is>
      </c>
      <c r="J27" s="5" t="inlineStr">
        <is>
          <t>Competitive</t>
        </is>
      </c>
      <c r="K27" s="5" t="inlineStr">
        <is>
          <t>Ceremony held 30 September 1994.</t>
        </is>
      </c>
      <c r="L27" s="5" t="inlineStr">
        <is>
          <t>SOURCE-068; SOURCE-025</t>
        </is>
      </c>
      <c r="M27" s="5" t="inlineStr">
        <is>
          <t>High</t>
        </is>
      </c>
    </row>
    <row r="28" ht="94" customHeight="1">
      <c r="A28" s="15" t="inlineStr">
        <is>
          <t>AWARD-027</t>
        </is>
      </c>
      <c r="B28" s="18" t="inlineStr">
        <is>
          <t>FILM-019</t>
        </is>
      </c>
      <c r="C28" s="5" t="inlineStr">
        <is>
          <t>Hum Hain Rahi Pyar Ke</t>
        </is>
      </c>
      <c r="D28" s="17" t="n">
        <v>1994</v>
      </c>
      <c r="E28" s="5" t="inlineStr">
        <is>
          <t>National Film Awards (41st)</t>
        </is>
      </c>
      <c r="F28" s="5" t="inlineStr">
        <is>
          <t>Special Mention</t>
        </is>
      </c>
      <c r="G28" s="5" t="inlineStr">
        <is>
          <t>Tahir Hussain (producer); Mahesh Bhatt (director)</t>
        </is>
      </c>
      <c r="H28" s="5" t="inlineStr">
        <is>
          <t>Film</t>
        </is>
      </c>
      <c r="I28" s="5" t="inlineStr">
        <is>
          <t>Win</t>
        </is>
      </c>
      <c r="J28" s="5" t="inlineStr">
        <is>
          <t>Competitive</t>
        </is>
      </c>
      <c r="K28" s="5" t="inlineStr">
        <is>
          <t>The film's Wikipedia article calls this a Special Jury Award to Mahesh Bhatt; the ceremony page lists it as a Special Mention to producer and director 'for an enjoyable and wholesome entertainment at the level of innocent comedy'.</t>
        </is>
      </c>
      <c r="L28" s="5" t="inlineStr">
        <is>
          <t>SOURCE-068; SOURCE-025</t>
        </is>
      </c>
      <c r="M28" s="5" t="inlineStr">
        <is>
          <t>Medium</t>
        </is>
      </c>
    </row>
    <row r="29" ht="19" customHeight="1">
      <c r="A29" s="15" t="inlineStr">
        <is>
          <t>AWARD-028</t>
        </is>
      </c>
      <c r="B29" s="18" t="inlineStr">
        <is>
          <t>FILM-021</t>
        </is>
      </c>
      <c r="C29" s="5" t="inlineStr">
        <is>
          <t>Andaz Apna Apna</t>
        </is>
      </c>
      <c r="D29" s="17" t="n">
        <v>1995</v>
      </c>
      <c r="E29" s="5" t="inlineStr">
        <is>
          <t>Filmfare Awards (40th)</t>
        </is>
      </c>
      <c r="F29" s="5" t="inlineStr">
        <is>
          <t>Best Actor</t>
        </is>
      </c>
      <c r="G29" s="5" t="inlineStr">
        <is>
          <t>Aamir Khan</t>
        </is>
      </c>
      <c r="H29" s="5" t="inlineStr">
        <is>
          <t>Actor</t>
        </is>
      </c>
      <c r="I29" s="5" t="inlineStr">
        <is>
          <t>Nomination</t>
        </is>
      </c>
      <c r="J29" s="5" t="inlineStr">
        <is>
          <t>Competitive</t>
        </is>
      </c>
      <c r="K29" s="5" t="inlineStr">
        <is>
          <t>Award won by Nana Patekar.</t>
        </is>
      </c>
      <c r="L29" s="5" t="inlineStr">
        <is>
          <t>SOURCE-066; SOURCE-027</t>
        </is>
      </c>
      <c r="M29" s="5" t="inlineStr">
        <is>
          <t>High</t>
        </is>
      </c>
    </row>
    <row r="30" ht="19" customHeight="1">
      <c r="A30" s="15" t="inlineStr">
        <is>
          <t>AWARD-029</t>
        </is>
      </c>
      <c r="B30" s="18" t="inlineStr">
        <is>
          <t>FILM-024</t>
        </is>
      </c>
      <c r="C30" s="5" t="inlineStr">
        <is>
          <t>Rangeela</t>
        </is>
      </c>
      <c r="D30" s="17" t="n">
        <v>1996</v>
      </c>
      <c r="E30" s="5" t="inlineStr">
        <is>
          <t>Filmfare Awards (41st)</t>
        </is>
      </c>
      <c r="F30" s="5" t="inlineStr">
        <is>
          <t>Best Supporting Actor</t>
        </is>
      </c>
      <c r="G30" s="5" t="inlineStr">
        <is>
          <t>Jackie Shroff</t>
        </is>
      </c>
      <c r="H30" s="5" t="inlineStr">
        <is>
          <t>Actor</t>
        </is>
      </c>
      <c r="I30" s="5" t="inlineStr">
        <is>
          <t>Win</t>
        </is>
      </c>
      <c r="J30" s="5" t="inlineStr">
        <is>
          <t>Competitive</t>
        </is>
      </c>
      <c r="K30" s="5" t="n"/>
      <c r="L30" s="5" t="inlineStr">
        <is>
          <t>SOURCE-030</t>
        </is>
      </c>
      <c r="M30" s="5" t="inlineStr">
        <is>
          <t>High</t>
        </is>
      </c>
    </row>
    <row r="31" ht="19" customHeight="1">
      <c r="A31" s="15" t="inlineStr">
        <is>
          <t>AWARD-030</t>
        </is>
      </c>
      <c r="B31" s="18" t="inlineStr">
        <is>
          <t>FILM-024</t>
        </is>
      </c>
      <c r="C31" s="5" t="inlineStr">
        <is>
          <t>Rangeela</t>
        </is>
      </c>
      <c r="D31" s="17" t="n">
        <v>1996</v>
      </c>
      <c r="E31" s="5" t="inlineStr">
        <is>
          <t>Filmfare Awards (41st)</t>
        </is>
      </c>
      <c r="F31" s="5" t="inlineStr">
        <is>
          <t>Best Music Director</t>
        </is>
      </c>
      <c r="G31" s="5" t="inlineStr">
        <is>
          <t>A. R. Rahman</t>
        </is>
      </c>
      <c r="H31" s="5" t="inlineStr">
        <is>
          <t>Composer</t>
        </is>
      </c>
      <c r="I31" s="5" t="inlineStr">
        <is>
          <t>Win</t>
        </is>
      </c>
      <c r="J31" s="5" t="inlineStr">
        <is>
          <t>Competitive</t>
        </is>
      </c>
      <c r="K31" s="5" t="n"/>
      <c r="L31" s="5" t="inlineStr">
        <is>
          <t>SOURCE-030</t>
        </is>
      </c>
      <c r="M31" s="5" t="inlineStr">
        <is>
          <t>High</t>
        </is>
      </c>
    </row>
    <row r="32" ht="19" customHeight="1">
      <c r="A32" s="15" t="inlineStr">
        <is>
          <t>AWARD-031</t>
        </is>
      </c>
      <c r="B32" s="18" t="inlineStr">
        <is>
          <t>FILM-024</t>
        </is>
      </c>
      <c r="C32" s="5" t="inlineStr">
        <is>
          <t>Rangeela</t>
        </is>
      </c>
      <c r="D32" s="17" t="n">
        <v>1996</v>
      </c>
      <c r="E32" s="5" t="inlineStr">
        <is>
          <t>Filmfare Awards (41st)</t>
        </is>
      </c>
      <c r="F32" s="5" t="inlineStr">
        <is>
          <t>Best Story</t>
        </is>
      </c>
      <c r="G32" s="5" t="inlineStr">
        <is>
          <t>Ram Gopal Varma</t>
        </is>
      </c>
      <c r="H32" s="5" t="inlineStr">
        <is>
          <t>Writer</t>
        </is>
      </c>
      <c r="I32" s="5" t="inlineStr">
        <is>
          <t>Win</t>
        </is>
      </c>
      <c r="J32" s="5" t="inlineStr">
        <is>
          <t>Competitive</t>
        </is>
      </c>
      <c r="K32" s="5" t="n"/>
      <c r="L32" s="5" t="inlineStr">
        <is>
          <t>SOURCE-030</t>
        </is>
      </c>
      <c r="M32" s="5" t="inlineStr">
        <is>
          <t>High</t>
        </is>
      </c>
    </row>
    <row r="33" ht="19" customHeight="1">
      <c r="A33" s="15" t="inlineStr">
        <is>
          <t>AWARD-032</t>
        </is>
      </c>
      <c r="B33" s="18" t="inlineStr">
        <is>
          <t>FILM-024</t>
        </is>
      </c>
      <c r="C33" s="5" t="inlineStr">
        <is>
          <t>Rangeela</t>
        </is>
      </c>
      <c r="D33" s="17" t="n">
        <v>1996</v>
      </c>
      <c r="E33" s="5" t="inlineStr">
        <is>
          <t>Filmfare Awards (41st)</t>
        </is>
      </c>
      <c r="F33" s="5" t="inlineStr">
        <is>
          <t>Best Costume Design</t>
        </is>
      </c>
      <c r="G33" s="5" t="inlineStr">
        <is>
          <t>Manish Malhotra</t>
        </is>
      </c>
      <c r="H33" s="5" t="inlineStr">
        <is>
          <t>Costume designer</t>
        </is>
      </c>
      <c r="I33" s="5" t="inlineStr">
        <is>
          <t>Win</t>
        </is>
      </c>
      <c r="J33" s="5" t="inlineStr">
        <is>
          <t>Competitive</t>
        </is>
      </c>
      <c r="K33" s="5" t="n"/>
      <c r="L33" s="5" t="inlineStr">
        <is>
          <t>SOURCE-030</t>
        </is>
      </c>
      <c r="M33" s="5" t="inlineStr">
        <is>
          <t>High</t>
        </is>
      </c>
    </row>
    <row r="34" ht="19" customHeight="1">
      <c r="A34" s="15" t="inlineStr">
        <is>
          <t>AWARD-033</t>
        </is>
      </c>
      <c r="B34" s="18" t="inlineStr">
        <is>
          <t>FILM-024</t>
        </is>
      </c>
      <c r="C34" s="5" t="inlineStr">
        <is>
          <t>Rangeela</t>
        </is>
      </c>
      <c r="D34" s="17" t="n">
        <v>1996</v>
      </c>
      <c r="E34" s="5" t="inlineStr">
        <is>
          <t>Filmfare Awards (41st)</t>
        </is>
      </c>
      <c r="F34" s="5" t="inlineStr">
        <is>
          <t>Best Choreography</t>
        </is>
      </c>
      <c r="G34" s="5" t="inlineStr">
        <is>
          <t>Ahmed Khan ("Rangeela Re")</t>
        </is>
      </c>
      <c r="H34" s="5" t="inlineStr">
        <is>
          <t>Choreographer</t>
        </is>
      </c>
      <c r="I34" s="5" t="inlineStr">
        <is>
          <t>Win</t>
        </is>
      </c>
      <c r="J34" s="5" t="inlineStr">
        <is>
          <t>Competitive</t>
        </is>
      </c>
      <c r="K34" s="5" t="n"/>
      <c r="L34" s="5" t="inlineStr">
        <is>
          <t>SOURCE-030</t>
        </is>
      </c>
      <c r="M34" s="5" t="inlineStr">
        <is>
          <t>High</t>
        </is>
      </c>
    </row>
    <row r="35" ht="19" customHeight="1">
      <c r="A35" s="15" t="inlineStr">
        <is>
          <t>AWARD-034</t>
        </is>
      </c>
      <c r="B35" s="18" t="inlineStr">
        <is>
          <t>FILM-024</t>
        </is>
      </c>
      <c r="C35" s="5" t="inlineStr">
        <is>
          <t>Rangeela</t>
        </is>
      </c>
      <c r="D35" s="17" t="n">
        <v>1996</v>
      </c>
      <c r="E35" s="5" t="inlineStr">
        <is>
          <t>Filmfare Awards (41st)</t>
        </is>
      </c>
      <c r="F35" s="5" t="inlineStr">
        <is>
          <t>Special Award</t>
        </is>
      </c>
      <c r="G35" s="5" t="inlineStr">
        <is>
          <t>Asha Bhosle ("Tanha Tanha")</t>
        </is>
      </c>
      <c r="H35" s="5" t="inlineStr">
        <is>
          <t>Playback singer</t>
        </is>
      </c>
      <c r="I35" s="5" t="inlineStr">
        <is>
          <t>Win</t>
        </is>
      </c>
      <c r="J35" s="5" t="inlineStr">
        <is>
          <t>Honorary</t>
        </is>
      </c>
      <c r="K35" s="5" t="n"/>
      <c r="L35" s="5" t="inlineStr">
        <is>
          <t>SOURCE-030</t>
        </is>
      </c>
      <c r="M35" s="5" t="inlineStr">
        <is>
          <t>Medium</t>
        </is>
      </c>
    </row>
    <row r="36" ht="19" customHeight="1">
      <c r="A36" s="15" t="inlineStr">
        <is>
          <t>AWARD-035</t>
        </is>
      </c>
      <c r="B36" s="18" t="inlineStr">
        <is>
          <t>FILM-024</t>
        </is>
      </c>
      <c r="C36" s="5" t="inlineStr">
        <is>
          <t>Rangeela</t>
        </is>
      </c>
      <c r="D36" s="17" t="n">
        <v>1996</v>
      </c>
      <c r="E36" s="5" t="inlineStr">
        <is>
          <t>Filmfare Awards (41st)</t>
        </is>
      </c>
      <c r="F36" s="5" t="inlineStr">
        <is>
          <t>Best Actor</t>
        </is>
      </c>
      <c r="G36" s="5" t="inlineStr">
        <is>
          <t>Aamir Khan</t>
        </is>
      </c>
      <c r="H36" s="5" t="inlineStr">
        <is>
          <t>Actor</t>
        </is>
      </c>
      <c r="I36" s="5" t="inlineStr">
        <is>
          <t>Nomination</t>
        </is>
      </c>
      <c r="J36" s="5" t="inlineStr">
        <is>
          <t>Competitive</t>
        </is>
      </c>
      <c r="K36" s="5" t="inlineStr">
        <is>
          <t>Award won by Shah Rukh Khan.</t>
        </is>
      </c>
      <c r="L36" s="5" t="inlineStr">
        <is>
          <t>SOURCE-066; SOURCE-030</t>
        </is>
      </c>
      <c r="M36" s="5" t="inlineStr">
        <is>
          <t>High</t>
        </is>
      </c>
    </row>
    <row r="37" ht="34" customHeight="1">
      <c r="A37" s="15" t="inlineStr">
        <is>
          <t>AWARD-036</t>
        </is>
      </c>
      <c r="B37" s="18" t="inlineStr">
        <is>
          <t>FILM-024</t>
        </is>
      </c>
      <c r="C37" s="5" t="inlineStr">
        <is>
          <t>Rangeela</t>
        </is>
      </c>
      <c r="D37" s="17" t="n">
        <v>1996</v>
      </c>
      <c r="E37" s="5" t="inlineStr">
        <is>
          <t>Bengal Film Journalists' Association Awards</t>
        </is>
      </c>
      <c r="F37" s="5" t="inlineStr">
        <is>
          <t>Best Actor (Hindi)</t>
        </is>
      </c>
      <c r="G37" s="5" t="inlineStr">
        <is>
          <t>Aamir Khan</t>
        </is>
      </c>
      <c r="H37" s="5" t="inlineStr">
        <is>
          <t>Actor</t>
        </is>
      </c>
      <c r="I37" s="5" t="inlineStr">
        <is>
          <t>Win</t>
        </is>
      </c>
      <c r="J37" s="5" t="inlineStr">
        <is>
          <t>Competitive</t>
        </is>
      </c>
      <c r="K37" s="5" t="inlineStr">
        <is>
          <t>Critics' award.</t>
        </is>
      </c>
      <c r="L37" s="5" t="inlineStr">
        <is>
          <t>SOURCE-030</t>
        </is>
      </c>
      <c r="M37" s="5" t="inlineStr">
        <is>
          <t>Medium</t>
        </is>
      </c>
    </row>
    <row r="38" ht="19" customHeight="1">
      <c r="A38" s="15" t="inlineStr">
        <is>
          <t>AWARD-037</t>
        </is>
      </c>
      <c r="B38" s="18" t="inlineStr">
        <is>
          <t>FILM-026</t>
        </is>
      </c>
      <c r="C38" s="5" t="inlineStr">
        <is>
          <t>Raja Hindustani</t>
        </is>
      </c>
      <c r="D38" s="17" t="n">
        <v>1997</v>
      </c>
      <c r="E38" s="5" t="inlineStr">
        <is>
          <t>Filmfare Awards (42nd)</t>
        </is>
      </c>
      <c r="F38" s="5" t="inlineStr">
        <is>
          <t>Best Film</t>
        </is>
      </c>
      <c r="G38" s="5" t="inlineStr">
        <is>
          <t>Cineyug</t>
        </is>
      </c>
      <c r="H38" s="5" t="inlineStr">
        <is>
          <t>Producer</t>
        </is>
      </c>
      <c r="I38" s="5" t="inlineStr">
        <is>
          <t>Win</t>
        </is>
      </c>
      <c r="J38" s="5" t="inlineStr">
        <is>
          <t>Competitive</t>
        </is>
      </c>
      <c r="K38" s="5" t="n"/>
      <c r="L38" s="5" t="inlineStr">
        <is>
          <t>SOURCE-032</t>
        </is>
      </c>
      <c r="M38" s="5" t="inlineStr">
        <is>
          <t>High</t>
        </is>
      </c>
    </row>
    <row r="39" ht="34" customHeight="1">
      <c r="A39" s="15" t="inlineStr">
        <is>
          <t>AWARD-038</t>
        </is>
      </c>
      <c r="B39" s="18" t="inlineStr">
        <is>
          <t>FILM-026</t>
        </is>
      </c>
      <c r="C39" s="5" t="inlineStr">
        <is>
          <t>Raja Hindustani</t>
        </is>
      </c>
      <c r="D39" s="17" t="n">
        <v>1997</v>
      </c>
      <c r="E39" s="5" t="inlineStr">
        <is>
          <t>Filmfare Awards (42nd)</t>
        </is>
      </c>
      <c r="F39" s="5" t="inlineStr">
        <is>
          <t>Best Actor</t>
        </is>
      </c>
      <c r="G39" s="5" t="inlineStr">
        <is>
          <t>Aamir Khan</t>
        </is>
      </c>
      <c r="H39" s="5" t="inlineStr">
        <is>
          <t>Actor</t>
        </is>
      </c>
      <c r="I39" s="5" t="inlineStr">
        <is>
          <t>Win</t>
        </is>
      </c>
      <c r="J39" s="5" t="inlineStr">
        <is>
          <t>Competitive</t>
        </is>
      </c>
      <c r="K39" s="5" t="inlineStr">
        <is>
          <t>His first Filmfare Best Actor award.</t>
        </is>
      </c>
      <c r="L39" s="5" t="inlineStr">
        <is>
          <t>SOURCE-066; SOURCE-032; SOURCE-003</t>
        </is>
      </c>
      <c r="M39" s="5" t="inlineStr">
        <is>
          <t>High</t>
        </is>
      </c>
    </row>
    <row r="40" ht="19" customHeight="1">
      <c r="A40" s="15" t="inlineStr">
        <is>
          <t>AWARD-039</t>
        </is>
      </c>
      <c r="B40" s="18" t="inlineStr">
        <is>
          <t>FILM-026</t>
        </is>
      </c>
      <c r="C40" s="5" t="inlineStr">
        <is>
          <t>Raja Hindustani</t>
        </is>
      </c>
      <c r="D40" s="17" t="n">
        <v>1997</v>
      </c>
      <c r="E40" s="5" t="inlineStr">
        <is>
          <t>Filmfare Awards (42nd)</t>
        </is>
      </c>
      <c r="F40" s="5" t="inlineStr">
        <is>
          <t>Best Actress</t>
        </is>
      </c>
      <c r="G40" s="5" t="inlineStr">
        <is>
          <t>Karisma Kapoor</t>
        </is>
      </c>
      <c r="H40" s="5" t="inlineStr">
        <is>
          <t>Actress</t>
        </is>
      </c>
      <c r="I40" s="5" t="inlineStr">
        <is>
          <t>Win</t>
        </is>
      </c>
      <c r="J40" s="5" t="inlineStr">
        <is>
          <t>Competitive</t>
        </is>
      </c>
      <c r="K40" s="5" t="n"/>
      <c r="L40" s="5" t="inlineStr">
        <is>
          <t>SOURCE-032</t>
        </is>
      </c>
      <c r="M40" s="5" t="inlineStr">
        <is>
          <t>High</t>
        </is>
      </c>
    </row>
    <row r="41" ht="19" customHeight="1">
      <c r="A41" s="15" t="inlineStr">
        <is>
          <t>AWARD-040</t>
        </is>
      </c>
      <c r="B41" s="18" t="inlineStr">
        <is>
          <t>FILM-026</t>
        </is>
      </c>
      <c r="C41" s="5" t="inlineStr">
        <is>
          <t>Raja Hindustani</t>
        </is>
      </c>
      <c r="D41" s="17" t="n">
        <v>1997</v>
      </c>
      <c r="E41" s="5" t="inlineStr">
        <is>
          <t>Filmfare Awards (42nd)</t>
        </is>
      </c>
      <c r="F41" s="5" t="inlineStr">
        <is>
          <t>Best Music Director</t>
        </is>
      </c>
      <c r="G41" s="5" t="inlineStr">
        <is>
          <t>Nadeem–Shravan</t>
        </is>
      </c>
      <c r="H41" s="5" t="inlineStr">
        <is>
          <t>Composer</t>
        </is>
      </c>
      <c r="I41" s="5" t="inlineStr">
        <is>
          <t>Win</t>
        </is>
      </c>
      <c r="J41" s="5" t="inlineStr">
        <is>
          <t>Competitive</t>
        </is>
      </c>
      <c r="K41" s="5" t="n"/>
      <c r="L41" s="5" t="inlineStr">
        <is>
          <t>SOURCE-032; SOURCE-086</t>
        </is>
      </c>
      <c r="M41" s="5" t="inlineStr">
        <is>
          <t>High</t>
        </is>
      </c>
    </row>
    <row r="42" ht="34" customHeight="1">
      <c r="A42" s="15" t="inlineStr">
        <is>
          <t>AWARD-041</t>
        </is>
      </c>
      <c r="B42" s="18" t="inlineStr">
        <is>
          <t>FILM-026</t>
        </is>
      </c>
      <c r="C42" s="5" t="inlineStr">
        <is>
          <t>Raja Hindustani</t>
        </is>
      </c>
      <c r="D42" s="17" t="n">
        <v>1997</v>
      </c>
      <c r="E42" s="5" t="inlineStr">
        <is>
          <t>Filmfare Awards (42nd)</t>
        </is>
      </c>
      <c r="F42" s="5" t="inlineStr">
        <is>
          <t>Best Male Playback Singer</t>
        </is>
      </c>
      <c r="G42" s="5" t="inlineStr">
        <is>
          <t>Udit Narayan ("Pardesi Pardesi")</t>
        </is>
      </c>
      <c r="H42" s="5" t="inlineStr">
        <is>
          <t>Playback singer</t>
        </is>
      </c>
      <c r="I42" s="5" t="inlineStr">
        <is>
          <t>Win</t>
        </is>
      </c>
      <c r="J42" s="5" t="inlineStr">
        <is>
          <t>Competitive</t>
        </is>
      </c>
      <c r="K42" s="5" t="n"/>
      <c r="L42" s="5" t="inlineStr">
        <is>
          <t>SOURCE-032</t>
        </is>
      </c>
      <c r="M42" s="5" t="inlineStr">
        <is>
          <t>High</t>
        </is>
      </c>
    </row>
    <row r="43" ht="19" customHeight="1">
      <c r="A43" s="15" t="inlineStr">
        <is>
          <t>AWARD-042</t>
        </is>
      </c>
      <c r="B43" s="18" t="inlineStr">
        <is>
          <t>FILM-026</t>
        </is>
      </c>
      <c r="C43" s="5" t="inlineStr">
        <is>
          <t>Raja Hindustani</t>
        </is>
      </c>
      <c r="D43" s="17" t="n">
        <v>1997</v>
      </c>
      <c r="E43" s="5" t="inlineStr">
        <is>
          <t>Screen Awards</t>
        </is>
      </c>
      <c r="F43" s="5" t="inlineStr">
        <is>
          <t>Best Actor</t>
        </is>
      </c>
      <c r="G43" s="5" t="inlineStr">
        <is>
          <t>Aamir Khan</t>
        </is>
      </c>
      <c r="H43" s="5" t="inlineStr">
        <is>
          <t>Actor</t>
        </is>
      </c>
      <c r="I43" s="5" t="inlineStr">
        <is>
          <t>Win</t>
        </is>
      </c>
      <c r="J43" s="5" t="inlineStr">
        <is>
          <t>Competitive</t>
        </is>
      </c>
      <c r="K43" s="5" t="n"/>
      <c r="L43" s="5" t="inlineStr">
        <is>
          <t>SOURCE-032; SOURCE-003</t>
        </is>
      </c>
      <c r="M43" s="5" t="inlineStr">
        <is>
          <t>High</t>
        </is>
      </c>
    </row>
    <row r="44" ht="34" customHeight="1">
      <c r="A44" s="15" t="inlineStr">
        <is>
          <t>AWARD-043</t>
        </is>
      </c>
      <c r="B44" s="18" t="inlineStr">
        <is>
          <t>FILM-028</t>
        </is>
      </c>
      <c r="C44" s="5" t="inlineStr">
        <is>
          <t>Ghulam</t>
        </is>
      </c>
      <c r="D44" s="17" t="n">
        <v>1999</v>
      </c>
      <c r="E44" s="5" t="inlineStr">
        <is>
          <t>Filmfare Awards (44th)</t>
        </is>
      </c>
      <c r="F44" s="5" t="inlineStr">
        <is>
          <t>Best Scene of the Year</t>
        </is>
      </c>
      <c r="G44" s="5" t="inlineStr">
        <is>
          <t>Biju Dhanapalan (train-race scene)</t>
        </is>
      </c>
      <c r="H44" s="5" t="inlineStr">
        <is>
          <t>Technician</t>
        </is>
      </c>
      <c r="I44" s="5" t="inlineStr">
        <is>
          <t>Win</t>
        </is>
      </c>
      <c r="J44" s="5" t="inlineStr">
        <is>
          <t>Competitive</t>
        </is>
      </c>
      <c r="K44" s="5" t="n"/>
      <c r="L44" s="5" t="inlineStr">
        <is>
          <t>SOURCE-034</t>
        </is>
      </c>
      <c r="M44" s="5" t="inlineStr">
        <is>
          <t>Medium</t>
        </is>
      </c>
    </row>
    <row r="45" ht="34" customHeight="1">
      <c r="A45" s="15" t="inlineStr">
        <is>
          <t>AWARD-044</t>
        </is>
      </c>
      <c r="B45" s="18" t="inlineStr">
        <is>
          <t>FILM-028</t>
        </is>
      </c>
      <c r="C45" s="5" t="inlineStr">
        <is>
          <t>Ghulam</t>
        </is>
      </c>
      <c r="D45" s="17" t="n">
        <v>1999</v>
      </c>
      <c r="E45" s="5" t="inlineStr">
        <is>
          <t>Filmfare Awards (44th)</t>
        </is>
      </c>
      <c r="F45" s="5" t="inlineStr">
        <is>
          <t>Best Actor</t>
        </is>
      </c>
      <c r="G45" s="5" t="inlineStr">
        <is>
          <t>Aamir Khan</t>
        </is>
      </c>
      <c r="H45" s="5" t="inlineStr">
        <is>
          <t>Actor</t>
        </is>
      </c>
      <c r="I45" s="5" t="inlineStr">
        <is>
          <t>Nomination</t>
        </is>
      </c>
      <c r="J45" s="5" t="inlineStr">
        <is>
          <t>Competitive</t>
        </is>
      </c>
      <c r="K45" s="5" t="inlineStr">
        <is>
          <t>Listed on the film's page; not captured in the extract of the Best Actor award page.</t>
        </is>
      </c>
      <c r="L45" s="5" t="inlineStr">
        <is>
          <t>SOURCE-034</t>
        </is>
      </c>
      <c r="M45" s="5" t="inlineStr">
        <is>
          <t>Medium</t>
        </is>
      </c>
    </row>
    <row r="46" ht="34" customHeight="1">
      <c r="A46" s="15" t="inlineStr">
        <is>
          <t>AWARD-045</t>
        </is>
      </c>
      <c r="B46" s="18" t="inlineStr">
        <is>
          <t>FILM-028</t>
        </is>
      </c>
      <c r="C46" s="5" t="inlineStr">
        <is>
          <t>Ghulam</t>
        </is>
      </c>
      <c r="D46" s="17" t="n">
        <v>1999</v>
      </c>
      <c r="E46" s="5" t="inlineStr">
        <is>
          <t>Filmfare Awards (44th)</t>
        </is>
      </c>
      <c r="F46" s="5" t="inlineStr">
        <is>
          <t>Best Male Playback Singer</t>
        </is>
      </c>
      <c r="G46" s="5" t="inlineStr">
        <is>
          <t>Aamir Khan ("Aati Kya Khandala")</t>
        </is>
      </c>
      <c r="H46" s="5" t="inlineStr">
        <is>
          <t>Playback singer</t>
        </is>
      </c>
      <c r="I46" s="5" t="inlineStr">
        <is>
          <t>Nomination</t>
        </is>
      </c>
      <c r="J46" s="5" t="inlineStr">
        <is>
          <t>Competitive</t>
        </is>
      </c>
      <c r="K46" s="5" t="n"/>
      <c r="L46" s="5" t="inlineStr">
        <is>
          <t>SOURCE-034</t>
        </is>
      </c>
      <c r="M46" s="5" t="inlineStr">
        <is>
          <t>Medium</t>
        </is>
      </c>
    </row>
    <row r="47" ht="19" customHeight="1">
      <c r="A47" s="15" t="inlineStr">
        <is>
          <t>AWARD-046</t>
        </is>
      </c>
      <c r="B47" s="18" t="inlineStr">
        <is>
          <t>FILM-029</t>
        </is>
      </c>
      <c r="C47" s="5" t="inlineStr">
        <is>
          <t>Sarfarosh</t>
        </is>
      </c>
      <c r="D47" s="17" t="n">
        <v>2000</v>
      </c>
      <c r="E47" s="5" t="inlineStr">
        <is>
          <t>Filmfare Awards (45th)</t>
        </is>
      </c>
      <c r="F47" s="5" t="inlineStr">
        <is>
          <t>Best Film (Critics)</t>
        </is>
      </c>
      <c r="G47" s="5" t="inlineStr">
        <is>
          <t>John Matthew Matthan</t>
        </is>
      </c>
      <c r="H47" s="5" t="inlineStr">
        <is>
          <t>Director</t>
        </is>
      </c>
      <c r="I47" s="5" t="inlineStr">
        <is>
          <t>Win</t>
        </is>
      </c>
      <c r="J47" s="5" t="inlineStr">
        <is>
          <t>Competitive</t>
        </is>
      </c>
      <c r="K47" s="5" t="inlineStr">
        <is>
          <t>Ceremony held 13 February 2000.</t>
        </is>
      </c>
      <c r="L47" s="5" t="inlineStr">
        <is>
          <t>SOURCE-069; SOURCE-036</t>
        </is>
      </c>
      <c r="M47" s="5" t="inlineStr">
        <is>
          <t>High</t>
        </is>
      </c>
    </row>
    <row r="48" ht="19" customHeight="1">
      <c r="A48" s="15" t="inlineStr">
        <is>
          <t>AWARD-047</t>
        </is>
      </c>
      <c r="B48" s="18" t="inlineStr">
        <is>
          <t>FILM-029</t>
        </is>
      </c>
      <c r="C48" s="5" t="inlineStr">
        <is>
          <t>Sarfarosh</t>
        </is>
      </c>
      <c r="D48" s="17" t="n">
        <v>2000</v>
      </c>
      <c r="E48" s="5" t="inlineStr">
        <is>
          <t>Filmfare Awards (45th)</t>
        </is>
      </c>
      <c r="F48" s="5" t="inlineStr">
        <is>
          <t>Best Screenplay</t>
        </is>
      </c>
      <c r="G48" s="5" t="inlineStr">
        <is>
          <t>John Matthew Matthan</t>
        </is>
      </c>
      <c r="H48" s="5" t="inlineStr">
        <is>
          <t>Writer</t>
        </is>
      </c>
      <c r="I48" s="5" t="inlineStr">
        <is>
          <t>Win</t>
        </is>
      </c>
      <c r="J48" s="5" t="inlineStr">
        <is>
          <t>Competitive</t>
        </is>
      </c>
      <c r="K48" s="5" t="n"/>
      <c r="L48" s="5" t="inlineStr">
        <is>
          <t>SOURCE-069; SOURCE-097</t>
        </is>
      </c>
      <c r="M48" s="5" t="inlineStr">
        <is>
          <t>High</t>
        </is>
      </c>
    </row>
    <row r="49" ht="19" customHeight="1">
      <c r="A49" s="15" t="inlineStr">
        <is>
          <t>AWARD-048</t>
        </is>
      </c>
      <c r="B49" s="18" t="inlineStr">
        <is>
          <t>FILM-029</t>
        </is>
      </c>
      <c r="C49" s="5" t="inlineStr">
        <is>
          <t>Sarfarosh</t>
        </is>
      </c>
      <c r="D49" s="17" t="n">
        <v>2000</v>
      </c>
      <c r="E49" s="5" t="inlineStr">
        <is>
          <t>Filmfare Awards (45th)</t>
        </is>
      </c>
      <c r="F49" s="5" t="inlineStr">
        <is>
          <t>Best Dialogue</t>
        </is>
      </c>
      <c r="G49" s="5" t="inlineStr">
        <is>
          <t>Hriday Lani; Pathik Vats</t>
        </is>
      </c>
      <c r="H49" s="5" t="inlineStr">
        <is>
          <t>Writer</t>
        </is>
      </c>
      <c r="I49" s="5" t="inlineStr">
        <is>
          <t>Win</t>
        </is>
      </c>
      <c r="J49" s="5" t="inlineStr">
        <is>
          <t>Competitive</t>
        </is>
      </c>
      <c r="K49" s="5" t="n"/>
      <c r="L49" s="5" t="inlineStr">
        <is>
          <t>SOURCE-069; SOURCE-036</t>
        </is>
      </c>
      <c r="M49" s="5" t="inlineStr">
        <is>
          <t>High</t>
        </is>
      </c>
    </row>
    <row r="50" ht="49" customHeight="1">
      <c r="A50" s="15" t="inlineStr">
        <is>
          <t>AWARD-049</t>
        </is>
      </c>
      <c r="B50" s="18" t="inlineStr">
        <is>
          <t>FILM-029</t>
        </is>
      </c>
      <c r="C50" s="5" t="inlineStr">
        <is>
          <t>Sarfarosh</t>
        </is>
      </c>
      <c r="D50" s="17" t="n">
        <v>2000</v>
      </c>
      <c r="E50" s="5" t="inlineStr">
        <is>
          <t>Filmfare Awards (45th)</t>
        </is>
      </c>
      <c r="F50" s="5" t="inlineStr">
        <is>
          <t>Best Editing</t>
        </is>
      </c>
      <c r="G50" s="5" t="inlineStr">
        <is>
          <t>Jethu Mundul</t>
        </is>
      </c>
      <c r="H50" s="5" t="inlineStr">
        <is>
          <t>Editor</t>
        </is>
      </c>
      <c r="I50" s="5" t="inlineStr">
        <is>
          <t>Win</t>
        </is>
      </c>
      <c r="J50" s="5" t="inlineStr">
        <is>
          <t>Competitive</t>
        </is>
      </c>
      <c r="K50" s="5" t="inlineStr">
        <is>
          <t>The film's page lists Best Editing; the ceremony page lists the same recipient under Best Art Direction. Category unresolved.</t>
        </is>
      </c>
      <c r="L50" s="5" t="inlineStr">
        <is>
          <t>SOURCE-036; SOURCE-069</t>
        </is>
      </c>
      <c r="M50" s="5" t="inlineStr">
        <is>
          <t>Low</t>
        </is>
      </c>
    </row>
    <row r="51" ht="19" customHeight="1">
      <c r="A51" s="15" t="inlineStr">
        <is>
          <t>AWARD-050</t>
        </is>
      </c>
      <c r="B51" s="18" t="inlineStr">
        <is>
          <t>FILM-029</t>
        </is>
      </c>
      <c r="C51" s="5" t="inlineStr">
        <is>
          <t>Sarfarosh</t>
        </is>
      </c>
      <c r="D51" s="17" t="n">
        <v>2000</v>
      </c>
      <c r="E51" s="5" t="inlineStr">
        <is>
          <t>Filmfare Awards (45th)</t>
        </is>
      </c>
      <c r="F51" s="5" t="inlineStr">
        <is>
          <t>Best Actor</t>
        </is>
      </c>
      <c r="G51" s="5" t="inlineStr">
        <is>
          <t>Aamir Khan</t>
        </is>
      </c>
      <c r="H51" s="5" t="inlineStr">
        <is>
          <t>Actor</t>
        </is>
      </c>
      <c r="I51" s="5" t="inlineStr">
        <is>
          <t>Nomination</t>
        </is>
      </c>
      <c r="J51" s="5" t="inlineStr">
        <is>
          <t>Competitive</t>
        </is>
      </c>
      <c r="K51" s="5" t="inlineStr">
        <is>
          <t>Award won by Sanjay Dutt for Vaastav.</t>
        </is>
      </c>
      <c r="L51" s="5" t="inlineStr">
        <is>
          <t>SOURCE-069; SOURCE-036</t>
        </is>
      </c>
      <c r="M51" s="5" t="inlineStr">
        <is>
          <t>High</t>
        </is>
      </c>
    </row>
    <row r="52" ht="19" customHeight="1">
      <c r="A52" s="15" t="inlineStr">
        <is>
          <t>AWARD-051</t>
        </is>
      </c>
      <c r="B52" s="18" t="inlineStr">
        <is>
          <t>FILM-031</t>
        </is>
      </c>
      <c r="C52" s="5" t="inlineStr">
        <is>
          <t>Earth</t>
        </is>
      </c>
      <c r="D52" s="17" t="n">
        <v>2000</v>
      </c>
      <c r="E52" s="5" t="inlineStr">
        <is>
          <t>Filmfare Awards (45th)</t>
        </is>
      </c>
      <c r="F52" s="5" t="inlineStr">
        <is>
          <t>Best Male Debut</t>
        </is>
      </c>
      <c r="G52" s="5" t="inlineStr">
        <is>
          <t>Rahul Khanna</t>
        </is>
      </c>
      <c r="H52" s="5" t="inlineStr">
        <is>
          <t>Actor</t>
        </is>
      </c>
      <c r="I52" s="5" t="inlineStr">
        <is>
          <t>Win</t>
        </is>
      </c>
      <c r="J52" s="5" t="inlineStr">
        <is>
          <t>Competitive</t>
        </is>
      </c>
      <c r="K52" s="5" t="n"/>
      <c r="L52" s="5" t="inlineStr">
        <is>
          <t>SOURCE-069; SOURCE-035</t>
        </is>
      </c>
      <c r="M52" s="5" t="inlineStr">
        <is>
          <t>High</t>
        </is>
      </c>
    </row>
    <row r="53" ht="64" customHeight="1">
      <c r="A53" s="15" t="inlineStr">
        <is>
          <t>AWARD-052</t>
        </is>
      </c>
      <c r="B53" s="18" t="inlineStr">
        <is>
          <t>FILM-031</t>
        </is>
      </c>
      <c r="C53" s="5" t="inlineStr">
        <is>
          <t>Earth</t>
        </is>
      </c>
      <c r="D53" s="17" t="n">
        <v>2000</v>
      </c>
      <c r="E53" s="5" t="inlineStr">
        <is>
          <t>Filmfare Awards (45th)</t>
        </is>
      </c>
      <c r="F53" s="5" t="inlineStr">
        <is>
          <t>Best Female Debut</t>
        </is>
      </c>
      <c r="G53" s="5" t="inlineStr">
        <is>
          <t>Nandita Das</t>
        </is>
      </c>
      <c r="H53" s="5" t="inlineStr">
        <is>
          <t>Actress</t>
        </is>
      </c>
      <c r="I53" s="5" t="inlineStr">
        <is>
          <t>Win</t>
        </is>
      </c>
      <c r="J53" s="5" t="inlineStr">
        <is>
          <t>Competitive</t>
        </is>
      </c>
      <c r="K53" s="5" t="inlineStr">
        <is>
          <t>Listed on the Earth article; not found in the extract of the 45th Filmfare Awards page, so the ceremony year is assumed from Rahul Khanna's award.</t>
        </is>
      </c>
      <c r="L53" s="5" t="inlineStr">
        <is>
          <t>SOURCE-035</t>
        </is>
      </c>
      <c r="M53" s="5" t="inlineStr">
        <is>
          <t>Low</t>
        </is>
      </c>
    </row>
    <row r="54" ht="34" customHeight="1">
      <c r="A54" s="15" t="inlineStr">
        <is>
          <t>AWARD-053</t>
        </is>
      </c>
      <c r="B54" s="18" t="inlineStr">
        <is>
          <t>FILM-029</t>
        </is>
      </c>
      <c r="C54" s="5" t="inlineStr">
        <is>
          <t>Sarfarosh</t>
        </is>
      </c>
      <c r="D54" s="17" t="n">
        <v>2000</v>
      </c>
      <c r="E54" s="5" t="inlineStr">
        <is>
          <t>National Film Awards (47th)</t>
        </is>
      </c>
      <c r="F54" s="5" t="inlineStr">
        <is>
          <t>Best Popular Film Providing Wholesome Entertainment</t>
        </is>
      </c>
      <c r="G54" s="5" t="inlineStr">
        <is>
          <t>John Matthew Matthan (producer and director)</t>
        </is>
      </c>
      <c r="H54" s="5" t="inlineStr">
        <is>
          <t>Film</t>
        </is>
      </c>
      <c r="I54" s="5" t="inlineStr">
        <is>
          <t>Win</t>
        </is>
      </c>
      <c r="J54" s="5" t="inlineStr">
        <is>
          <t>Competitive</t>
        </is>
      </c>
      <c r="K54" s="5" t="inlineStr">
        <is>
          <t>Ceremony held 18 September 2000.</t>
        </is>
      </c>
      <c r="L54" s="5" t="inlineStr">
        <is>
          <t>SOURCE-036; SOURCE-097</t>
        </is>
      </c>
      <c r="M54" s="5" t="inlineStr">
        <is>
          <t>High</t>
        </is>
      </c>
    </row>
    <row r="55" ht="19" customHeight="1">
      <c r="A55" s="15" t="inlineStr">
        <is>
          <t>AWARD-054</t>
        </is>
      </c>
      <c r="B55" s="18" t="inlineStr">
        <is>
          <t>FILM-029</t>
        </is>
      </c>
      <c r="C55" s="5" t="inlineStr">
        <is>
          <t>Sarfarosh</t>
        </is>
      </c>
      <c r="D55" s="17" t="n">
        <v>2000</v>
      </c>
      <c r="E55" s="5" t="inlineStr">
        <is>
          <t>Zee Cine Awards (3rd)</t>
        </is>
      </c>
      <c r="F55" s="5" t="inlineStr">
        <is>
          <t>Best Actor – Male</t>
        </is>
      </c>
      <c r="G55" s="5" t="inlineStr">
        <is>
          <t>Aamir Khan</t>
        </is>
      </c>
      <c r="H55" s="5" t="inlineStr">
        <is>
          <t>Actor</t>
        </is>
      </c>
      <c r="I55" s="5" t="inlineStr">
        <is>
          <t>Win</t>
        </is>
      </c>
      <c r="J55" s="5" t="inlineStr">
        <is>
          <t>Competitive</t>
        </is>
      </c>
      <c r="K55" s="5" t="n"/>
      <c r="L55" s="5" t="inlineStr">
        <is>
          <t>SOURCE-036; SOURCE-003</t>
        </is>
      </c>
      <c r="M55" s="5" t="inlineStr">
        <is>
          <t>High</t>
        </is>
      </c>
    </row>
    <row r="56" ht="34" customHeight="1">
      <c r="A56" s="15" t="inlineStr">
        <is>
          <t>AWARD-055</t>
        </is>
      </c>
      <c r="B56" s="18" t="inlineStr">
        <is>
          <t>FILM-033</t>
        </is>
      </c>
      <c r="C56" s="5" t="inlineStr">
        <is>
          <t>Lagaan</t>
        </is>
      </c>
      <c r="D56" s="17" t="n">
        <v>2001</v>
      </c>
      <c r="E56" s="5" t="inlineStr">
        <is>
          <t>Locarno International Film Festival</t>
        </is>
      </c>
      <c r="F56" s="5" t="inlineStr">
        <is>
          <t>Prix du Public</t>
        </is>
      </c>
      <c r="G56" s="5" t="inlineStr">
        <is>
          <t>Lagaan</t>
        </is>
      </c>
      <c r="H56" s="5" t="inlineStr">
        <is>
          <t>Film</t>
        </is>
      </c>
      <c r="I56" s="5" t="inlineStr">
        <is>
          <t>Win</t>
        </is>
      </c>
      <c r="J56" s="5" t="inlineStr">
        <is>
          <t>Competitive</t>
        </is>
      </c>
      <c r="K56" s="5" t="inlineStr">
        <is>
          <t>Audience award; the film was screened four times at the festival.</t>
        </is>
      </c>
      <c r="L56" s="5" t="inlineStr">
        <is>
          <t>SOURCE-039</t>
        </is>
      </c>
      <c r="M56" s="5" t="inlineStr">
        <is>
          <t>Medium</t>
        </is>
      </c>
    </row>
    <row r="57" ht="34" customHeight="1">
      <c r="A57" s="15" t="inlineStr">
        <is>
          <t>AWARD-056</t>
        </is>
      </c>
      <c r="B57" s="18" t="inlineStr">
        <is>
          <t>FILM-033</t>
        </is>
      </c>
      <c r="C57" s="5" t="inlineStr">
        <is>
          <t>Lagaan</t>
        </is>
      </c>
      <c r="D57" s="17" t="n">
        <v>2002</v>
      </c>
      <c r="E57" s="5" t="inlineStr">
        <is>
          <t>Academy Awards (74th)</t>
        </is>
      </c>
      <c r="F57" s="5" t="inlineStr">
        <is>
          <t>Best Foreign Language Film</t>
        </is>
      </c>
      <c r="G57" s="5" t="inlineStr">
        <is>
          <t>Lagaan (India)</t>
        </is>
      </c>
      <c r="H57" s="5" t="inlineStr">
        <is>
          <t>Film</t>
        </is>
      </c>
      <c r="I57" s="5" t="inlineStr">
        <is>
          <t>Nomination</t>
        </is>
      </c>
      <c r="J57" s="5" t="inlineStr">
        <is>
          <t>Competitive</t>
        </is>
      </c>
      <c r="K57" s="5" t="inlineStr">
        <is>
          <t>Lost to No Man's Land. India's third nominee after Mother India and Salaam Bombay!.</t>
        </is>
      </c>
      <c r="L57" s="5" t="inlineStr">
        <is>
          <t>SOURCE-039; SOURCE-003</t>
        </is>
      </c>
      <c r="M57" s="5" t="inlineStr">
        <is>
          <t>High</t>
        </is>
      </c>
    </row>
    <row r="58" ht="19" customHeight="1">
      <c r="A58" s="15" t="inlineStr">
        <is>
          <t>AWARD-057</t>
        </is>
      </c>
      <c r="B58" s="18" t="inlineStr">
        <is>
          <t>FILM-033</t>
        </is>
      </c>
      <c r="C58" s="5" t="inlineStr">
        <is>
          <t>Lagaan</t>
        </is>
      </c>
      <c r="D58" s="17" t="n">
        <v>2002</v>
      </c>
      <c r="E58" s="5" t="inlineStr">
        <is>
          <t>Filmfare Awards (47th)</t>
        </is>
      </c>
      <c r="F58" s="5" t="inlineStr">
        <is>
          <t>Best Film</t>
        </is>
      </c>
      <c r="G58" s="5" t="inlineStr">
        <is>
          <t>Aamir Khan (producer)</t>
        </is>
      </c>
      <c r="H58" s="5" t="inlineStr">
        <is>
          <t>Producer</t>
        </is>
      </c>
      <c r="I58" s="5" t="inlineStr">
        <is>
          <t>Win</t>
        </is>
      </c>
      <c r="J58" s="5" t="inlineStr">
        <is>
          <t>Competitive</t>
        </is>
      </c>
      <c r="K58" s="5" t="inlineStr">
        <is>
          <t>Ceremony held 16 February 2002.</t>
        </is>
      </c>
      <c r="L58" s="5" t="inlineStr">
        <is>
          <t>SOURCE-070; SOURCE-003</t>
        </is>
      </c>
      <c r="M58" s="5" t="inlineStr">
        <is>
          <t>High</t>
        </is>
      </c>
    </row>
    <row r="59" ht="19" customHeight="1">
      <c r="A59" s="15" t="inlineStr">
        <is>
          <t>AWARD-058</t>
        </is>
      </c>
      <c r="B59" s="18" t="inlineStr">
        <is>
          <t>FILM-033</t>
        </is>
      </c>
      <c r="C59" s="5" t="inlineStr">
        <is>
          <t>Lagaan</t>
        </is>
      </c>
      <c r="D59" s="17" t="n">
        <v>2002</v>
      </c>
      <c r="E59" s="5" t="inlineStr">
        <is>
          <t>Filmfare Awards (47th)</t>
        </is>
      </c>
      <c r="F59" s="5" t="inlineStr">
        <is>
          <t>Best Director</t>
        </is>
      </c>
      <c r="G59" s="5" t="inlineStr">
        <is>
          <t>Ashutosh Gowariker</t>
        </is>
      </c>
      <c r="H59" s="5" t="inlineStr">
        <is>
          <t>Director</t>
        </is>
      </c>
      <c r="I59" s="5" t="inlineStr">
        <is>
          <t>Win</t>
        </is>
      </c>
      <c r="J59" s="5" t="inlineStr">
        <is>
          <t>Competitive</t>
        </is>
      </c>
      <c r="K59" s="5" t="n"/>
      <c r="L59" s="5" t="inlineStr">
        <is>
          <t>SOURCE-070</t>
        </is>
      </c>
      <c r="M59" s="5" t="inlineStr">
        <is>
          <t>High</t>
        </is>
      </c>
    </row>
    <row r="60" ht="19" customHeight="1">
      <c r="A60" s="15" t="inlineStr">
        <is>
          <t>AWARD-059</t>
        </is>
      </c>
      <c r="B60" s="18" t="inlineStr">
        <is>
          <t>FILM-033</t>
        </is>
      </c>
      <c r="C60" s="5" t="inlineStr">
        <is>
          <t>Lagaan</t>
        </is>
      </c>
      <c r="D60" s="17" t="n">
        <v>2002</v>
      </c>
      <c r="E60" s="5" t="inlineStr">
        <is>
          <t>Filmfare Awards (47th)</t>
        </is>
      </c>
      <c r="F60" s="5" t="inlineStr">
        <is>
          <t>Best Actor</t>
        </is>
      </c>
      <c r="G60" s="5" t="inlineStr">
        <is>
          <t>Aamir Khan</t>
        </is>
      </c>
      <c r="H60" s="5" t="inlineStr">
        <is>
          <t>Actor</t>
        </is>
      </c>
      <c r="I60" s="5" t="inlineStr">
        <is>
          <t>Win</t>
        </is>
      </c>
      <c r="J60" s="5" t="inlineStr">
        <is>
          <t>Competitive</t>
        </is>
      </c>
      <c r="K60" s="5" t="n"/>
      <c r="L60" s="5" t="inlineStr">
        <is>
          <t>SOURCE-070; SOURCE-066</t>
        </is>
      </c>
      <c r="M60" s="5" t="inlineStr">
        <is>
          <t>High</t>
        </is>
      </c>
    </row>
    <row r="61" ht="19" customHeight="1">
      <c r="A61" s="15" t="inlineStr">
        <is>
          <t>AWARD-060</t>
        </is>
      </c>
      <c r="B61" s="18" t="inlineStr">
        <is>
          <t>FILM-033</t>
        </is>
      </c>
      <c r="C61" s="5" t="inlineStr">
        <is>
          <t>Lagaan</t>
        </is>
      </c>
      <c r="D61" s="17" t="n">
        <v>2002</v>
      </c>
      <c r="E61" s="5" t="inlineStr">
        <is>
          <t>Filmfare Awards (47th)</t>
        </is>
      </c>
      <c r="F61" s="5" t="inlineStr">
        <is>
          <t>Best Story</t>
        </is>
      </c>
      <c r="G61" s="5" t="inlineStr">
        <is>
          <t>Ashutosh Gowariker</t>
        </is>
      </c>
      <c r="H61" s="5" t="inlineStr">
        <is>
          <t>Writer</t>
        </is>
      </c>
      <c r="I61" s="5" t="inlineStr">
        <is>
          <t>Win</t>
        </is>
      </c>
      <c r="J61" s="5" t="inlineStr">
        <is>
          <t>Competitive</t>
        </is>
      </c>
      <c r="K61" s="5" t="n"/>
      <c r="L61" s="5" t="inlineStr">
        <is>
          <t>SOURCE-070</t>
        </is>
      </c>
      <c r="M61" s="5" t="inlineStr">
        <is>
          <t>High</t>
        </is>
      </c>
    </row>
    <row r="62" ht="19" customHeight="1">
      <c r="A62" s="15" t="inlineStr">
        <is>
          <t>AWARD-061</t>
        </is>
      </c>
      <c r="B62" s="18" t="inlineStr">
        <is>
          <t>FILM-033</t>
        </is>
      </c>
      <c r="C62" s="5" t="inlineStr">
        <is>
          <t>Lagaan</t>
        </is>
      </c>
      <c r="D62" s="17" t="n">
        <v>2002</v>
      </c>
      <c r="E62" s="5" t="inlineStr">
        <is>
          <t>Filmfare Awards (47th)</t>
        </is>
      </c>
      <c r="F62" s="5" t="inlineStr">
        <is>
          <t>Best Music Director</t>
        </is>
      </c>
      <c r="G62" s="5" t="inlineStr">
        <is>
          <t>A. R. Rahman</t>
        </is>
      </c>
      <c r="H62" s="5" t="inlineStr">
        <is>
          <t>Composer</t>
        </is>
      </c>
      <c r="I62" s="5" t="inlineStr">
        <is>
          <t>Win</t>
        </is>
      </c>
      <c r="J62" s="5" t="inlineStr">
        <is>
          <t>Competitive</t>
        </is>
      </c>
      <c r="K62" s="5" t="n"/>
      <c r="L62" s="5" t="inlineStr">
        <is>
          <t>SOURCE-070</t>
        </is>
      </c>
      <c r="M62" s="5" t="inlineStr">
        <is>
          <t>High</t>
        </is>
      </c>
    </row>
    <row r="63" ht="34" customHeight="1">
      <c r="A63" s="15" t="inlineStr">
        <is>
          <t>AWARD-062</t>
        </is>
      </c>
      <c r="B63" s="18" t="inlineStr">
        <is>
          <t>FILM-033</t>
        </is>
      </c>
      <c r="C63" s="5" t="inlineStr">
        <is>
          <t>Lagaan</t>
        </is>
      </c>
      <c r="D63" s="17" t="n">
        <v>2002</v>
      </c>
      <c r="E63" s="5" t="inlineStr">
        <is>
          <t>Filmfare Awards (47th)</t>
        </is>
      </c>
      <c r="F63" s="5" t="inlineStr">
        <is>
          <t>Best Lyricist</t>
        </is>
      </c>
      <c r="G63" s="5" t="inlineStr">
        <is>
          <t>Javed Akhtar ("Radha Kaise Na Jale")</t>
        </is>
      </c>
      <c r="H63" s="5" t="inlineStr">
        <is>
          <t>Lyricist</t>
        </is>
      </c>
      <c r="I63" s="5" t="inlineStr">
        <is>
          <t>Win</t>
        </is>
      </c>
      <c r="J63" s="5" t="inlineStr">
        <is>
          <t>Competitive</t>
        </is>
      </c>
      <c r="K63" s="5" t="n"/>
      <c r="L63" s="5" t="inlineStr">
        <is>
          <t>SOURCE-070</t>
        </is>
      </c>
      <c r="M63" s="5" t="inlineStr">
        <is>
          <t>High</t>
        </is>
      </c>
    </row>
    <row r="64" ht="19" customHeight="1">
      <c r="A64" s="15" t="inlineStr">
        <is>
          <t>AWARD-063</t>
        </is>
      </c>
      <c r="B64" s="18" t="inlineStr">
        <is>
          <t>FILM-033</t>
        </is>
      </c>
      <c r="C64" s="5" t="inlineStr">
        <is>
          <t>Lagaan</t>
        </is>
      </c>
      <c r="D64" s="17" t="n">
        <v>2002</v>
      </c>
      <c r="E64" s="5" t="inlineStr">
        <is>
          <t>Filmfare Awards (47th)</t>
        </is>
      </c>
      <c r="F64" s="5" t="inlineStr">
        <is>
          <t>Best Male Playback Singer</t>
        </is>
      </c>
      <c r="G64" s="5" t="inlineStr">
        <is>
          <t>Udit Narayan ("Mitwa")</t>
        </is>
      </c>
      <c r="H64" s="5" t="inlineStr">
        <is>
          <t>Playback singer</t>
        </is>
      </c>
      <c r="I64" s="5" t="inlineStr">
        <is>
          <t>Win</t>
        </is>
      </c>
      <c r="J64" s="5" t="inlineStr">
        <is>
          <t>Competitive</t>
        </is>
      </c>
      <c r="K64" s="5" t="n"/>
      <c r="L64" s="5" t="inlineStr">
        <is>
          <t>SOURCE-070</t>
        </is>
      </c>
      <c r="M64" s="5" t="inlineStr">
        <is>
          <t>High</t>
        </is>
      </c>
    </row>
    <row r="65" ht="19" customHeight="1">
      <c r="A65" s="15" t="inlineStr">
        <is>
          <t>AWARD-064</t>
        </is>
      </c>
      <c r="B65" s="18" t="inlineStr">
        <is>
          <t>FILM-033</t>
        </is>
      </c>
      <c r="C65" s="5" t="inlineStr">
        <is>
          <t>Lagaan</t>
        </is>
      </c>
      <c r="D65" s="17" t="n">
        <v>2002</v>
      </c>
      <c r="E65" s="5" t="inlineStr">
        <is>
          <t>Filmfare Awards (47th)</t>
        </is>
      </c>
      <c r="F65" s="5" t="inlineStr">
        <is>
          <t>Best Female Playback Singer</t>
        </is>
      </c>
      <c r="G65" s="5" t="inlineStr">
        <is>
          <t>Alka Yagnik ("O Re Chhori")</t>
        </is>
      </c>
      <c r="H65" s="5" t="inlineStr">
        <is>
          <t>Playback singer</t>
        </is>
      </c>
      <c r="I65" s="5" t="inlineStr">
        <is>
          <t>Win</t>
        </is>
      </c>
      <c r="J65" s="5" t="inlineStr">
        <is>
          <t>Competitive</t>
        </is>
      </c>
      <c r="K65" s="5" t="n"/>
      <c r="L65" s="5" t="inlineStr">
        <is>
          <t>SOURCE-070</t>
        </is>
      </c>
      <c r="M65" s="5" t="inlineStr">
        <is>
          <t>High</t>
        </is>
      </c>
    </row>
    <row r="66" ht="19" customHeight="1">
      <c r="A66" s="15" t="inlineStr">
        <is>
          <t>AWARD-065</t>
        </is>
      </c>
      <c r="B66" s="18" t="inlineStr">
        <is>
          <t>FILM-034</t>
        </is>
      </c>
      <c r="C66" s="5" t="inlineStr">
        <is>
          <t>Dil Chahta Hai</t>
        </is>
      </c>
      <c r="D66" s="17" t="n">
        <v>2002</v>
      </c>
      <c r="E66" s="5" t="inlineStr">
        <is>
          <t>Filmfare Awards (47th)</t>
        </is>
      </c>
      <c r="F66" s="5" t="inlineStr">
        <is>
          <t>Best Film (Critics)</t>
        </is>
      </c>
      <c r="G66" s="5" t="inlineStr">
        <is>
          <t>Dil Chahta Hai</t>
        </is>
      </c>
      <c r="H66" s="5" t="inlineStr">
        <is>
          <t>Film</t>
        </is>
      </c>
      <c r="I66" s="5" t="inlineStr">
        <is>
          <t>Win</t>
        </is>
      </c>
      <c r="J66" s="5" t="inlineStr">
        <is>
          <t>Competitive</t>
        </is>
      </c>
      <c r="K66" s="5" t="n"/>
      <c r="L66" s="5" t="inlineStr">
        <is>
          <t>SOURCE-070; SOURCE-040</t>
        </is>
      </c>
      <c r="M66" s="5" t="inlineStr">
        <is>
          <t>High</t>
        </is>
      </c>
    </row>
    <row r="67" ht="19" customHeight="1">
      <c r="A67" s="15" t="inlineStr">
        <is>
          <t>AWARD-066</t>
        </is>
      </c>
      <c r="B67" s="18" t="inlineStr">
        <is>
          <t>FILM-034</t>
        </is>
      </c>
      <c r="C67" s="5" t="inlineStr">
        <is>
          <t>Dil Chahta Hai</t>
        </is>
      </c>
      <c r="D67" s="17" t="n">
        <v>2002</v>
      </c>
      <c r="E67" s="5" t="inlineStr">
        <is>
          <t>Filmfare Awards (47th)</t>
        </is>
      </c>
      <c r="F67" s="5" t="inlineStr">
        <is>
          <t>Best Screenplay</t>
        </is>
      </c>
      <c r="G67" s="5" t="inlineStr">
        <is>
          <t>Farhan Akhtar</t>
        </is>
      </c>
      <c r="H67" s="5" t="inlineStr">
        <is>
          <t>Writer</t>
        </is>
      </c>
      <c r="I67" s="5" t="inlineStr">
        <is>
          <t>Win</t>
        </is>
      </c>
      <c r="J67" s="5" t="inlineStr">
        <is>
          <t>Competitive</t>
        </is>
      </c>
      <c r="K67" s="5" t="n"/>
      <c r="L67" s="5" t="inlineStr">
        <is>
          <t>SOURCE-070</t>
        </is>
      </c>
      <c r="M67" s="5" t="inlineStr">
        <is>
          <t>High</t>
        </is>
      </c>
    </row>
    <row r="68" ht="19" customHeight="1">
      <c r="A68" s="15" t="inlineStr">
        <is>
          <t>AWARD-067</t>
        </is>
      </c>
      <c r="B68" s="18" t="inlineStr">
        <is>
          <t>FILM-034</t>
        </is>
      </c>
      <c r="C68" s="5" t="inlineStr">
        <is>
          <t>Dil Chahta Hai</t>
        </is>
      </c>
      <c r="D68" s="17" t="n">
        <v>2002</v>
      </c>
      <c r="E68" s="5" t="inlineStr">
        <is>
          <t>Filmfare Awards (47th)</t>
        </is>
      </c>
      <c r="F68" s="5" t="inlineStr">
        <is>
          <t>Best Supporting Actor</t>
        </is>
      </c>
      <c r="G68" s="5" t="inlineStr">
        <is>
          <t>Akshaye Khanna</t>
        </is>
      </c>
      <c r="H68" s="5" t="inlineStr">
        <is>
          <t>Actor</t>
        </is>
      </c>
      <c r="I68" s="5" t="inlineStr">
        <is>
          <t>Win</t>
        </is>
      </c>
      <c r="J68" s="5" t="inlineStr">
        <is>
          <t>Competitive</t>
        </is>
      </c>
      <c r="K68" s="5" t="n"/>
      <c r="L68" s="5" t="inlineStr">
        <is>
          <t>SOURCE-070; SOURCE-040</t>
        </is>
      </c>
      <c r="M68" s="5" t="inlineStr">
        <is>
          <t>High</t>
        </is>
      </c>
    </row>
    <row r="69" ht="19" customHeight="1">
      <c r="A69" s="15" t="inlineStr">
        <is>
          <t>AWARD-068</t>
        </is>
      </c>
      <c r="B69" s="18" t="inlineStr">
        <is>
          <t>FILM-034</t>
        </is>
      </c>
      <c r="C69" s="5" t="inlineStr">
        <is>
          <t>Dil Chahta Hai</t>
        </is>
      </c>
      <c r="D69" s="17" t="n">
        <v>2002</v>
      </c>
      <c r="E69" s="5" t="inlineStr">
        <is>
          <t>Filmfare Awards (47th)</t>
        </is>
      </c>
      <c r="F69" s="5" t="inlineStr">
        <is>
          <t>Best Choreography</t>
        </is>
      </c>
      <c r="G69" s="5" t="inlineStr">
        <is>
          <t>Farah Khan</t>
        </is>
      </c>
      <c r="H69" s="5" t="inlineStr">
        <is>
          <t>Choreographer</t>
        </is>
      </c>
      <c r="I69" s="5" t="inlineStr">
        <is>
          <t>Win</t>
        </is>
      </c>
      <c r="J69" s="5" t="inlineStr">
        <is>
          <t>Competitive</t>
        </is>
      </c>
      <c r="K69" s="5" t="n"/>
      <c r="L69" s="5" t="inlineStr">
        <is>
          <t>SOURCE-070</t>
        </is>
      </c>
      <c r="M69" s="5" t="inlineStr">
        <is>
          <t>High</t>
        </is>
      </c>
    </row>
    <row r="70" ht="19" customHeight="1">
      <c r="A70" s="15" t="inlineStr">
        <is>
          <t>AWARD-069</t>
        </is>
      </c>
      <c r="B70" s="18" t="inlineStr">
        <is>
          <t>FILM-034</t>
        </is>
      </c>
      <c r="C70" s="5" t="inlineStr">
        <is>
          <t>Dil Chahta Hai</t>
        </is>
      </c>
      <c r="D70" s="17" t="n">
        <v>2002</v>
      </c>
      <c r="E70" s="5" t="inlineStr">
        <is>
          <t>Filmfare Awards (47th)</t>
        </is>
      </c>
      <c r="F70" s="5" t="inlineStr">
        <is>
          <t>Best Editing</t>
        </is>
      </c>
      <c r="G70" s="5" t="inlineStr">
        <is>
          <t>A. Sreekar Prasad</t>
        </is>
      </c>
      <c r="H70" s="5" t="inlineStr">
        <is>
          <t>Editor</t>
        </is>
      </c>
      <c r="I70" s="5" t="inlineStr">
        <is>
          <t>Win</t>
        </is>
      </c>
      <c r="J70" s="5" t="inlineStr">
        <is>
          <t>Competitive</t>
        </is>
      </c>
      <c r="K70" s="5" t="n"/>
      <c r="L70" s="5" t="inlineStr">
        <is>
          <t>SOURCE-070</t>
        </is>
      </c>
      <c r="M70" s="5" t="inlineStr">
        <is>
          <t>High</t>
        </is>
      </c>
    </row>
    <row r="71" ht="34" customHeight="1">
      <c r="A71" s="15" t="inlineStr">
        <is>
          <t>AWARD-070</t>
        </is>
      </c>
      <c r="B71" s="18" t="inlineStr">
        <is>
          <t>FILM-034</t>
        </is>
      </c>
      <c r="C71" s="5" t="inlineStr">
        <is>
          <t>Dil Chahta Hai</t>
        </is>
      </c>
      <c r="D71" s="17" t="n">
        <v>2002</v>
      </c>
      <c r="E71" s="5" t="inlineStr">
        <is>
          <t>Filmfare Awards (47th)</t>
        </is>
      </c>
      <c r="F71" s="5" t="inlineStr">
        <is>
          <t>R. D. Burman Award for New Music Talent</t>
        </is>
      </c>
      <c r="G71" s="5" t="inlineStr">
        <is>
          <t>Shankar–Ehsaan–Loy</t>
        </is>
      </c>
      <c r="H71" s="5" t="inlineStr">
        <is>
          <t>Composer</t>
        </is>
      </c>
      <c r="I71" s="5" t="inlineStr">
        <is>
          <t>Win</t>
        </is>
      </c>
      <c r="J71" s="5" t="inlineStr">
        <is>
          <t>Competitive</t>
        </is>
      </c>
      <c r="K71" s="5" t="n"/>
      <c r="L71" s="5" t="inlineStr">
        <is>
          <t>SOURCE-070</t>
        </is>
      </c>
      <c r="M71" s="5" t="inlineStr">
        <is>
          <t>High</t>
        </is>
      </c>
    </row>
    <row r="72" ht="19" customHeight="1">
      <c r="A72" s="15" t="inlineStr">
        <is>
          <t>AWARD-071</t>
        </is>
      </c>
      <c r="B72" s="18" t="inlineStr">
        <is>
          <t>FILM-034</t>
        </is>
      </c>
      <c r="C72" s="5" t="inlineStr">
        <is>
          <t>Dil Chahta Hai</t>
        </is>
      </c>
      <c r="D72" s="17" t="n">
        <v>2002</v>
      </c>
      <c r="E72" s="5" t="inlineStr">
        <is>
          <t>Filmfare Awards (47th)</t>
        </is>
      </c>
      <c r="F72" s="5" t="inlineStr">
        <is>
          <t>Best Scene of the Year</t>
        </is>
      </c>
      <c r="G72" s="5" t="inlineStr">
        <is>
          <t>Dil Chahta Hai</t>
        </is>
      </c>
      <c r="H72" s="5" t="inlineStr">
        <is>
          <t>Film</t>
        </is>
      </c>
      <c r="I72" s="5" t="inlineStr">
        <is>
          <t>Win</t>
        </is>
      </c>
      <c r="J72" s="5" t="inlineStr">
        <is>
          <t>Competitive</t>
        </is>
      </c>
      <c r="K72" s="5" t="n"/>
      <c r="L72" s="5" t="inlineStr">
        <is>
          <t>SOURCE-070</t>
        </is>
      </c>
      <c r="M72" s="5" t="inlineStr">
        <is>
          <t>Medium</t>
        </is>
      </c>
    </row>
    <row r="73" ht="49" customHeight="1">
      <c r="A73" s="15" t="inlineStr">
        <is>
          <t>AWARD-072</t>
        </is>
      </c>
      <c r="B73" s="18" t="inlineStr">
        <is>
          <t>FILM-034</t>
        </is>
      </c>
      <c r="C73" s="5" t="inlineStr">
        <is>
          <t>Dil Chahta Hai</t>
        </is>
      </c>
      <c r="D73" s="17" t="n">
        <v>2002</v>
      </c>
      <c r="E73" s="5" t="inlineStr">
        <is>
          <t>Filmfare Awards (47th)</t>
        </is>
      </c>
      <c r="F73" s="5" t="inlineStr">
        <is>
          <t>Best Performance in a Comic Role</t>
        </is>
      </c>
      <c r="G73" s="5" t="inlineStr">
        <is>
          <t>Saif Ali Khan</t>
        </is>
      </c>
      <c r="H73" s="5" t="inlineStr">
        <is>
          <t>Actor</t>
        </is>
      </c>
      <c r="I73" s="5" t="inlineStr">
        <is>
          <t>Win</t>
        </is>
      </c>
      <c r="J73" s="5" t="inlineStr">
        <is>
          <t>Competitive</t>
        </is>
      </c>
      <c r="K73" s="5" t="inlineStr">
        <is>
          <t>Listed on the film's page; absent from the extract of the ceremony page, which counts seven wins for the film without it.</t>
        </is>
      </c>
      <c r="L73" s="5" t="inlineStr">
        <is>
          <t>SOURCE-040</t>
        </is>
      </c>
      <c r="M73" s="5" t="inlineStr">
        <is>
          <t>Low</t>
        </is>
      </c>
    </row>
    <row r="74" ht="19" customHeight="1">
      <c r="A74" s="15" t="inlineStr">
        <is>
          <t>AWARD-073</t>
        </is>
      </c>
      <c r="B74" s="18" t="inlineStr">
        <is>
          <t>FILM-034</t>
        </is>
      </c>
      <c r="C74" s="5" t="inlineStr">
        <is>
          <t>Dil Chahta Hai</t>
        </is>
      </c>
      <c r="D74" s="17" t="n">
        <v>2002</v>
      </c>
      <c r="E74" s="5" t="inlineStr">
        <is>
          <t>Filmfare Awards (47th)</t>
        </is>
      </c>
      <c r="F74" s="5" t="inlineStr">
        <is>
          <t>Best Actor</t>
        </is>
      </c>
      <c r="G74" s="5" t="inlineStr">
        <is>
          <t>Aamir Khan</t>
        </is>
      </c>
      <c r="H74" s="5" t="inlineStr">
        <is>
          <t>Actor</t>
        </is>
      </c>
      <c r="I74" s="5" t="inlineStr">
        <is>
          <t>Nomination</t>
        </is>
      </c>
      <c r="J74" s="5" t="inlineStr">
        <is>
          <t>Competitive</t>
        </is>
      </c>
      <c r="K74" s="5" t="inlineStr">
        <is>
          <t>Lost to his own performance in Lagaan.</t>
        </is>
      </c>
      <c r="L74" s="5" t="inlineStr">
        <is>
          <t>SOURCE-070; SOURCE-066</t>
        </is>
      </c>
      <c r="M74" s="5" t="inlineStr">
        <is>
          <t>High</t>
        </is>
      </c>
    </row>
    <row r="75" ht="19" customHeight="1">
      <c r="A75" s="15" t="inlineStr">
        <is>
          <t>AWARD-074</t>
        </is>
      </c>
      <c r="B75" s="18" t="inlineStr">
        <is>
          <t>FILM-033</t>
        </is>
      </c>
      <c r="C75" s="5" t="inlineStr">
        <is>
          <t>Lagaan</t>
        </is>
      </c>
      <c r="D75" s="17" t="n">
        <v>2002</v>
      </c>
      <c r="E75" s="5" t="inlineStr">
        <is>
          <t>Zee Cine Awards</t>
        </is>
      </c>
      <c r="F75" s="5" t="inlineStr">
        <is>
          <t>Best Actor – Male</t>
        </is>
      </c>
      <c r="G75" s="5" t="inlineStr">
        <is>
          <t>Aamir Khan</t>
        </is>
      </c>
      <c r="H75" s="5" t="inlineStr">
        <is>
          <t>Actor</t>
        </is>
      </c>
      <c r="I75" s="5" t="inlineStr">
        <is>
          <t>Win</t>
        </is>
      </c>
      <c r="J75" s="5" t="inlineStr">
        <is>
          <t>Competitive</t>
        </is>
      </c>
      <c r="K75" s="5" t="n"/>
      <c r="L75" s="5" t="inlineStr">
        <is>
          <t>SOURCE-003</t>
        </is>
      </c>
      <c r="M75" s="5" t="inlineStr">
        <is>
          <t>Medium</t>
        </is>
      </c>
    </row>
    <row r="76" ht="34" customHeight="1">
      <c r="A76" s="15" t="inlineStr">
        <is>
          <t>AWARD-075</t>
        </is>
      </c>
      <c r="B76" s="18" t="inlineStr">
        <is>
          <t>FILM-033</t>
        </is>
      </c>
      <c r="C76" s="5" t="inlineStr">
        <is>
          <t>Lagaan</t>
        </is>
      </c>
      <c r="D76" s="17" t="n">
        <v>2003</v>
      </c>
      <c r="E76" s="5" t="inlineStr">
        <is>
          <t>National Film Awards (49th)</t>
        </is>
      </c>
      <c r="F76" s="5" t="inlineStr">
        <is>
          <t>Best Popular Film Providing Wholesome Entertainment</t>
        </is>
      </c>
      <c r="G76" s="5" t="inlineStr">
        <is>
          <t>Aamir Khan (producer); Ashutosh Gowariker (director)</t>
        </is>
      </c>
      <c r="H76" s="5" t="inlineStr">
        <is>
          <t>Film</t>
        </is>
      </c>
      <c r="I76" s="5" t="inlineStr">
        <is>
          <t>Win</t>
        </is>
      </c>
      <c r="J76" s="5" t="inlineStr">
        <is>
          <t>Competitive</t>
        </is>
      </c>
      <c r="K76" s="5" t="inlineStr">
        <is>
          <t>Ceremony held 13 February 2003.</t>
        </is>
      </c>
      <c r="L76" s="5" t="inlineStr">
        <is>
          <t>SOURCE-071</t>
        </is>
      </c>
      <c r="M76" s="5" t="inlineStr">
        <is>
          <t>High</t>
        </is>
      </c>
    </row>
    <row r="77" ht="64" customHeight="1">
      <c r="A77" s="15" t="inlineStr">
        <is>
          <t>AWARD-076</t>
        </is>
      </c>
      <c r="B77" s="18" t="inlineStr">
        <is>
          <t>FILM-033</t>
        </is>
      </c>
      <c r="C77" s="5" t="inlineStr">
        <is>
          <t>Lagaan</t>
        </is>
      </c>
      <c r="D77" s="17" t="n">
        <v>2003</v>
      </c>
      <c r="E77" s="5" t="inlineStr">
        <is>
          <t>National Film Awards (49th)</t>
        </is>
      </c>
      <c r="F77" s="5" t="inlineStr">
        <is>
          <t>Best Male Playback Singer</t>
        </is>
      </c>
      <c r="G77" s="5" t="inlineStr">
        <is>
          <t>Udit Narayan ("Mitwa"; "Jaane Kyon")</t>
        </is>
      </c>
      <c r="H77" s="5" t="inlineStr">
        <is>
          <t>Playback singer</t>
        </is>
      </c>
      <c r="I77" s="5" t="inlineStr">
        <is>
          <t>Win</t>
        </is>
      </c>
      <c r="J77" s="5" t="inlineStr">
        <is>
          <t>Competitive</t>
        </is>
      </c>
      <c r="K77" s="5" t="inlineStr">
        <is>
          <t>The ceremony page lists this award under both Lagaan ('Mitwa') and Dil Chahta Hai ('Jaane Kyon'); recorded once as a single award.</t>
        </is>
      </c>
      <c r="L77" s="5" t="inlineStr">
        <is>
          <t>SOURCE-071</t>
        </is>
      </c>
      <c r="M77" s="5" t="inlineStr">
        <is>
          <t>Medium</t>
        </is>
      </c>
    </row>
    <row r="78" ht="19" customHeight="1">
      <c r="A78" s="15" t="inlineStr">
        <is>
          <t>AWARD-077</t>
        </is>
      </c>
      <c r="B78" s="18" t="inlineStr">
        <is>
          <t>FILM-033</t>
        </is>
      </c>
      <c r="C78" s="5" t="inlineStr">
        <is>
          <t>Lagaan</t>
        </is>
      </c>
      <c r="D78" s="17" t="n">
        <v>2003</v>
      </c>
      <c r="E78" s="5" t="inlineStr">
        <is>
          <t>National Film Awards (49th)</t>
        </is>
      </c>
      <c r="F78" s="5" t="inlineStr">
        <is>
          <t>Best Audiography</t>
        </is>
      </c>
      <c r="G78" s="5" t="inlineStr">
        <is>
          <t>H. Sridhar; Nakul Kamte</t>
        </is>
      </c>
      <c r="H78" s="5" t="inlineStr">
        <is>
          <t>Technician</t>
        </is>
      </c>
      <c r="I78" s="5" t="inlineStr">
        <is>
          <t>Win</t>
        </is>
      </c>
      <c r="J78" s="5" t="inlineStr">
        <is>
          <t>Competitive</t>
        </is>
      </c>
      <c r="K78" s="5" t="n"/>
      <c r="L78" s="5" t="inlineStr">
        <is>
          <t>SOURCE-071</t>
        </is>
      </c>
      <c r="M78" s="5" t="inlineStr">
        <is>
          <t>High</t>
        </is>
      </c>
    </row>
    <row r="79" ht="19" customHeight="1">
      <c r="A79" s="15" t="inlineStr">
        <is>
          <t>AWARD-078</t>
        </is>
      </c>
      <c r="B79" s="18" t="inlineStr">
        <is>
          <t>FILM-033</t>
        </is>
      </c>
      <c r="C79" s="5" t="inlineStr">
        <is>
          <t>Lagaan</t>
        </is>
      </c>
      <c r="D79" s="17" t="n">
        <v>2003</v>
      </c>
      <c r="E79" s="5" t="inlineStr">
        <is>
          <t>National Film Awards (49th)</t>
        </is>
      </c>
      <c r="F79" s="5" t="inlineStr">
        <is>
          <t>Best Art Direction</t>
        </is>
      </c>
      <c r="G79" s="5" t="inlineStr">
        <is>
          <t>Nitin Chandrakant Desai</t>
        </is>
      </c>
      <c r="H79" s="5" t="inlineStr">
        <is>
          <t>Technician</t>
        </is>
      </c>
      <c r="I79" s="5" t="inlineStr">
        <is>
          <t>Win</t>
        </is>
      </c>
      <c r="J79" s="5" t="inlineStr">
        <is>
          <t>Competitive</t>
        </is>
      </c>
      <c r="K79" s="5" t="n"/>
      <c r="L79" s="5" t="inlineStr">
        <is>
          <t>SOURCE-071</t>
        </is>
      </c>
      <c r="M79" s="5" t="inlineStr">
        <is>
          <t>High</t>
        </is>
      </c>
    </row>
    <row r="80" ht="19" customHeight="1">
      <c r="A80" s="15" t="inlineStr">
        <is>
          <t>AWARD-079</t>
        </is>
      </c>
      <c r="B80" s="18" t="inlineStr">
        <is>
          <t>FILM-033</t>
        </is>
      </c>
      <c r="C80" s="5" t="inlineStr">
        <is>
          <t>Lagaan</t>
        </is>
      </c>
      <c r="D80" s="17" t="n">
        <v>2003</v>
      </c>
      <c r="E80" s="5" t="inlineStr">
        <is>
          <t>National Film Awards (49th)</t>
        </is>
      </c>
      <c r="F80" s="5" t="inlineStr">
        <is>
          <t>Best Costume Design</t>
        </is>
      </c>
      <c r="G80" s="5" t="inlineStr">
        <is>
          <t>Bhanu Athaiya</t>
        </is>
      </c>
      <c r="H80" s="5" t="inlineStr">
        <is>
          <t>Costume designer</t>
        </is>
      </c>
      <c r="I80" s="5" t="inlineStr">
        <is>
          <t>Win</t>
        </is>
      </c>
      <c r="J80" s="5" t="inlineStr">
        <is>
          <t>Competitive</t>
        </is>
      </c>
      <c r="K80" s="5" t="n"/>
      <c r="L80" s="5" t="inlineStr">
        <is>
          <t>SOURCE-071</t>
        </is>
      </c>
      <c r="M80" s="5" t="inlineStr">
        <is>
          <t>High</t>
        </is>
      </c>
    </row>
    <row r="81" ht="19" customHeight="1">
      <c r="A81" s="15" t="inlineStr">
        <is>
          <t>AWARD-080</t>
        </is>
      </c>
      <c r="B81" s="18" t="inlineStr">
        <is>
          <t>FILM-033</t>
        </is>
      </c>
      <c r="C81" s="5" t="inlineStr">
        <is>
          <t>Lagaan</t>
        </is>
      </c>
      <c r="D81" s="17" t="n">
        <v>2003</v>
      </c>
      <c r="E81" s="5" t="inlineStr">
        <is>
          <t>National Film Awards (49th)</t>
        </is>
      </c>
      <c r="F81" s="5" t="inlineStr">
        <is>
          <t>Best Music Direction</t>
        </is>
      </c>
      <c r="G81" s="5" t="inlineStr">
        <is>
          <t>A. R. Rahman</t>
        </is>
      </c>
      <c r="H81" s="5" t="inlineStr">
        <is>
          <t>Composer</t>
        </is>
      </c>
      <c r="I81" s="5" t="inlineStr">
        <is>
          <t>Win</t>
        </is>
      </c>
      <c r="J81" s="5" t="inlineStr">
        <is>
          <t>Competitive</t>
        </is>
      </c>
      <c r="K81" s="5" t="n"/>
      <c r="L81" s="5" t="inlineStr">
        <is>
          <t>SOURCE-071</t>
        </is>
      </c>
      <c r="M81" s="5" t="inlineStr">
        <is>
          <t>High</t>
        </is>
      </c>
    </row>
    <row r="82" ht="19" customHeight="1">
      <c r="A82" s="15" t="inlineStr">
        <is>
          <t>AWARD-081</t>
        </is>
      </c>
      <c r="B82" s="18" t="inlineStr">
        <is>
          <t>FILM-033</t>
        </is>
      </c>
      <c r="C82" s="5" t="inlineStr">
        <is>
          <t>Lagaan</t>
        </is>
      </c>
      <c r="D82" s="17" t="n">
        <v>2003</v>
      </c>
      <c r="E82" s="5" t="inlineStr">
        <is>
          <t>National Film Awards (49th)</t>
        </is>
      </c>
      <c r="F82" s="5" t="inlineStr">
        <is>
          <t>Best Lyrics</t>
        </is>
      </c>
      <c r="G82" s="5" t="inlineStr">
        <is>
          <t>Javed Akhtar</t>
        </is>
      </c>
      <c r="H82" s="5" t="inlineStr">
        <is>
          <t>Lyricist</t>
        </is>
      </c>
      <c r="I82" s="5" t="inlineStr">
        <is>
          <t>Win</t>
        </is>
      </c>
      <c r="J82" s="5" t="inlineStr">
        <is>
          <t>Competitive</t>
        </is>
      </c>
      <c r="K82" s="5" t="n"/>
      <c r="L82" s="5" t="inlineStr">
        <is>
          <t>SOURCE-071</t>
        </is>
      </c>
      <c r="M82" s="5" t="inlineStr">
        <is>
          <t>High</t>
        </is>
      </c>
    </row>
    <row r="83" ht="19" customHeight="1">
      <c r="A83" s="15" t="inlineStr">
        <is>
          <t>AWARD-082</t>
        </is>
      </c>
      <c r="B83" s="18" t="inlineStr">
        <is>
          <t>FILM-033</t>
        </is>
      </c>
      <c r="C83" s="5" t="inlineStr">
        <is>
          <t>Lagaan</t>
        </is>
      </c>
      <c r="D83" s="17" t="n">
        <v>2003</v>
      </c>
      <c r="E83" s="5" t="inlineStr">
        <is>
          <t>National Film Awards (49th)</t>
        </is>
      </c>
      <c r="F83" s="5" t="inlineStr">
        <is>
          <t>Best Choreography</t>
        </is>
      </c>
      <c r="G83" s="5" t="inlineStr">
        <is>
          <t>Raju Khan</t>
        </is>
      </c>
      <c r="H83" s="5" t="inlineStr">
        <is>
          <t>Choreographer</t>
        </is>
      </c>
      <c r="I83" s="5" t="inlineStr">
        <is>
          <t>Win</t>
        </is>
      </c>
      <c r="J83" s="5" t="inlineStr">
        <is>
          <t>Competitive</t>
        </is>
      </c>
      <c r="K83" s="5" t="n"/>
      <c r="L83" s="5" t="inlineStr">
        <is>
          <t>SOURCE-071</t>
        </is>
      </c>
      <c r="M83" s="5" t="inlineStr">
        <is>
          <t>High</t>
        </is>
      </c>
    </row>
    <row r="84" ht="34" customHeight="1">
      <c r="A84" s="15" t="inlineStr">
        <is>
          <t>AWARD-083</t>
        </is>
      </c>
      <c r="B84" s="18" t="inlineStr">
        <is>
          <t>FILM-034</t>
        </is>
      </c>
      <c r="C84" s="5" t="inlineStr">
        <is>
          <t>Dil Chahta Hai</t>
        </is>
      </c>
      <c r="D84" s="17" t="n">
        <v>2003</v>
      </c>
      <c r="E84" s="5" t="inlineStr">
        <is>
          <t>National Film Awards (49th)</t>
        </is>
      </c>
      <c r="F84" s="5" t="inlineStr">
        <is>
          <t>Best Feature Film in Hindi</t>
        </is>
      </c>
      <c r="G84" s="5" t="inlineStr">
        <is>
          <t>Ritesh Sidhwani (producer); Farhan Akhtar (director)</t>
        </is>
      </c>
      <c r="H84" s="5" t="inlineStr">
        <is>
          <t>Film</t>
        </is>
      </c>
      <c r="I84" s="5" t="inlineStr">
        <is>
          <t>Win</t>
        </is>
      </c>
      <c r="J84" s="5" t="inlineStr">
        <is>
          <t>Competitive</t>
        </is>
      </c>
      <c r="K84" s="5" t="n"/>
      <c r="L84" s="5" t="inlineStr">
        <is>
          <t>SOURCE-071; SOURCE-040</t>
        </is>
      </c>
      <c r="M84" s="5" t="inlineStr">
        <is>
          <t>High</t>
        </is>
      </c>
    </row>
    <row r="85" ht="34" customHeight="1">
      <c r="A85" s="15" t="inlineStr">
        <is>
          <t>AWARD-084</t>
        </is>
      </c>
      <c r="B85" s="18" t="n"/>
      <c r="C85" s="5" t="n"/>
      <c r="D85" s="17" t="n">
        <v>2003</v>
      </c>
      <c r="E85" s="5" t="inlineStr">
        <is>
          <t>Government of India</t>
        </is>
      </c>
      <c r="F85" s="5" t="inlineStr">
        <is>
          <t>Padma Shri</t>
        </is>
      </c>
      <c r="G85" s="5" t="inlineStr">
        <is>
          <t>Aamir Khan</t>
        </is>
      </c>
      <c r="H85" s="5" t="inlineStr">
        <is>
          <t>Actor</t>
        </is>
      </c>
      <c r="I85" s="5" t="inlineStr">
        <is>
          <t>Win</t>
        </is>
      </c>
      <c r="J85" s="5" t="inlineStr">
        <is>
          <t>Honorary</t>
        </is>
      </c>
      <c r="K85" s="5" t="inlineStr">
        <is>
          <t>Civilian honour for his contribution to the arts; not tied to a single film.</t>
        </is>
      </c>
      <c r="L85" s="5" t="inlineStr">
        <is>
          <t>SOURCE-003</t>
        </is>
      </c>
      <c r="M85" s="5" t="inlineStr">
        <is>
          <t>Medium</t>
        </is>
      </c>
    </row>
    <row r="86" ht="19" customHeight="1">
      <c r="A86" s="15" t="inlineStr">
        <is>
          <t>AWARD-085</t>
        </is>
      </c>
      <c r="B86" s="18" t="inlineStr">
        <is>
          <t>FILM-035</t>
        </is>
      </c>
      <c r="C86" s="5" t="inlineStr">
        <is>
          <t>Mangal Pandey: The Rising</t>
        </is>
      </c>
      <c r="D86" s="17" t="n">
        <v>2006</v>
      </c>
      <c r="E86" s="5" t="inlineStr">
        <is>
          <t>Filmfare Awards (51st)</t>
        </is>
      </c>
      <c r="F86" s="5" t="inlineStr">
        <is>
          <t>Best Actor</t>
        </is>
      </c>
      <c r="G86" s="5" t="inlineStr">
        <is>
          <t>Aamir Khan</t>
        </is>
      </c>
      <c r="H86" s="5" t="inlineStr">
        <is>
          <t>Actor</t>
        </is>
      </c>
      <c r="I86" s="5" t="inlineStr">
        <is>
          <t>Nomination</t>
        </is>
      </c>
      <c r="J86" s="5" t="inlineStr">
        <is>
          <t>Competitive</t>
        </is>
      </c>
      <c r="K86" s="5" t="inlineStr">
        <is>
          <t>Award won by Amitabh Bachchan.</t>
        </is>
      </c>
      <c r="L86" s="5" t="inlineStr">
        <is>
          <t>SOURCE-066; SOURCE-041</t>
        </is>
      </c>
      <c r="M86" s="5" t="inlineStr">
        <is>
          <t>High</t>
        </is>
      </c>
    </row>
    <row r="87" ht="34" customHeight="1">
      <c r="A87" s="15" t="inlineStr">
        <is>
          <t>AWARD-086</t>
        </is>
      </c>
      <c r="B87" s="18" t="inlineStr">
        <is>
          <t>FILM-036</t>
        </is>
      </c>
      <c r="C87" s="5" t="inlineStr">
        <is>
          <t>Rang De Basanti</t>
        </is>
      </c>
      <c r="D87" s="17" t="n">
        <v>2007</v>
      </c>
      <c r="E87" s="5" t="inlineStr">
        <is>
          <t>BAFTA Awards</t>
        </is>
      </c>
      <c r="F87" s="5" t="inlineStr">
        <is>
          <t>Best Film Not in the English Language</t>
        </is>
      </c>
      <c r="G87" s="5" t="inlineStr">
        <is>
          <t>Ronnie Screwvala; Rakeysh Omprakash Mehra</t>
        </is>
      </c>
      <c r="H87" s="5" t="inlineStr">
        <is>
          <t>Producer</t>
        </is>
      </c>
      <c r="I87" s="5" t="inlineStr">
        <is>
          <t>Nomination</t>
        </is>
      </c>
      <c r="J87" s="5" t="inlineStr">
        <is>
          <t>Competitive</t>
        </is>
      </c>
      <c r="K87" s="5" t="inlineStr">
        <is>
          <t>Ceremony held 11 February 2007.</t>
        </is>
      </c>
      <c r="L87" s="5" t="inlineStr">
        <is>
          <t>SOURCE-042</t>
        </is>
      </c>
      <c r="M87" s="5" t="inlineStr">
        <is>
          <t>High</t>
        </is>
      </c>
    </row>
    <row r="88" ht="34" customHeight="1">
      <c r="A88" s="15" t="inlineStr">
        <is>
          <t>AWARD-087</t>
        </is>
      </c>
      <c r="B88" s="18" t="inlineStr">
        <is>
          <t>FILM-036</t>
        </is>
      </c>
      <c r="C88" s="5" t="inlineStr">
        <is>
          <t>Rang De Basanti</t>
        </is>
      </c>
      <c r="D88" s="17" t="n">
        <v>2007</v>
      </c>
      <c r="E88" s="5" t="inlineStr">
        <is>
          <t>Filmfare Awards (52nd)</t>
        </is>
      </c>
      <c r="F88" s="5" t="inlineStr">
        <is>
          <t>Best Film</t>
        </is>
      </c>
      <c r="G88" s="5" t="inlineStr">
        <is>
          <t>Ronnie Screwvala; Rakeysh Omprakash Mehra</t>
        </is>
      </c>
      <c r="H88" s="5" t="inlineStr">
        <is>
          <t>Producer</t>
        </is>
      </c>
      <c r="I88" s="5" t="inlineStr">
        <is>
          <t>Win</t>
        </is>
      </c>
      <c r="J88" s="5" t="inlineStr">
        <is>
          <t>Competitive</t>
        </is>
      </c>
      <c r="K88" s="5" t="n"/>
      <c r="L88" s="5" t="inlineStr">
        <is>
          <t>SOURCE-042; SOURCE-104</t>
        </is>
      </c>
      <c r="M88" s="5" t="inlineStr">
        <is>
          <t>High</t>
        </is>
      </c>
    </row>
    <row r="89" ht="19" customHeight="1">
      <c r="A89" s="15" t="inlineStr">
        <is>
          <t>AWARD-088</t>
        </is>
      </c>
      <c r="B89" s="18" t="inlineStr">
        <is>
          <t>FILM-036</t>
        </is>
      </c>
      <c r="C89" s="5" t="inlineStr">
        <is>
          <t>Rang De Basanti</t>
        </is>
      </c>
      <c r="D89" s="17" t="n">
        <v>2007</v>
      </c>
      <c r="E89" s="5" t="inlineStr">
        <is>
          <t>Filmfare Awards (52nd)</t>
        </is>
      </c>
      <c r="F89" s="5" t="inlineStr">
        <is>
          <t>Best Director</t>
        </is>
      </c>
      <c r="G89" s="5" t="inlineStr">
        <is>
          <t>Rakeysh Omprakash Mehra</t>
        </is>
      </c>
      <c r="H89" s="5" t="inlineStr">
        <is>
          <t>Director</t>
        </is>
      </c>
      <c r="I89" s="5" t="inlineStr">
        <is>
          <t>Win</t>
        </is>
      </c>
      <c r="J89" s="5" t="inlineStr">
        <is>
          <t>Competitive</t>
        </is>
      </c>
      <c r="K89" s="5" t="n"/>
      <c r="L89" s="5" t="inlineStr">
        <is>
          <t>SOURCE-042</t>
        </is>
      </c>
      <c r="M89" s="5" t="inlineStr">
        <is>
          <t>High</t>
        </is>
      </c>
    </row>
    <row r="90" ht="19" customHeight="1">
      <c r="A90" s="15" t="inlineStr">
        <is>
          <t>AWARD-089</t>
        </is>
      </c>
      <c r="B90" s="18" t="inlineStr">
        <is>
          <t>FILM-036</t>
        </is>
      </c>
      <c r="C90" s="5" t="inlineStr">
        <is>
          <t>Rang De Basanti</t>
        </is>
      </c>
      <c r="D90" s="17" t="n">
        <v>2007</v>
      </c>
      <c r="E90" s="5" t="inlineStr">
        <is>
          <t>Filmfare Awards (52nd)</t>
        </is>
      </c>
      <c r="F90" s="5" t="inlineStr">
        <is>
          <t>Best Music Director</t>
        </is>
      </c>
      <c r="G90" s="5" t="inlineStr">
        <is>
          <t>A. R. Rahman</t>
        </is>
      </c>
      <c r="H90" s="5" t="inlineStr">
        <is>
          <t>Composer</t>
        </is>
      </c>
      <c r="I90" s="5" t="inlineStr">
        <is>
          <t>Win</t>
        </is>
      </c>
      <c r="J90" s="5" t="inlineStr">
        <is>
          <t>Competitive</t>
        </is>
      </c>
      <c r="K90" s="5" t="n"/>
      <c r="L90" s="5" t="inlineStr">
        <is>
          <t>SOURCE-042</t>
        </is>
      </c>
      <c r="M90" s="5" t="inlineStr">
        <is>
          <t>High</t>
        </is>
      </c>
    </row>
    <row r="91" ht="19" customHeight="1">
      <c r="A91" s="15" t="inlineStr">
        <is>
          <t>AWARD-090</t>
        </is>
      </c>
      <c r="B91" s="18" t="inlineStr">
        <is>
          <t>FILM-036</t>
        </is>
      </c>
      <c r="C91" s="5" t="inlineStr">
        <is>
          <t>Rang De Basanti</t>
        </is>
      </c>
      <c r="D91" s="17" t="n">
        <v>2007</v>
      </c>
      <c r="E91" s="5" t="inlineStr">
        <is>
          <t>Filmfare Awards (52nd)</t>
        </is>
      </c>
      <c r="F91" s="5" t="inlineStr">
        <is>
          <t>Best Cinematography</t>
        </is>
      </c>
      <c r="G91" s="5" t="inlineStr">
        <is>
          <t>Binod Pradhan</t>
        </is>
      </c>
      <c r="H91" s="5" t="inlineStr">
        <is>
          <t>Cinematographer</t>
        </is>
      </c>
      <c r="I91" s="5" t="inlineStr">
        <is>
          <t>Win</t>
        </is>
      </c>
      <c r="J91" s="5" t="inlineStr">
        <is>
          <t>Competitive</t>
        </is>
      </c>
      <c r="K91" s="5" t="n"/>
      <c r="L91" s="5" t="inlineStr">
        <is>
          <t>SOURCE-042</t>
        </is>
      </c>
      <c r="M91" s="5" t="inlineStr">
        <is>
          <t>High</t>
        </is>
      </c>
    </row>
    <row r="92" ht="19" customHeight="1">
      <c r="A92" s="15" t="inlineStr">
        <is>
          <t>AWARD-091</t>
        </is>
      </c>
      <c r="B92" s="18" t="inlineStr">
        <is>
          <t>FILM-036</t>
        </is>
      </c>
      <c r="C92" s="5" t="inlineStr">
        <is>
          <t>Rang De Basanti</t>
        </is>
      </c>
      <c r="D92" s="17" t="n">
        <v>2007</v>
      </c>
      <c r="E92" s="5" t="inlineStr">
        <is>
          <t>Filmfare Awards (52nd)</t>
        </is>
      </c>
      <c r="F92" s="5" t="inlineStr">
        <is>
          <t>Best Editing</t>
        </is>
      </c>
      <c r="G92" s="5" t="inlineStr">
        <is>
          <t>P. S. Bharathi</t>
        </is>
      </c>
      <c r="H92" s="5" t="inlineStr">
        <is>
          <t>Editor</t>
        </is>
      </c>
      <c r="I92" s="5" t="inlineStr">
        <is>
          <t>Win</t>
        </is>
      </c>
      <c r="J92" s="5" t="inlineStr">
        <is>
          <t>Competitive</t>
        </is>
      </c>
      <c r="K92" s="5" t="n"/>
      <c r="L92" s="5" t="inlineStr">
        <is>
          <t>SOURCE-042</t>
        </is>
      </c>
      <c r="M92" s="5" t="inlineStr">
        <is>
          <t>High</t>
        </is>
      </c>
    </row>
    <row r="93" ht="19" customHeight="1">
      <c r="A93" s="15" t="inlineStr">
        <is>
          <t>AWARD-092</t>
        </is>
      </c>
      <c r="B93" s="18" t="inlineStr">
        <is>
          <t>FILM-036</t>
        </is>
      </c>
      <c r="C93" s="5" t="inlineStr">
        <is>
          <t>Rang De Basanti</t>
        </is>
      </c>
      <c r="D93" s="17" t="n">
        <v>2007</v>
      </c>
      <c r="E93" s="5" t="inlineStr">
        <is>
          <t>Filmfare Awards (52nd)</t>
        </is>
      </c>
      <c r="F93" s="5" t="inlineStr">
        <is>
          <t>Best Actor (Critics)</t>
        </is>
      </c>
      <c r="G93" s="5" t="inlineStr">
        <is>
          <t>Aamir Khan</t>
        </is>
      </c>
      <c r="H93" s="5" t="inlineStr">
        <is>
          <t>Actor</t>
        </is>
      </c>
      <c r="I93" s="5" t="inlineStr">
        <is>
          <t>Win</t>
        </is>
      </c>
      <c r="J93" s="5" t="inlineStr">
        <is>
          <t>Competitive</t>
        </is>
      </c>
      <c r="K93" s="5" t="n"/>
      <c r="L93" s="5" t="inlineStr">
        <is>
          <t>SOURCE-042; SOURCE-003</t>
        </is>
      </c>
      <c r="M93" s="5" t="inlineStr">
        <is>
          <t>High</t>
        </is>
      </c>
    </row>
    <row r="94" ht="19" customHeight="1">
      <c r="A94" s="15" t="inlineStr">
        <is>
          <t>AWARD-093</t>
        </is>
      </c>
      <c r="B94" s="18" t="inlineStr">
        <is>
          <t>FILM-036</t>
        </is>
      </c>
      <c r="C94" s="5" t="inlineStr">
        <is>
          <t>Rang De Basanti</t>
        </is>
      </c>
      <c r="D94" s="17" t="n">
        <v>2007</v>
      </c>
      <c r="E94" s="5" t="inlineStr">
        <is>
          <t>Filmfare Awards (52nd)</t>
        </is>
      </c>
      <c r="F94" s="5" t="inlineStr">
        <is>
          <t>Best Actor</t>
        </is>
      </c>
      <c r="G94" s="5" t="inlineStr">
        <is>
          <t>Aamir Khan</t>
        </is>
      </c>
      <c r="H94" s="5" t="inlineStr">
        <is>
          <t>Actor</t>
        </is>
      </c>
      <c r="I94" s="5" t="inlineStr">
        <is>
          <t>Nomination</t>
        </is>
      </c>
      <c r="J94" s="5" t="inlineStr">
        <is>
          <t>Competitive</t>
        </is>
      </c>
      <c r="K94" s="5" t="inlineStr">
        <is>
          <t>Award won by Hrithik Roshan.</t>
        </is>
      </c>
      <c r="L94" s="5" t="inlineStr">
        <is>
          <t>SOURCE-066; SOURCE-042</t>
        </is>
      </c>
      <c r="M94" s="5" t="inlineStr">
        <is>
          <t>High</t>
        </is>
      </c>
    </row>
    <row r="95" ht="19" customHeight="1">
      <c r="A95" s="15" t="inlineStr">
        <is>
          <t>AWARD-094</t>
        </is>
      </c>
      <c r="B95" s="18" t="inlineStr">
        <is>
          <t>FILM-037</t>
        </is>
      </c>
      <c r="C95" s="5" t="inlineStr">
        <is>
          <t>Fanaa</t>
        </is>
      </c>
      <c r="D95" s="17" t="n">
        <v>2007</v>
      </c>
      <c r="E95" s="5" t="inlineStr">
        <is>
          <t>Filmfare Awards (52nd)</t>
        </is>
      </c>
      <c r="F95" s="5" t="inlineStr">
        <is>
          <t>Best Actress</t>
        </is>
      </c>
      <c r="G95" s="5" t="inlineStr">
        <is>
          <t>Kajol</t>
        </is>
      </c>
      <c r="H95" s="5" t="inlineStr">
        <is>
          <t>Actress</t>
        </is>
      </c>
      <c r="I95" s="5" t="inlineStr">
        <is>
          <t>Win</t>
        </is>
      </c>
      <c r="J95" s="5" t="inlineStr">
        <is>
          <t>Competitive</t>
        </is>
      </c>
      <c r="K95" s="5" t="n"/>
      <c r="L95" s="5" t="inlineStr">
        <is>
          <t>SOURCE-043</t>
        </is>
      </c>
      <c r="M95" s="5" t="inlineStr">
        <is>
          <t>High</t>
        </is>
      </c>
    </row>
    <row r="96" ht="34" customHeight="1">
      <c r="A96" s="15" t="inlineStr">
        <is>
          <t>AWARD-095</t>
        </is>
      </c>
      <c r="B96" s="18" t="inlineStr">
        <is>
          <t>FILM-037</t>
        </is>
      </c>
      <c r="C96" s="5" t="inlineStr">
        <is>
          <t>Fanaa</t>
        </is>
      </c>
      <c r="D96" s="17" t="n">
        <v>2007</v>
      </c>
      <c r="E96" s="5" t="inlineStr">
        <is>
          <t>Filmfare Awards (52nd)</t>
        </is>
      </c>
      <c r="F96" s="5" t="inlineStr">
        <is>
          <t>Best Lyricist</t>
        </is>
      </c>
      <c r="G96" s="5" t="inlineStr">
        <is>
          <t>Prasoon Joshi ("Chand Sifarish")</t>
        </is>
      </c>
      <c r="H96" s="5" t="inlineStr">
        <is>
          <t>Lyricist</t>
        </is>
      </c>
      <c r="I96" s="5" t="inlineStr">
        <is>
          <t>Win</t>
        </is>
      </c>
      <c r="J96" s="5" t="inlineStr">
        <is>
          <t>Competitive</t>
        </is>
      </c>
      <c r="K96" s="5" t="n"/>
      <c r="L96" s="5" t="inlineStr">
        <is>
          <t>SOURCE-043</t>
        </is>
      </c>
      <c r="M96" s="5" t="inlineStr">
        <is>
          <t>High</t>
        </is>
      </c>
    </row>
    <row r="97" ht="34" customHeight="1">
      <c r="A97" s="15" t="inlineStr">
        <is>
          <t>AWARD-096</t>
        </is>
      </c>
      <c r="B97" s="18" t="inlineStr">
        <is>
          <t>FILM-037</t>
        </is>
      </c>
      <c r="C97" s="5" t="inlineStr">
        <is>
          <t>Fanaa</t>
        </is>
      </c>
      <c r="D97" s="17" t="n">
        <v>2007</v>
      </c>
      <c r="E97" s="5" t="inlineStr">
        <is>
          <t>Filmfare Awards (52nd)</t>
        </is>
      </c>
      <c r="F97" s="5" t="inlineStr">
        <is>
          <t>Best Male Playback Singer</t>
        </is>
      </c>
      <c r="G97" s="5" t="inlineStr">
        <is>
          <t>Shaan; Kailash Kher ("Chand Sifarish")</t>
        </is>
      </c>
      <c r="H97" s="5" t="inlineStr">
        <is>
          <t>Playback singer</t>
        </is>
      </c>
      <c r="I97" s="5" t="inlineStr">
        <is>
          <t>Win</t>
        </is>
      </c>
      <c r="J97" s="5" t="inlineStr">
        <is>
          <t>Competitive</t>
        </is>
      </c>
      <c r="K97" s="5" t="n"/>
      <c r="L97" s="5" t="inlineStr">
        <is>
          <t>SOURCE-043</t>
        </is>
      </c>
      <c r="M97" s="5" t="inlineStr">
        <is>
          <t>High</t>
        </is>
      </c>
    </row>
    <row r="98" ht="34" customHeight="1">
      <c r="A98" s="15" t="inlineStr">
        <is>
          <t>AWARD-097</t>
        </is>
      </c>
      <c r="B98" s="18" t="inlineStr">
        <is>
          <t>FILM-036</t>
        </is>
      </c>
      <c r="C98" s="5" t="inlineStr">
        <is>
          <t>Rang De Basanti</t>
        </is>
      </c>
      <c r="D98" s="17" t="n">
        <v>2007</v>
      </c>
      <c r="E98" s="5" t="inlineStr">
        <is>
          <t>National Film Awards (54th)</t>
        </is>
      </c>
      <c r="F98" s="5" t="inlineStr">
        <is>
          <t>Best Popular Film Providing Wholesome Entertainment</t>
        </is>
      </c>
      <c r="G98" s="5" t="inlineStr">
        <is>
          <t>Ronnie Screwvala; Rakeysh Omprakash Mehra</t>
        </is>
      </c>
      <c r="H98" s="5" t="inlineStr">
        <is>
          <t>Film</t>
        </is>
      </c>
      <c r="I98" s="5" t="inlineStr">
        <is>
          <t>Win</t>
        </is>
      </c>
      <c r="J98" s="5" t="inlineStr">
        <is>
          <t>Competitive</t>
        </is>
      </c>
      <c r="K98" s="5" t="inlineStr">
        <is>
          <t>Ceremony held 14 September 2007.</t>
        </is>
      </c>
      <c r="L98" s="5" t="inlineStr">
        <is>
          <t>SOURCE-042; SOURCE-104</t>
        </is>
      </c>
      <c r="M98" s="5" t="inlineStr">
        <is>
          <t>High</t>
        </is>
      </c>
    </row>
    <row r="99" ht="19" customHeight="1">
      <c r="A99" s="15" t="inlineStr">
        <is>
          <t>AWARD-098</t>
        </is>
      </c>
      <c r="B99" s="18" t="inlineStr">
        <is>
          <t>FILM-036</t>
        </is>
      </c>
      <c r="C99" s="5" t="inlineStr">
        <is>
          <t>Rang De Basanti</t>
        </is>
      </c>
      <c r="D99" s="17" t="n">
        <v>2007</v>
      </c>
      <c r="E99" s="5" t="inlineStr">
        <is>
          <t>National Film Awards (54th)</t>
        </is>
      </c>
      <c r="F99" s="5" t="inlineStr">
        <is>
          <t>Best Male Playback Singer</t>
        </is>
      </c>
      <c r="G99" s="5" t="inlineStr">
        <is>
          <t>Naresh Iyer ("Roobaroo")</t>
        </is>
      </c>
      <c r="H99" s="5" t="inlineStr">
        <is>
          <t>Playback singer</t>
        </is>
      </c>
      <c r="I99" s="5" t="inlineStr">
        <is>
          <t>Win</t>
        </is>
      </c>
      <c r="J99" s="5" t="inlineStr">
        <is>
          <t>Competitive</t>
        </is>
      </c>
      <c r="K99" s="5" t="n"/>
      <c r="L99" s="5" t="inlineStr">
        <is>
          <t>SOURCE-042</t>
        </is>
      </c>
      <c r="M99" s="5" t="inlineStr">
        <is>
          <t>High</t>
        </is>
      </c>
    </row>
    <row r="100" ht="19" customHeight="1">
      <c r="A100" s="15" t="inlineStr">
        <is>
          <t>AWARD-099</t>
        </is>
      </c>
      <c r="B100" s="18" t="inlineStr">
        <is>
          <t>FILM-036</t>
        </is>
      </c>
      <c r="C100" s="5" t="inlineStr">
        <is>
          <t>Rang De Basanti</t>
        </is>
      </c>
      <c r="D100" s="17" t="n">
        <v>2007</v>
      </c>
      <c r="E100" s="5" t="inlineStr">
        <is>
          <t>National Film Awards (54th)</t>
        </is>
      </c>
      <c r="F100" s="5" t="inlineStr">
        <is>
          <t>Best Editing</t>
        </is>
      </c>
      <c r="G100" s="5" t="inlineStr">
        <is>
          <t>P. S. Bharathi</t>
        </is>
      </c>
      <c r="H100" s="5" t="inlineStr">
        <is>
          <t>Editor</t>
        </is>
      </c>
      <c r="I100" s="5" t="inlineStr">
        <is>
          <t>Win</t>
        </is>
      </c>
      <c r="J100" s="5" t="inlineStr">
        <is>
          <t>Competitive</t>
        </is>
      </c>
      <c r="K100" s="5" t="n"/>
      <c r="L100" s="5" t="inlineStr">
        <is>
          <t>SOURCE-042</t>
        </is>
      </c>
      <c r="M100" s="5" t="inlineStr">
        <is>
          <t>High</t>
        </is>
      </c>
    </row>
    <row r="101" ht="49" customHeight="1">
      <c r="A101" s="15" t="inlineStr">
        <is>
          <t>AWARD-100</t>
        </is>
      </c>
      <c r="B101" s="18" t="inlineStr">
        <is>
          <t>FILM-036</t>
        </is>
      </c>
      <c r="C101" s="5" t="inlineStr">
        <is>
          <t>Rang De Basanti</t>
        </is>
      </c>
      <c r="D101" s="17" t="n">
        <v>2007</v>
      </c>
      <c r="E101" s="5" t="inlineStr">
        <is>
          <t>National Film Awards (54th)</t>
        </is>
      </c>
      <c r="F101" s="5" t="inlineStr">
        <is>
          <t>Best Audiography</t>
        </is>
      </c>
      <c r="G101" s="5" t="inlineStr">
        <is>
          <t>Nakul Kamte</t>
        </is>
      </c>
      <c r="H101" s="5" t="inlineStr">
        <is>
          <t>Technician</t>
        </is>
      </c>
      <c r="I101" s="5" t="inlineStr">
        <is>
          <t>Win</t>
        </is>
      </c>
      <c r="J101" s="5" t="inlineStr">
        <is>
          <t>Competitive</t>
        </is>
      </c>
      <c r="K101" s="5" t="inlineStr">
        <is>
          <t>Spelled 'Kamre' in the film article's awards table and 'Kamte' on the 49th National Film Awards page.</t>
        </is>
      </c>
      <c r="L101" s="5" t="inlineStr">
        <is>
          <t>SOURCE-042</t>
        </is>
      </c>
      <c r="M101" s="5" t="inlineStr">
        <is>
          <t>Medium</t>
        </is>
      </c>
    </row>
    <row r="102" ht="19" customHeight="1">
      <c r="A102" s="15" t="inlineStr">
        <is>
          <t>AWARD-101</t>
        </is>
      </c>
      <c r="B102" s="18" t="inlineStr">
        <is>
          <t>FILM-038</t>
        </is>
      </c>
      <c r="C102" s="5" t="inlineStr">
        <is>
          <t>Taare Zameen Par</t>
        </is>
      </c>
      <c r="D102" s="17" t="n">
        <v>2008</v>
      </c>
      <c r="E102" s="5" t="inlineStr">
        <is>
          <t>Filmfare Awards (53rd)</t>
        </is>
      </c>
      <c r="F102" s="5" t="inlineStr">
        <is>
          <t>Best Film</t>
        </is>
      </c>
      <c r="G102" s="5" t="inlineStr">
        <is>
          <t>Aamir Khan (producer)</t>
        </is>
      </c>
      <c r="H102" s="5" t="inlineStr">
        <is>
          <t>Producer</t>
        </is>
      </c>
      <c r="I102" s="5" t="inlineStr">
        <is>
          <t>Win</t>
        </is>
      </c>
      <c r="J102" s="5" t="inlineStr">
        <is>
          <t>Competitive</t>
        </is>
      </c>
      <c r="K102" s="5" t="n"/>
      <c r="L102" s="5" t="inlineStr">
        <is>
          <t>SOURCE-044; SOURCE-003</t>
        </is>
      </c>
      <c r="M102" s="5" t="inlineStr">
        <is>
          <t>High</t>
        </is>
      </c>
    </row>
    <row r="103" ht="19" customHeight="1">
      <c r="A103" s="15" t="inlineStr">
        <is>
          <t>AWARD-102</t>
        </is>
      </c>
      <c r="B103" s="18" t="inlineStr">
        <is>
          <t>FILM-038</t>
        </is>
      </c>
      <c r="C103" s="5" t="inlineStr">
        <is>
          <t>Taare Zameen Par</t>
        </is>
      </c>
      <c r="D103" s="17" t="n">
        <v>2008</v>
      </c>
      <c r="E103" s="5" t="inlineStr">
        <is>
          <t>Filmfare Awards (53rd)</t>
        </is>
      </c>
      <c r="F103" s="5" t="inlineStr">
        <is>
          <t>Best Director</t>
        </is>
      </c>
      <c r="G103" s="5" t="inlineStr">
        <is>
          <t>Aamir Khan</t>
        </is>
      </c>
      <c r="H103" s="5" t="inlineStr">
        <is>
          <t>Director</t>
        </is>
      </c>
      <c r="I103" s="5" t="inlineStr">
        <is>
          <t>Win</t>
        </is>
      </c>
      <c r="J103" s="5" t="inlineStr">
        <is>
          <t>Competitive</t>
        </is>
      </c>
      <c r="K103" s="5" t="n"/>
      <c r="L103" s="5" t="inlineStr">
        <is>
          <t>SOURCE-044; SOURCE-003</t>
        </is>
      </c>
      <c r="M103" s="5" t="inlineStr">
        <is>
          <t>High</t>
        </is>
      </c>
    </row>
    <row r="104" ht="34" customHeight="1">
      <c r="A104" s="15" t="inlineStr">
        <is>
          <t>AWARD-103</t>
        </is>
      </c>
      <c r="B104" s="18" t="inlineStr">
        <is>
          <t>FILM-038</t>
        </is>
      </c>
      <c r="C104" s="5" t="inlineStr">
        <is>
          <t>Taare Zameen Par</t>
        </is>
      </c>
      <c r="D104" s="17" t="n">
        <v>2008</v>
      </c>
      <c r="E104" s="5" t="inlineStr">
        <is>
          <t>Filmfare Awards (53rd)</t>
        </is>
      </c>
      <c r="F104" s="5" t="inlineStr">
        <is>
          <t>Best Lyricist</t>
        </is>
      </c>
      <c r="G104" s="5" t="inlineStr">
        <is>
          <t>Prasoon Joshi ("Maa")</t>
        </is>
      </c>
      <c r="H104" s="5" t="inlineStr">
        <is>
          <t>Lyricist</t>
        </is>
      </c>
      <c r="I104" s="5" t="inlineStr">
        <is>
          <t>Win</t>
        </is>
      </c>
      <c r="J104" s="5" t="inlineStr">
        <is>
          <t>Competitive</t>
        </is>
      </c>
      <c r="K104" s="5" t="inlineStr">
        <is>
          <t>The film won five Filmfare Awards; the other two are not named in the source extract.</t>
        </is>
      </c>
      <c r="L104" s="5" t="inlineStr">
        <is>
          <t>SOURCE-044</t>
        </is>
      </c>
      <c r="M104" s="5" t="inlineStr">
        <is>
          <t>High</t>
        </is>
      </c>
    </row>
    <row r="105" ht="19" customHeight="1">
      <c r="A105" s="15" t="inlineStr">
        <is>
          <t>AWARD-104</t>
        </is>
      </c>
      <c r="B105" s="18" t="inlineStr">
        <is>
          <t>FILM-038</t>
        </is>
      </c>
      <c r="C105" s="5" t="inlineStr">
        <is>
          <t>Taare Zameen Par</t>
        </is>
      </c>
      <c r="D105" s="17" t="n">
        <v>2008</v>
      </c>
      <c r="E105" s="5" t="inlineStr">
        <is>
          <t>Filmfare Awards (53rd)</t>
        </is>
      </c>
      <c r="F105" s="5" t="inlineStr">
        <is>
          <t>Best Supporting Actor</t>
        </is>
      </c>
      <c r="G105" s="5" t="inlineStr">
        <is>
          <t>Aamir Khan</t>
        </is>
      </c>
      <c r="H105" s="5" t="inlineStr">
        <is>
          <t>Actor</t>
        </is>
      </c>
      <c r="I105" s="5" t="inlineStr">
        <is>
          <t>Nomination</t>
        </is>
      </c>
      <c r="J105" s="5" t="inlineStr">
        <is>
          <t>Competitive</t>
        </is>
      </c>
      <c r="K105" s="5" t="n"/>
      <c r="L105" s="5" t="inlineStr">
        <is>
          <t>SOURCE-044</t>
        </is>
      </c>
      <c r="M105" s="5" t="inlineStr">
        <is>
          <t>High</t>
        </is>
      </c>
    </row>
    <row r="106" ht="34" customHeight="1">
      <c r="A106" s="15" t="inlineStr">
        <is>
          <t>AWARD-105</t>
        </is>
      </c>
      <c r="B106" s="18" t="inlineStr">
        <is>
          <t>FILM-038</t>
        </is>
      </c>
      <c r="C106" s="5" t="inlineStr">
        <is>
          <t>Taare Zameen Par</t>
        </is>
      </c>
      <c r="D106" s="17" t="n">
        <v>2008</v>
      </c>
      <c r="E106" s="5" t="inlineStr">
        <is>
          <t>Screen Awards</t>
        </is>
      </c>
      <c r="F106" s="5" t="inlineStr">
        <is>
          <t>Best Director</t>
        </is>
      </c>
      <c r="G106" s="5" t="inlineStr">
        <is>
          <t>Aamir Khan</t>
        </is>
      </c>
      <c r="H106" s="5" t="inlineStr">
        <is>
          <t>Director</t>
        </is>
      </c>
      <c r="I106" s="5" t="inlineStr">
        <is>
          <t>Win</t>
        </is>
      </c>
      <c r="J106" s="5" t="inlineStr">
        <is>
          <t>Competitive</t>
        </is>
      </c>
      <c r="K106" s="5" t="inlineStr">
        <is>
          <t>Year inferred from the film's December 2007 release.</t>
        </is>
      </c>
      <c r="L106" s="5" t="inlineStr">
        <is>
          <t>SOURCE-003</t>
        </is>
      </c>
      <c r="M106" s="5" t="inlineStr">
        <is>
          <t>Medium</t>
        </is>
      </c>
    </row>
    <row r="107" ht="34" customHeight="1">
      <c r="A107" s="15" t="inlineStr">
        <is>
          <t>AWARD-106</t>
        </is>
      </c>
      <c r="B107" s="18" t="inlineStr">
        <is>
          <t>FILM-038</t>
        </is>
      </c>
      <c r="C107" s="5" t="inlineStr">
        <is>
          <t>Taare Zameen Par</t>
        </is>
      </c>
      <c r="D107" s="17" t="n">
        <v>2008</v>
      </c>
      <c r="E107" s="5" t="inlineStr">
        <is>
          <t>Screen Awards</t>
        </is>
      </c>
      <c r="F107" s="5" t="inlineStr">
        <is>
          <t>Best Supporting Actor</t>
        </is>
      </c>
      <c r="G107" s="5" t="inlineStr">
        <is>
          <t>Aamir Khan</t>
        </is>
      </c>
      <c r="H107" s="5" t="inlineStr">
        <is>
          <t>Actor</t>
        </is>
      </c>
      <c r="I107" s="5" t="inlineStr">
        <is>
          <t>Win</t>
        </is>
      </c>
      <c r="J107" s="5" t="inlineStr">
        <is>
          <t>Competitive</t>
        </is>
      </c>
      <c r="K107" s="5" t="inlineStr">
        <is>
          <t>Year inferred from the film's December 2007 release.</t>
        </is>
      </c>
      <c r="L107" s="5" t="inlineStr">
        <is>
          <t>SOURCE-003</t>
        </is>
      </c>
      <c r="M107" s="5" t="inlineStr">
        <is>
          <t>Medium</t>
        </is>
      </c>
    </row>
    <row r="108" ht="19" customHeight="1">
      <c r="A108" s="15" t="inlineStr">
        <is>
          <t>AWARD-107</t>
        </is>
      </c>
      <c r="B108" s="18" t="inlineStr">
        <is>
          <t>FILM-038</t>
        </is>
      </c>
      <c r="C108" s="5" t="inlineStr">
        <is>
          <t>Taare Zameen Par</t>
        </is>
      </c>
      <c r="D108" s="17" t="n">
        <v>2008</v>
      </c>
      <c r="E108" s="5" t="inlineStr">
        <is>
          <t>Zee Cine Awards</t>
        </is>
      </c>
      <c r="F108" s="5" t="inlineStr">
        <is>
          <t>Best Director</t>
        </is>
      </c>
      <c r="G108" s="5" t="inlineStr">
        <is>
          <t>Aamir Khan</t>
        </is>
      </c>
      <c r="H108" s="5" t="inlineStr">
        <is>
          <t>Director</t>
        </is>
      </c>
      <c r="I108" s="5" t="inlineStr">
        <is>
          <t>Win</t>
        </is>
      </c>
      <c r="J108" s="5" t="inlineStr">
        <is>
          <t>Competitive</t>
        </is>
      </c>
      <c r="K108" s="5" t="n"/>
      <c r="L108" s="5" t="inlineStr">
        <is>
          <t>SOURCE-003</t>
        </is>
      </c>
      <c r="M108" s="5" t="inlineStr">
        <is>
          <t>Medium</t>
        </is>
      </c>
    </row>
    <row r="109" ht="19" customHeight="1">
      <c r="A109" s="15" t="inlineStr">
        <is>
          <t>AWARD-108</t>
        </is>
      </c>
      <c r="B109" s="18" t="inlineStr">
        <is>
          <t>FILM-039</t>
        </is>
      </c>
      <c r="C109" s="5" t="inlineStr">
        <is>
          <t>Ghajini</t>
        </is>
      </c>
      <c r="D109" s="17" t="n">
        <v>2009</v>
      </c>
      <c r="E109" s="5" t="inlineStr">
        <is>
          <t>Filmfare Awards (54th)</t>
        </is>
      </c>
      <c r="F109" s="5" t="inlineStr">
        <is>
          <t>Best Female Debut</t>
        </is>
      </c>
      <c r="G109" s="5" t="inlineStr">
        <is>
          <t>Asin</t>
        </is>
      </c>
      <c r="H109" s="5" t="inlineStr">
        <is>
          <t>Actress</t>
        </is>
      </c>
      <c r="I109" s="5" t="inlineStr">
        <is>
          <t>Win</t>
        </is>
      </c>
      <c r="J109" s="5" t="inlineStr">
        <is>
          <t>Competitive</t>
        </is>
      </c>
      <c r="K109" s="5" t="n"/>
      <c r="L109" s="5" t="inlineStr">
        <is>
          <t>SOURCE-045</t>
        </is>
      </c>
      <c r="M109" s="5" t="inlineStr">
        <is>
          <t>High</t>
        </is>
      </c>
    </row>
    <row r="110" ht="34" customHeight="1">
      <c r="A110" s="15" t="inlineStr">
        <is>
          <t>AWARD-109</t>
        </is>
      </c>
      <c r="B110" s="18" t="inlineStr">
        <is>
          <t>FILM-039</t>
        </is>
      </c>
      <c r="C110" s="5" t="inlineStr">
        <is>
          <t>Ghajini</t>
        </is>
      </c>
      <c r="D110" s="17" t="n">
        <v>2009</v>
      </c>
      <c r="E110" s="5" t="inlineStr">
        <is>
          <t>Filmfare Awards (54th)</t>
        </is>
      </c>
      <c r="F110" s="5" t="inlineStr">
        <is>
          <t>R. D. Burman Award for New Music Talent</t>
        </is>
      </c>
      <c r="G110" s="5" t="inlineStr">
        <is>
          <t>Benny Dayal</t>
        </is>
      </c>
      <c r="H110" s="5" t="inlineStr">
        <is>
          <t>Playback singer</t>
        </is>
      </c>
      <c r="I110" s="5" t="inlineStr">
        <is>
          <t>Win</t>
        </is>
      </c>
      <c r="J110" s="5" t="inlineStr">
        <is>
          <t>Competitive</t>
        </is>
      </c>
      <c r="K110" s="5" t="n"/>
      <c r="L110" s="5" t="inlineStr">
        <is>
          <t>SOURCE-045</t>
        </is>
      </c>
      <c r="M110" s="5" t="inlineStr">
        <is>
          <t>High</t>
        </is>
      </c>
    </row>
    <row r="111" ht="34" customHeight="1">
      <c r="A111" s="15" t="inlineStr">
        <is>
          <t>AWARD-110</t>
        </is>
      </c>
      <c r="B111" s="18" t="inlineStr">
        <is>
          <t>FILM-039</t>
        </is>
      </c>
      <c r="C111" s="5" t="inlineStr">
        <is>
          <t>Ghajini</t>
        </is>
      </c>
      <c r="D111" s="17" t="n">
        <v>2009</v>
      </c>
      <c r="E111" s="5" t="inlineStr">
        <is>
          <t>Filmfare Awards (54th)</t>
        </is>
      </c>
      <c r="F111" s="5" t="inlineStr">
        <is>
          <t>Best Actor</t>
        </is>
      </c>
      <c r="G111" s="5" t="inlineStr">
        <is>
          <t>Aamir Khan</t>
        </is>
      </c>
      <c r="H111" s="5" t="inlineStr">
        <is>
          <t>Actor</t>
        </is>
      </c>
      <c r="I111" s="5" t="inlineStr">
        <is>
          <t>Nomination</t>
        </is>
      </c>
      <c r="J111" s="5" t="inlineStr">
        <is>
          <t>Competitive</t>
        </is>
      </c>
      <c r="K111" s="5" t="inlineStr">
        <is>
          <t>Listed on the film's page; not captured in the extract of the Best Actor award page.</t>
        </is>
      </c>
      <c r="L111" s="5" t="inlineStr">
        <is>
          <t>SOURCE-045</t>
        </is>
      </c>
      <c r="M111" s="5" t="inlineStr">
        <is>
          <t>Medium</t>
        </is>
      </c>
    </row>
    <row r="112" ht="34" customHeight="1">
      <c r="A112" s="15" t="inlineStr">
        <is>
          <t>AWARD-111</t>
        </is>
      </c>
      <c r="B112" s="18" t="inlineStr">
        <is>
          <t>FILM-038</t>
        </is>
      </c>
      <c r="C112" s="5" t="inlineStr">
        <is>
          <t>Taare Zameen Par</t>
        </is>
      </c>
      <c r="D112" s="17" t="n">
        <v>2009</v>
      </c>
      <c r="E112" s="5" t="inlineStr">
        <is>
          <t>National Film Awards (55th)</t>
        </is>
      </c>
      <c r="F112" s="5" t="inlineStr">
        <is>
          <t>Best Film on Family Welfare</t>
        </is>
      </c>
      <c r="G112" s="5" t="inlineStr">
        <is>
          <t>Aamir Khan (producer and director)</t>
        </is>
      </c>
      <c r="H112" s="5" t="inlineStr">
        <is>
          <t>Film</t>
        </is>
      </c>
      <c r="I112" s="5" t="inlineStr">
        <is>
          <t>Win</t>
        </is>
      </c>
      <c r="J112" s="5" t="inlineStr">
        <is>
          <t>Competitive</t>
        </is>
      </c>
      <c r="K112" s="5" t="inlineStr">
        <is>
          <t>Ceremony held 21 October 2009 for films of 2007.</t>
        </is>
      </c>
      <c r="L112" s="5" t="inlineStr">
        <is>
          <t>SOURCE-072</t>
        </is>
      </c>
      <c r="M112" s="5" t="inlineStr">
        <is>
          <t>High</t>
        </is>
      </c>
    </row>
    <row r="113" ht="19" customHeight="1">
      <c r="A113" s="15" t="inlineStr">
        <is>
          <t>AWARD-112</t>
        </is>
      </c>
      <c r="B113" s="18" t="inlineStr">
        <is>
          <t>FILM-038</t>
        </is>
      </c>
      <c r="C113" s="5" t="inlineStr">
        <is>
          <t>Taare Zameen Par</t>
        </is>
      </c>
      <c r="D113" s="17" t="n">
        <v>2009</v>
      </c>
      <c r="E113" s="5" t="inlineStr">
        <is>
          <t>National Film Awards (55th)</t>
        </is>
      </c>
      <c r="F113" s="5" t="inlineStr">
        <is>
          <t>Best Male Playback Singer</t>
        </is>
      </c>
      <c r="G113" s="5" t="inlineStr">
        <is>
          <t>Shankar Mahadevan ("Maa")</t>
        </is>
      </c>
      <c r="H113" s="5" t="inlineStr">
        <is>
          <t>Playback singer</t>
        </is>
      </c>
      <c r="I113" s="5" t="inlineStr">
        <is>
          <t>Win</t>
        </is>
      </c>
      <c r="J113" s="5" t="inlineStr">
        <is>
          <t>Competitive</t>
        </is>
      </c>
      <c r="K113" s="5" t="n"/>
      <c r="L113" s="5" t="inlineStr">
        <is>
          <t>SOURCE-072</t>
        </is>
      </c>
      <c r="M113" s="5" t="inlineStr">
        <is>
          <t>High</t>
        </is>
      </c>
    </row>
    <row r="114" ht="19" customHeight="1">
      <c r="A114" s="15" t="inlineStr">
        <is>
          <t>AWARD-113</t>
        </is>
      </c>
      <c r="B114" s="18" t="inlineStr">
        <is>
          <t>FILM-038</t>
        </is>
      </c>
      <c r="C114" s="5" t="inlineStr">
        <is>
          <t>Taare Zameen Par</t>
        </is>
      </c>
      <c r="D114" s="17" t="n">
        <v>2009</v>
      </c>
      <c r="E114" s="5" t="inlineStr">
        <is>
          <t>National Film Awards (55th)</t>
        </is>
      </c>
      <c r="F114" s="5" t="inlineStr">
        <is>
          <t>Best Lyrics</t>
        </is>
      </c>
      <c r="G114" s="5" t="inlineStr">
        <is>
          <t>Prasoon Joshi ("Maa")</t>
        </is>
      </c>
      <c r="H114" s="5" t="inlineStr">
        <is>
          <t>Lyricist</t>
        </is>
      </c>
      <c r="I114" s="5" t="inlineStr">
        <is>
          <t>Win</t>
        </is>
      </c>
      <c r="J114" s="5" t="inlineStr">
        <is>
          <t>Competitive</t>
        </is>
      </c>
      <c r="K114" s="5" t="n"/>
      <c r="L114" s="5" t="inlineStr">
        <is>
          <t>SOURCE-072</t>
        </is>
      </c>
      <c r="M114" s="5" t="inlineStr">
        <is>
          <t>High</t>
        </is>
      </c>
    </row>
    <row r="115" ht="19" customHeight="1">
      <c r="A115" s="15" t="inlineStr">
        <is>
          <t>AWARD-114</t>
        </is>
      </c>
      <c r="B115" s="18" t="n"/>
      <c r="C115" s="5" t="n"/>
      <c r="D115" s="17" t="n">
        <v>2010</v>
      </c>
      <c r="E115" s="5" t="inlineStr">
        <is>
          <t>Government of India</t>
        </is>
      </c>
      <c r="F115" s="5" t="inlineStr">
        <is>
          <t>Padma Bhushan</t>
        </is>
      </c>
      <c r="G115" s="5" t="inlineStr">
        <is>
          <t>Aamir Khan</t>
        </is>
      </c>
      <c r="H115" s="5" t="inlineStr">
        <is>
          <t>Actor</t>
        </is>
      </c>
      <c r="I115" s="5" t="inlineStr">
        <is>
          <t>Win</t>
        </is>
      </c>
      <c r="J115" s="5" t="inlineStr">
        <is>
          <t>Honorary</t>
        </is>
      </c>
      <c r="K115" s="5" t="inlineStr">
        <is>
          <t>Civilian honour; not tied to a single film.</t>
        </is>
      </c>
      <c r="L115" s="5" t="inlineStr">
        <is>
          <t>SOURCE-003</t>
        </is>
      </c>
      <c r="M115" s="5" t="inlineStr">
        <is>
          <t>Medium</t>
        </is>
      </c>
    </row>
    <row r="116" ht="19" customHeight="1">
      <c r="A116" s="15" t="inlineStr">
        <is>
          <t>AWARD-115</t>
        </is>
      </c>
      <c r="B116" s="18" t="inlineStr">
        <is>
          <t>FILM-041</t>
        </is>
      </c>
      <c r="C116" s="5" t="inlineStr">
        <is>
          <t>3 Idiots</t>
        </is>
      </c>
      <c r="D116" s="17" t="n">
        <v>2010</v>
      </c>
      <c r="E116" s="5" t="inlineStr">
        <is>
          <t>Filmfare Awards (55th)</t>
        </is>
      </c>
      <c r="F116" s="5" t="inlineStr">
        <is>
          <t>Best Film</t>
        </is>
      </c>
      <c r="G116" s="5" t="inlineStr">
        <is>
          <t>3 Idiots</t>
        </is>
      </c>
      <c r="H116" s="5" t="inlineStr">
        <is>
          <t>Film</t>
        </is>
      </c>
      <c r="I116" s="5" t="inlineStr">
        <is>
          <t>Win</t>
        </is>
      </c>
      <c r="J116" s="5" t="inlineStr">
        <is>
          <t>Competitive</t>
        </is>
      </c>
      <c r="K116" s="5" t="inlineStr">
        <is>
          <t>Ceremony held 27 February 2010.</t>
        </is>
      </c>
      <c r="L116" s="5" t="inlineStr">
        <is>
          <t>SOURCE-073</t>
        </is>
      </c>
      <c r="M116" s="5" t="inlineStr">
        <is>
          <t>High</t>
        </is>
      </c>
    </row>
    <row r="117" ht="19" customHeight="1">
      <c r="A117" s="15" t="inlineStr">
        <is>
          <t>AWARD-116</t>
        </is>
      </c>
      <c r="B117" s="18" t="inlineStr">
        <is>
          <t>FILM-041</t>
        </is>
      </c>
      <c r="C117" s="5" t="inlineStr">
        <is>
          <t>3 Idiots</t>
        </is>
      </c>
      <c r="D117" s="17" t="n">
        <v>2010</v>
      </c>
      <c r="E117" s="5" t="inlineStr">
        <is>
          <t>Filmfare Awards (55th)</t>
        </is>
      </c>
      <c r="F117" s="5" t="inlineStr">
        <is>
          <t>Best Director</t>
        </is>
      </c>
      <c r="G117" s="5" t="inlineStr">
        <is>
          <t>Rajkumar Hirani</t>
        </is>
      </c>
      <c r="H117" s="5" t="inlineStr">
        <is>
          <t>Director</t>
        </is>
      </c>
      <c r="I117" s="5" t="inlineStr">
        <is>
          <t>Win</t>
        </is>
      </c>
      <c r="J117" s="5" t="inlineStr">
        <is>
          <t>Competitive</t>
        </is>
      </c>
      <c r="K117" s="5" t="n"/>
      <c r="L117" s="5" t="inlineStr">
        <is>
          <t>SOURCE-073</t>
        </is>
      </c>
      <c r="M117" s="5" t="inlineStr">
        <is>
          <t>High</t>
        </is>
      </c>
    </row>
    <row r="118" ht="19" customHeight="1">
      <c r="A118" s="15" t="inlineStr">
        <is>
          <t>AWARD-117</t>
        </is>
      </c>
      <c r="B118" s="18" t="inlineStr">
        <is>
          <t>FILM-041</t>
        </is>
      </c>
      <c r="C118" s="5" t="inlineStr">
        <is>
          <t>3 Idiots</t>
        </is>
      </c>
      <c r="D118" s="17" t="n">
        <v>2010</v>
      </c>
      <c r="E118" s="5" t="inlineStr">
        <is>
          <t>Filmfare Awards (55th)</t>
        </is>
      </c>
      <c r="F118" s="5" t="inlineStr">
        <is>
          <t>Best Supporting Actor</t>
        </is>
      </c>
      <c r="G118" s="5" t="inlineStr">
        <is>
          <t>Boman Irani</t>
        </is>
      </c>
      <c r="H118" s="5" t="inlineStr">
        <is>
          <t>Actor</t>
        </is>
      </c>
      <c r="I118" s="5" t="inlineStr">
        <is>
          <t>Win</t>
        </is>
      </c>
      <c r="J118" s="5" t="inlineStr">
        <is>
          <t>Competitive</t>
        </is>
      </c>
      <c r="K118" s="5" t="n"/>
      <c r="L118" s="5" t="inlineStr">
        <is>
          <t>SOURCE-073</t>
        </is>
      </c>
      <c r="M118" s="5" t="inlineStr">
        <is>
          <t>High</t>
        </is>
      </c>
    </row>
    <row r="119" ht="34" customHeight="1">
      <c r="A119" s="15" t="inlineStr">
        <is>
          <t>AWARD-118</t>
        </is>
      </c>
      <c r="B119" s="18" t="inlineStr">
        <is>
          <t>FILM-041</t>
        </is>
      </c>
      <c r="C119" s="5" t="inlineStr">
        <is>
          <t>3 Idiots</t>
        </is>
      </c>
      <c r="D119" s="17" t="n">
        <v>2010</v>
      </c>
      <c r="E119" s="5" t="inlineStr">
        <is>
          <t>Filmfare Awards (55th)</t>
        </is>
      </c>
      <c r="F119" s="5" t="inlineStr">
        <is>
          <t>Best Story</t>
        </is>
      </c>
      <c r="G119" s="5" t="inlineStr">
        <is>
          <t>Abhijat Joshi; Rajkumar Hirani</t>
        </is>
      </c>
      <c r="H119" s="5" t="inlineStr">
        <is>
          <t>Writer</t>
        </is>
      </c>
      <c r="I119" s="5" t="inlineStr">
        <is>
          <t>Win</t>
        </is>
      </c>
      <c r="J119" s="5" t="inlineStr">
        <is>
          <t>Competitive</t>
        </is>
      </c>
      <c r="K119" s="5" t="n"/>
      <c r="L119" s="5" t="inlineStr">
        <is>
          <t>SOURCE-073</t>
        </is>
      </c>
      <c r="M119" s="5" t="inlineStr">
        <is>
          <t>High</t>
        </is>
      </c>
    </row>
    <row r="120" ht="34" customHeight="1">
      <c r="A120" s="15" t="inlineStr">
        <is>
          <t>AWARD-119</t>
        </is>
      </c>
      <c r="B120" s="18" t="inlineStr">
        <is>
          <t>FILM-041</t>
        </is>
      </c>
      <c r="C120" s="5" t="inlineStr">
        <is>
          <t>3 Idiots</t>
        </is>
      </c>
      <c r="D120" s="17" t="n">
        <v>2010</v>
      </c>
      <c r="E120" s="5" t="inlineStr">
        <is>
          <t>Filmfare Awards (55th)</t>
        </is>
      </c>
      <c r="F120" s="5" t="inlineStr">
        <is>
          <t>Best Screenplay</t>
        </is>
      </c>
      <c r="G120" s="5" t="inlineStr">
        <is>
          <t>Rajkumar Hirani; Vidhu Vinod Chopra; Abhijat Joshi</t>
        </is>
      </c>
      <c r="H120" s="5" t="inlineStr">
        <is>
          <t>Writer</t>
        </is>
      </c>
      <c r="I120" s="5" t="inlineStr">
        <is>
          <t>Win</t>
        </is>
      </c>
      <c r="J120" s="5" t="inlineStr">
        <is>
          <t>Competitive</t>
        </is>
      </c>
      <c r="K120" s="5" t="n"/>
      <c r="L120" s="5" t="inlineStr">
        <is>
          <t>SOURCE-073</t>
        </is>
      </c>
      <c r="M120" s="5" t="inlineStr">
        <is>
          <t>High</t>
        </is>
      </c>
    </row>
    <row r="121" ht="34" customHeight="1">
      <c r="A121" s="15" t="inlineStr">
        <is>
          <t>AWARD-120</t>
        </is>
      </c>
      <c r="B121" s="18" t="inlineStr">
        <is>
          <t>FILM-041</t>
        </is>
      </c>
      <c r="C121" s="5" t="inlineStr">
        <is>
          <t>3 Idiots</t>
        </is>
      </c>
      <c r="D121" s="17" t="n">
        <v>2010</v>
      </c>
      <c r="E121" s="5" t="inlineStr">
        <is>
          <t>Filmfare Awards (55th)</t>
        </is>
      </c>
      <c r="F121" s="5" t="inlineStr">
        <is>
          <t>Best Dialogue</t>
        </is>
      </c>
      <c r="G121" s="5" t="inlineStr">
        <is>
          <t>Abhijat Joshi; Rajkumar Hirani</t>
        </is>
      </c>
      <c r="H121" s="5" t="inlineStr">
        <is>
          <t>Writer</t>
        </is>
      </c>
      <c r="I121" s="5" t="inlineStr">
        <is>
          <t>Win</t>
        </is>
      </c>
      <c r="J121" s="5" t="inlineStr">
        <is>
          <t>Competitive</t>
        </is>
      </c>
      <c r="K121" s="5" t="n"/>
      <c r="L121" s="5" t="inlineStr">
        <is>
          <t>SOURCE-073</t>
        </is>
      </c>
      <c r="M121" s="5" t="inlineStr">
        <is>
          <t>High</t>
        </is>
      </c>
    </row>
    <row r="122" ht="19" customHeight="1">
      <c r="A122" s="15" t="inlineStr">
        <is>
          <t>AWARD-121</t>
        </is>
      </c>
      <c r="B122" s="18" t="inlineStr">
        <is>
          <t>FILM-041</t>
        </is>
      </c>
      <c r="C122" s="5" t="inlineStr">
        <is>
          <t>3 Idiots</t>
        </is>
      </c>
      <c r="D122" s="17" t="n">
        <v>2010</v>
      </c>
      <c r="E122" s="5" t="inlineStr">
        <is>
          <t>Filmfare Awards (55th)</t>
        </is>
      </c>
      <c r="F122" s="5" t="inlineStr">
        <is>
          <t>Best Actor</t>
        </is>
      </c>
      <c r="G122" s="5" t="inlineStr">
        <is>
          <t>Aamir Khan</t>
        </is>
      </c>
      <c r="H122" s="5" t="inlineStr">
        <is>
          <t>Actor</t>
        </is>
      </c>
      <c r="I122" s="5" t="inlineStr">
        <is>
          <t>Nomination</t>
        </is>
      </c>
      <c r="J122" s="5" t="inlineStr">
        <is>
          <t>Competitive</t>
        </is>
      </c>
      <c r="K122" s="5" t="inlineStr">
        <is>
          <t>Award won by Amitabh Bachchan for Paa.</t>
        </is>
      </c>
      <c r="L122" s="5" t="inlineStr">
        <is>
          <t>SOURCE-073; SOURCE-066</t>
        </is>
      </c>
      <c r="M122" s="5" t="inlineStr">
        <is>
          <t>High</t>
        </is>
      </c>
    </row>
    <row r="123" ht="49" customHeight="1">
      <c r="A123" s="15" t="inlineStr">
        <is>
          <t>AWARD-122</t>
        </is>
      </c>
      <c r="B123" s="18" t="inlineStr">
        <is>
          <t>FILM-041</t>
        </is>
      </c>
      <c r="C123" s="5" t="inlineStr">
        <is>
          <t>3 Idiots</t>
        </is>
      </c>
      <c r="D123" s="17" t="n">
        <v>2010</v>
      </c>
      <c r="E123" s="5" t="inlineStr">
        <is>
          <t>National Film Awards (57th)</t>
        </is>
      </c>
      <c r="F123" s="5" t="inlineStr">
        <is>
          <t>Best Popular Film Providing Wholesome Entertainment</t>
        </is>
      </c>
      <c r="G123" s="5" t="inlineStr">
        <is>
          <t>Vidhu Vinod Chopra (producer); Rajkumar Hirani (director)</t>
        </is>
      </c>
      <c r="H123" s="5" t="inlineStr">
        <is>
          <t>Film</t>
        </is>
      </c>
      <c r="I123" s="5" t="inlineStr">
        <is>
          <t>Win</t>
        </is>
      </c>
      <c r="J123" s="5" t="inlineStr">
        <is>
          <t>Competitive</t>
        </is>
      </c>
      <c r="K123" s="5" t="n"/>
      <c r="L123" s="5" t="inlineStr">
        <is>
          <t>SOURCE-074</t>
        </is>
      </c>
      <c r="M123" s="5" t="inlineStr">
        <is>
          <t>High</t>
        </is>
      </c>
    </row>
    <row r="124" ht="49" customHeight="1">
      <c r="A124" s="15" t="inlineStr">
        <is>
          <t>AWARD-123</t>
        </is>
      </c>
      <c r="B124" s="18" t="inlineStr">
        <is>
          <t>FILM-041</t>
        </is>
      </c>
      <c r="C124" s="5" t="inlineStr">
        <is>
          <t>3 Idiots</t>
        </is>
      </c>
      <c r="D124" s="17" t="n">
        <v>2010</v>
      </c>
      <c r="E124" s="5" t="inlineStr">
        <is>
          <t>National Film Awards (57th)</t>
        </is>
      </c>
      <c r="F124" s="5" t="inlineStr">
        <is>
          <t>Best Audiography (Re-recordist of the Final Mixed Track)</t>
        </is>
      </c>
      <c r="G124" s="5" t="inlineStr">
        <is>
          <t>Anup Dev</t>
        </is>
      </c>
      <c r="H124" s="5" t="inlineStr">
        <is>
          <t>Technician</t>
        </is>
      </c>
      <c r="I124" s="5" t="inlineStr">
        <is>
          <t>Win</t>
        </is>
      </c>
      <c r="J124" s="5" t="inlineStr">
        <is>
          <t>Competitive</t>
        </is>
      </c>
      <c r="K124" s="5" t="inlineStr">
        <is>
          <t>The film's article states three National Film Awards; only two appear on the ceremony page.</t>
        </is>
      </c>
      <c r="L124" s="5" t="inlineStr">
        <is>
          <t>SOURCE-074</t>
        </is>
      </c>
      <c r="M124" s="5" t="inlineStr">
        <is>
          <t>Medium</t>
        </is>
      </c>
    </row>
    <row r="125" ht="19" customHeight="1">
      <c r="A125" s="15" t="inlineStr">
        <is>
          <t>AWARD-124</t>
        </is>
      </c>
      <c r="B125" s="18" t="inlineStr">
        <is>
          <t>FILM-046</t>
        </is>
      </c>
      <c r="C125" s="5" t="inlineStr">
        <is>
          <t>Dhoom 3</t>
        </is>
      </c>
      <c r="D125" s="17" t="n">
        <v>2014</v>
      </c>
      <c r="E125" s="5" t="inlineStr">
        <is>
          <t>Filmfare Awards (59th)</t>
        </is>
      </c>
      <c r="F125" s="5" t="inlineStr">
        <is>
          <t>Best Visual Effects</t>
        </is>
      </c>
      <c r="G125" s="5" t="inlineStr">
        <is>
          <t>Tata Elxsi</t>
        </is>
      </c>
      <c r="H125" s="5" t="inlineStr">
        <is>
          <t>Technician</t>
        </is>
      </c>
      <c r="I125" s="5" t="inlineStr">
        <is>
          <t>Win</t>
        </is>
      </c>
      <c r="J125" s="5" t="inlineStr">
        <is>
          <t>Competitive</t>
        </is>
      </c>
      <c r="K125" s="5" t="inlineStr">
        <is>
          <t>Ceremony held 24 January 2014.</t>
        </is>
      </c>
      <c r="L125" s="5" t="inlineStr">
        <is>
          <t>SOURCE-052</t>
        </is>
      </c>
      <c r="M125" s="5" t="inlineStr">
        <is>
          <t>High</t>
        </is>
      </c>
    </row>
    <row r="126" ht="34" customHeight="1">
      <c r="A126" s="15" t="inlineStr">
        <is>
          <t>AWARD-125</t>
        </is>
      </c>
      <c r="B126" s="18" t="inlineStr">
        <is>
          <t>FILM-046</t>
        </is>
      </c>
      <c r="C126" s="5" t="inlineStr">
        <is>
          <t>Dhoom 3</t>
        </is>
      </c>
      <c r="D126" s="17" t="n">
        <v>2014</v>
      </c>
      <c r="E126" s="5" t="inlineStr">
        <is>
          <t>Indian Film Festival of Melbourne</t>
        </is>
      </c>
      <c r="F126" s="5" t="inlineStr">
        <is>
          <t>Telstra People's Choice Award</t>
        </is>
      </c>
      <c r="G126" s="5" t="inlineStr">
        <is>
          <t>Dhoom 3</t>
        </is>
      </c>
      <c r="H126" s="5" t="inlineStr">
        <is>
          <t>Film</t>
        </is>
      </c>
      <c r="I126" s="5" t="inlineStr">
        <is>
          <t>Win</t>
        </is>
      </c>
      <c r="J126" s="5" t="inlineStr">
        <is>
          <t>Competitive</t>
        </is>
      </c>
      <c r="K126" s="5" t="inlineStr">
        <is>
          <t>Inaugural edition of the award.</t>
        </is>
      </c>
      <c r="L126" s="5" t="inlineStr">
        <is>
          <t>SOURCE-052; SOURCE-117</t>
        </is>
      </c>
      <c r="M126" s="5" t="inlineStr">
        <is>
          <t>High</t>
        </is>
      </c>
    </row>
    <row r="127" ht="34" customHeight="1">
      <c r="A127" s="15" t="inlineStr">
        <is>
          <t>AWARD-126</t>
        </is>
      </c>
      <c r="B127" s="18" t="inlineStr">
        <is>
          <t>FILM-047</t>
        </is>
      </c>
      <c r="C127" s="5" t="inlineStr">
        <is>
          <t>PK</t>
        </is>
      </c>
      <c r="D127" s="17" t="n">
        <v>2015</v>
      </c>
      <c r="E127" s="5" t="inlineStr">
        <is>
          <t>Filmfare Awards (60th)</t>
        </is>
      </c>
      <c r="F127" s="5" t="inlineStr">
        <is>
          <t>Best Screenplay</t>
        </is>
      </c>
      <c r="G127" s="5" t="inlineStr">
        <is>
          <t>Abhijat Joshi; Rajkumar Hirani</t>
        </is>
      </c>
      <c r="H127" s="5" t="inlineStr">
        <is>
          <t>Writer</t>
        </is>
      </c>
      <c r="I127" s="5" t="inlineStr">
        <is>
          <t>Win</t>
        </is>
      </c>
      <c r="J127" s="5" t="inlineStr">
        <is>
          <t>Competitive</t>
        </is>
      </c>
      <c r="K127" s="5" t="n"/>
      <c r="L127" s="5" t="inlineStr">
        <is>
          <t>SOURCE-053</t>
        </is>
      </c>
      <c r="M127" s="5" t="inlineStr">
        <is>
          <t>High</t>
        </is>
      </c>
    </row>
    <row r="128" ht="19" customHeight="1">
      <c r="A128" s="15" t="inlineStr">
        <is>
          <t>AWARD-127</t>
        </is>
      </c>
      <c r="B128" s="18" t="inlineStr">
        <is>
          <t>FILM-047</t>
        </is>
      </c>
      <c r="C128" s="5" t="inlineStr">
        <is>
          <t>PK</t>
        </is>
      </c>
      <c r="D128" s="17" t="n">
        <v>2015</v>
      </c>
      <c r="E128" s="5" t="inlineStr">
        <is>
          <t>Filmfare Awards (60th)</t>
        </is>
      </c>
      <c r="F128" s="5" t="inlineStr">
        <is>
          <t>Best Dialogue</t>
        </is>
      </c>
      <c r="G128" s="5" t="inlineStr">
        <is>
          <t>Not named in source</t>
        </is>
      </c>
      <c r="H128" s="5" t="inlineStr">
        <is>
          <t>Writer</t>
        </is>
      </c>
      <c r="I128" s="5" t="inlineStr">
        <is>
          <t>Win</t>
        </is>
      </c>
      <c r="J128" s="5" t="inlineStr">
        <is>
          <t>Competitive</t>
        </is>
      </c>
      <c r="K128" s="5" t="n"/>
      <c r="L128" s="5" t="inlineStr">
        <is>
          <t>SOURCE-053</t>
        </is>
      </c>
      <c r="M128" s="5" t="inlineStr">
        <is>
          <t>Medium</t>
        </is>
      </c>
    </row>
    <row r="129" ht="19" customHeight="1">
      <c r="A129" s="15" t="inlineStr">
        <is>
          <t>AWARD-128</t>
        </is>
      </c>
      <c r="B129" s="18" t="inlineStr">
        <is>
          <t>FILM-047</t>
        </is>
      </c>
      <c r="C129" s="5" t="inlineStr">
        <is>
          <t>PK</t>
        </is>
      </c>
      <c r="D129" s="17" t="n">
        <v>2015</v>
      </c>
      <c r="E129" s="5" t="inlineStr">
        <is>
          <t>Filmfare Awards (60th)</t>
        </is>
      </c>
      <c r="F129" s="5" t="inlineStr">
        <is>
          <t>Best Actor</t>
        </is>
      </c>
      <c r="G129" s="5" t="inlineStr">
        <is>
          <t>Aamir Khan</t>
        </is>
      </c>
      <c r="H129" s="5" t="inlineStr">
        <is>
          <t>Actor</t>
        </is>
      </c>
      <c r="I129" s="5" t="inlineStr">
        <is>
          <t>Nomination</t>
        </is>
      </c>
      <c r="J129" s="5" t="inlineStr">
        <is>
          <t>Competitive</t>
        </is>
      </c>
      <c r="K129" s="5" t="inlineStr">
        <is>
          <t>Award won by Shahid Kapoor.</t>
        </is>
      </c>
      <c r="L129" s="5" t="inlineStr">
        <is>
          <t>SOURCE-066; SOURCE-053</t>
        </is>
      </c>
      <c r="M129" s="5" t="inlineStr">
        <is>
          <t>High</t>
        </is>
      </c>
    </row>
    <row r="130" ht="49" customHeight="1">
      <c r="A130" s="15" t="inlineStr">
        <is>
          <t>AWARD-130</t>
        </is>
      </c>
      <c r="B130" s="18" t="inlineStr">
        <is>
          <t>FILM-049</t>
        </is>
      </c>
      <c r="C130" s="5" t="inlineStr">
        <is>
          <t>Dangal</t>
        </is>
      </c>
      <c r="D130" s="17" t="n">
        <v>2017</v>
      </c>
      <c r="E130" s="5" t="inlineStr">
        <is>
          <t>Filmfare Awards (62nd)</t>
        </is>
      </c>
      <c r="F130" s="5" t="inlineStr">
        <is>
          <t>Best Film</t>
        </is>
      </c>
      <c r="G130" s="5" t="inlineStr">
        <is>
          <t>Aamir Khan (producer)</t>
        </is>
      </c>
      <c r="H130" s="5" t="inlineStr">
        <is>
          <t>Producer</t>
        </is>
      </c>
      <c r="I130" s="5" t="inlineStr">
        <is>
          <t>Win</t>
        </is>
      </c>
      <c r="J130" s="5" t="inlineStr">
        <is>
          <t>Competitive</t>
        </is>
      </c>
      <c r="K130" s="5" t="inlineStr">
        <is>
          <t>Ceremony held 14 January 2017. Credited producers were Aamir Khan, Kiran Rao and Siddharth Roy Kapur.</t>
        </is>
      </c>
      <c r="L130" s="5" t="inlineStr">
        <is>
          <t>SOURCE-055; SOURCE-003</t>
        </is>
      </c>
      <c r="M130" s="5" t="inlineStr">
        <is>
          <t>High</t>
        </is>
      </c>
    </row>
    <row r="131" ht="19" customHeight="1">
      <c r="A131" s="15" t="inlineStr">
        <is>
          <t>AWARD-131</t>
        </is>
      </c>
      <c r="B131" s="18" t="inlineStr">
        <is>
          <t>FILM-049</t>
        </is>
      </c>
      <c r="C131" s="5" t="inlineStr">
        <is>
          <t>Dangal</t>
        </is>
      </c>
      <c r="D131" s="17" t="n">
        <v>2017</v>
      </c>
      <c r="E131" s="5" t="inlineStr">
        <is>
          <t>Filmfare Awards (62nd)</t>
        </is>
      </c>
      <c r="F131" s="5" t="inlineStr">
        <is>
          <t>Best Director</t>
        </is>
      </c>
      <c r="G131" s="5" t="inlineStr">
        <is>
          <t>Nitesh Tiwari</t>
        </is>
      </c>
      <c r="H131" s="5" t="inlineStr">
        <is>
          <t>Director</t>
        </is>
      </c>
      <c r="I131" s="5" t="inlineStr">
        <is>
          <t>Win</t>
        </is>
      </c>
      <c r="J131" s="5" t="inlineStr">
        <is>
          <t>Competitive</t>
        </is>
      </c>
      <c r="K131" s="5" t="n"/>
      <c r="L131" s="5" t="inlineStr">
        <is>
          <t>SOURCE-055; SOURCE-119</t>
        </is>
      </c>
      <c r="M131" s="5" t="inlineStr">
        <is>
          <t>High</t>
        </is>
      </c>
    </row>
    <row r="132" ht="19" customHeight="1">
      <c r="A132" s="15" t="inlineStr">
        <is>
          <t>AWARD-132</t>
        </is>
      </c>
      <c r="B132" s="18" t="inlineStr">
        <is>
          <t>FILM-049</t>
        </is>
      </c>
      <c r="C132" s="5" t="inlineStr">
        <is>
          <t>Dangal</t>
        </is>
      </c>
      <c r="D132" s="17" t="n">
        <v>2017</v>
      </c>
      <c r="E132" s="5" t="inlineStr">
        <is>
          <t>Filmfare Awards (62nd)</t>
        </is>
      </c>
      <c r="F132" s="5" t="inlineStr">
        <is>
          <t>Best Actor</t>
        </is>
      </c>
      <c r="G132" s="5" t="inlineStr">
        <is>
          <t>Aamir Khan</t>
        </is>
      </c>
      <c r="H132" s="5" t="inlineStr">
        <is>
          <t>Actor</t>
        </is>
      </c>
      <c r="I132" s="5" t="inlineStr">
        <is>
          <t>Win</t>
        </is>
      </c>
      <c r="J132" s="5" t="inlineStr">
        <is>
          <t>Competitive</t>
        </is>
      </c>
      <c r="K132" s="5" t="n"/>
      <c r="L132" s="5" t="inlineStr">
        <is>
          <t>SOURCE-055; SOURCE-003</t>
        </is>
      </c>
      <c r="M132" s="5" t="inlineStr">
        <is>
          <t>High</t>
        </is>
      </c>
    </row>
    <row r="133" ht="19" customHeight="1">
      <c r="A133" s="15" t="inlineStr">
        <is>
          <t>AWARD-133</t>
        </is>
      </c>
      <c r="B133" s="18" t="inlineStr">
        <is>
          <t>FILM-049</t>
        </is>
      </c>
      <c r="C133" s="5" t="inlineStr">
        <is>
          <t>Dangal</t>
        </is>
      </c>
      <c r="D133" s="17" t="n">
        <v>2017</v>
      </c>
      <c r="E133" s="5" t="inlineStr">
        <is>
          <t>Filmfare Awards (62nd)</t>
        </is>
      </c>
      <c r="F133" s="5" t="inlineStr">
        <is>
          <t>Best Action</t>
        </is>
      </c>
      <c r="G133" s="5" t="inlineStr">
        <is>
          <t>Shyam Kaushal</t>
        </is>
      </c>
      <c r="H133" s="5" t="inlineStr">
        <is>
          <t>Technician</t>
        </is>
      </c>
      <c r="I133" s="5" t="inlineStr">
        <is>
          <t>Win</t>
        </is>
      </c>
      <c r="J133" s="5" t="inlineStr">
        <is>
          <t>Competitive</t>
        </is>
      </c>
      <c r="K133" s="5" t="n"/>
      <c r="L133" s="5" t="inlineStr">
        <is>
          <t>SOURCE-055</t>
        </is>
      </c>
      <c r="M133" s="5" t="inlineStr">
        <is>
          <t>High</t>
        </is>
      </c>
    </row>
    <row r="134" ht="64" customHeight="1">
      <c r="A134" s="15" t="inlineStr">
        <is>
          <t>AWARD-134</t>
        </is>
      </c>
      <c r="B134" s="18" t="inlineStr">
        <is>
          <t>FILM-049</t>
        </is>
      </c>
      <c r="C134" s="5" t="inlineStr">
        <is>
          <t>Dangal</t>
        </is>
      </c>
      <c r="D134" s="17" t="n">
        <v>2017</v>
      </c>
      <c r="E134" s="5" t="inlineStr">
        <is>
          <t>National Film Awards (64th)</t>
        </is>
      </c>
      <c r="F134" s="5" t="inlineStr">
        <is>
          <t>Best Supporting Actress</t>
        </is>
      </c>
      <c r="G134" s="5" t="inlineStr">
        <is>
          <t>Zaira Wasim</t>
        </is>
      </c>
      <c r="H134" s="5" t="inlineStr">
        <is>
          <t>Actress</t>
        </is>
      </c>
      <c r="I134" s="5" t="inlineStr">
        <is>
          <t>Win</t>
        </is>
      </c>
      <c r="J134" s="5" t="inlineStr">
        <is>
          <t>Competitive</t>
        </is>
      </c>
      <c r="K134" s="5" t="inlineStr">
        <is>
          <t>Ceremony held 3 May 2017. Committee member Priyadarshan publicly explained why Aamir Khan was not given Best Actor, citing his refusal to attend award functions.</t>
        </is>
      </c>
      <c r="L134" s="5" t="inlineStr">
        <is>
          <t>SOURCE-055</t>
        </is>
      </c>
      <c r="M134" s="5" t="inlineStr">
        <is>
          <t>High</t>
        </is>
      </c>
    </row>
    <row r="135" ht="34" customHeight="1">
      <c r="A135" s="15" t="inlineStr">
        <is>
          <t>AWARD-135</t>
        </is>
      </c>
      <c r="B135" s="18" t="inlineStr">
        <is>
          <t>FILM-049</t>
        </is>
      </c>
      <c r="C135" s="5" t="inlineStr">
        <is>
          <t>Dangal</t>
        </is>
      </c>
      <c r="D135" s="17" t="n">
        <v>2017</v>
      </c>
      <c r="E135" s="5" t="inlineStr">
        <is>
          <t>Indian Film Festival of Melbourne</t>
        </is>
      </c>
      <c r="F135" s="5" t="inlineStr">
        <is>
          <t>Telstra People's Choice Award</t>
        </is>
      </c>
      <c r="G135" s="5" t="inlineStr">
        <is>
          <t>Dangal</t>
        </is>
      </c>
      <c r="H135" s="5" t="inlineStr">
        <is>
          <t>Film</t>
        </is>
      </c>
      <c r="I135" s="5" t="inlineStr">
        <is>
          <t>Win</t>
        </is>
      </c>
      <c r="J135" s="5" t="inlineStr">
        <is>
          <t>Competitive</t>
        </is>
      </c>
      <c r="K135" s="5" t="n"/>
      <c r="L135" s="5" t="inlineStr">
        <is>
          <t>SOURCE-055</t>
        </is>
      </c>
      <c r="M135" s="5" t="inlineStr">
        <is>
          <t>High</t>
        </is>
      </c>
    </row>
    <row r="136" ht="34" customHeight="1">
      <c r="A136" s="15" t="inlineStr">
        <is>
          <t>AWARD-136</t>
        </is>
      </c>
      <c r="B136" s="18" t="inlineStr">
        <is>
          <t>FILM-049</t>
        </is>
      </c>
      <c r="C136" s="5" t="inlineStr">
        <is>
          <t>Dangal</t>
        </is>
      </c>
      <c r="D136" s="17" t="n">
        <v>2017</v>
      </c>
      <c r="E136" s="5" t="inlineStr">
        <is>
          <t>Indian Film Festival of Melbourne</t>
        </is>
      </c>
      <c r="F136" s="5" t="inlineStr">
        <is>
          <t>Best Director</t>
        </is>
      </c>
      <c r="G136" s="5" t="inlineStr">
        <is>
          <t>Nitesh Tiwari</t>
        </is>
      </c>
      <c r="H136" s="5" t="inlineStr">
        <is>
          <t>Director</t>
        </is>
      </c>
      <c r="I136" s="5" t="inlineStr">
        <is>
          <t>Win</t>
        </is>
      </c>
      <c r="J136" s="5" t="inlineStr">
        <is>
          <t>Competitive</t>
        </is>
      </c>
      <c r="K136" s="5" t="n"/>
      <c r="L136" s="5" t="inlineStr">
        <is>
          <t>SOURCE-055</t>
        </is>
      </c>
      <c r="M136" s="5" t="inlineStr">
        <is>
          <t>High</t>
        </is>
      </c>
    </row>
    <row r="137" ht="19" customHeight="1">
      <c r="A137" s="15" t="inlineStr">
        <is>
          <t>AWARD-137</t>
        </is>
      </c>
      <c r="B137" s="18" t="inlineStr">
        <is>
          <t>FILM-049</t>
        </is>
      </c>
      <c r="C137" s="5" t="inlineStr">
        <is>
          <t>Dangal</t>
        </is>
      </c>
      <c r="D137" s="17" t="n">
        <v>2017</v>
      </c>
      <c r="E137" s="5" t="inlineStr">
        <is>
          <t>AACTA Awards</t>
        </is>
      </c>
      <c r="F137" s="5" t="inlineStr">
        <is>
          <t>Best Asian Film</t>
        </is>
      </c>
      <c r="G137" s="5" t="inlineStr">
        <is>
          <t>Dangal</t>
        </is>
      </c>
      <c r="H137" s="5" t="inlineStr">
        <is>
          <t>Film</t>
        </is>
      </c>
      <c r="I137" s="5" t="inlineStr">
        <is>
          <t>Win</t>
        </is>
      </c>
      <c r="J137" s="5" t="inlineStr">
        <is>
          <t>Competitive</t>
        </is>
      </c>
      <c r="K137" s="5" t="n"/>
      <c r="L137" s="5" t="inlineStr">
        <is>
          <t>SOURCE-055; SOURCE-003</t>
        </is>
      </c>
      <c r="M137" s="5" t="inlineStr">
        <is>
          <t>High</t>
        </is>
      </c>
    </row>
    <row r="138" ht="19" customHeight="1">
      <c r="A138" s="15" t="inlineStr">
        <is>
          <t>AWARD-138</t>
        </is>
      </c>
      <c r="B138" s="18" t="inlineStr">
        <is>
          <t>FILM-049</t>
        </is>
      </c>
      <c r="C138" s="5" t="inlineStr">
        <is>
          <t>Dangal</t>
        </is>
      </c>
      <c r="D138" s="17" t="n">
        <v>2017</v>
      </c>
      <c r="E138" s="5" t="inlineStr">
        <is>
          <t>Douban Film Awards</t>
        </is>
      </c>
      <c r="F138" s="5" t="inlineStr">
        <is>
          <t>Top Foreign Actor</t>
        </is>
      </c>
      <c r="G138" s="5" t="inlineStr">
        <is>
          <t>Aamir Khan</t>
        </is>
      </c>
      <c r="H138" s="5" t="inlineStr">
        <is>
          <t>Actor</t>
        </is>
      </c>
      <c r="I138" s="5" t="inlineStr">
        <is>
          <t>Win</t>
        </is>
      </c>
      <c r="J138" s="5" t="inlineStr">
        <is>
          <t>Competitive</t>
        </is>
      </c>
      <c r="K138" s="5" t="inlineStr">
        <is>
          <t>Chinese audience-driven awards.</t>
        </is>
      </c>
      <c r="L138" s="5" t="inlineStr">
        <is>
          <t>SOURCE-055; SOURCE-003</t>
        </is>
      </c>
      <c r="M138" s="5" t="inlineStr">
        <is>
          <t>High</t>
        </is>
      </c>
    </row>
    <row r="139" ht="19" customHeight="1">
      <c r="A139" s="15" t="inlineStr">
        <is>
          <t>AWARD-139</t>
        </is>
      </c>
      <c r="B139" s="18" t="inlineStr">
        <is>
          <t>FILM-049</t>
        </is>
      </c>
      <c r="C139" s="5" t="inlineStr">
        <is>
          <t>Dangal</t>
        </is>
      </c>
      <c r="D139" s="17" t="n">
        <v>2017</v>
      </c>
      <c r="E139" s="5" t="inlineStr">
        <is>
          <t>Douban Film Awards</t>
        </is>
      </c>
      <c r="F139" s="5" t="inlineStr">
        <is>
          <t>Best Foreign Film</t>
        </is>
      </c>
      <c r="G139" s="5" t="inlineStr">
        <is>
          <t>Dangal</t>
        </is>
      </c>
      <c r="H139" s="5" t="inlineStr">
        <is>
          <t>Film</t>
        </is>
      </c>
      <c r="I139" s="5" t="inlineStr">
        <is>
          <t>Win</t>
        </is>
      </c>
      <c r="J139" s="5" t="inlineStr">
        <is>
          <t>Competitive</t>
        </is>
      </c>
      <c r="K139" s="5" t="n"/>
      <c r="L139" s="5" t="inlineStr">
        <is>
          <t>SOURCE-055</t>
        </is>
      </c>
      <c r="M139" s="5" t="inlineStr">
        <is>
          <t>High</t>
        </is>
      </c>
    </row>
    <row r="140" ht="19" customHeight="1">
      <c r="A140" s="15" t="inlineStr">
        <is>
          <t>AWARD-140</t>
        </is>
      </c>
      <c r="B140" s="18" t="inlineStr">
        <is>
          <t>FILM-050</t>
        </is>
      </c>
      <c r="C140" s="5" t="inlineStr">
        <is>
          <t>Secret Superstar</t>
        </is>
      </c>
      <c r="D140" s="17" t="n">
        <v>2018</v>
      </c>
      <c r="E140" s="5" t="inlineStr">
        <is>
          <t>Filmfare Awards (63rd)</t>
        </is>
      </c>
      <c r="F140" s="5" t="inlineStr">
        <is>
          <t>Best Actress (Critics)</t>
        </is>
      </c>
      <c r="G140" s="5" t="inlineStr">
        <is>
          <t>Zaira Wasim</t>
        </is>
      </c>
      <c r="H140" s="5" t="inlineStr">
        <is>
          <t>Actress</t>
        </is>
      </c>
      <c r="I140" s="5" t="inlineStr">
        <is>
          <t>Win</t>
        </is>
      </c>
      <c r="J140" s="5" t="inlineStr">
        <is>
          <t>Competitive</t>
        </is>
      </c>
      <c r="K140" s="5" t="inlineStr">
        <is>
          <t>Ceremony held 20 January 2018.</t>
        </is>
      </c>
      <c r="L140" s="5" t="inlineStr">
        <is>
          <t>SOURCE-056</t>
        </is>
      </c>
      <c r="M140" s="5" t="inlineStr">
        <is>
          <t>High</t>
        </is>
      </c>
    </row>
    <row r="141" ht="19" customHeight="1">
      <c r="A141" s="15" t="inlineStr">
        <is>
          <t>AWARD-141</t>
        </is>
      </c>
      <c r="B141" s="18" t="inlineStr">
        <is>
          <t>FILM-050</t>
        </is>
      </c>
      <c r="C141" s="5" t="inlineStr">
        <is>
          <t>Secret Superstar</t>
        </is>
      </c>
      <c r="D141" s="17" t="n">
        <v>2018</v>
      </c>
      <c r="E141" s="5" t="inlineStr">
        <is>
          <t>Filmfare Awards (63rd)</t>
        </is>
      </c>
      <c r="F141" s="5" t="inlineStr">
        <is>
          <t>Best Supporting Actress</t>
        </is>
      </c>
      <c r="G141" s="5" t="inlineStr">
        <is>
          <t>Meher Vij</t>
        </is>
      </c>
      <c r="H141" s="5" t="inlineStr">
        <is>
          <t>Actress</t>
        </is>
      </c>
      <c r="I141" s="5" t="inlineStr">
        <is>
          <t>Win</t>
        </is>
      </c>
      <c r="J141" s="5" t="inlineStr">
        <is>
          <t>Competitive</t>
        </is>
      </c>
      <c r="K141" s="5" t="n"/>
      <c r="L141" s="5" t="inlineStr">
        <is>
          <t>SOURCE-056</t>
        </is>
      </c>
      <c r="M141" s="5" t="inlineStr">
        <is>
          <t>High</t>
        </is>
      </c>
    </row>
    <row r="142" ht="19" customHeight="1">
      <c r="A142" s="15" t="inlineStr">
        <is>
          <t>AWARD-142</t>
        </is>
      </c>
      <c r="B142" s="18" t="inlineStr">
        <is>
          <t>FILM-050</t>
        </is>
      </c>
      <c r="C142" s="5" t="inlineStr">
        <is>
          <t>Secret Superstar</t>
        </is>
      </c>
      <c r="D142" s="17" t="n">
        <v>2018</v>
      </c>
      <c r="E142" s="5" t="inlineStr">
        <is>
          <t>Filmfare Awards (63rd)</t>
        </is>
      </c>
      <c r="F142" s="5" t="inlineStr">
        <is>
          <t>Best Female Playback Singer</t>
        </is>
      </c>
      <c r="G142" s="5" t="inlineStr">
        <is>
          <t>Meghna Mishra</t>
        </is>
      </c>
      <c r="H142" s="5" t="inlineStr">
        <is>
          <t>Playback singer</t>
        </is>
      </c>
      <c r="I142" s="5" t="inlineStr">
        <is>
          <t>Win</t>
        </is>
      </c>
      <c r="J142" s="5" t="inlineStr">
        <is>
          <t>Competitive</t>
        </is>
      </c>
      <c r="K142" s="5" t="n"/>
      <c r="L142" s="5" t="inlineStr">
        <is>
          <t>SOURCE-056</t>
        </is>
      </c>
      <c r="M142" s="5" t="inlineStr">
        <is>
          <t>High</t>
        </is>
      </c>
    </row>
    <row r="143" ht="19" customHeight="1">
      <c r="A143" s="15" t="inlineStr">
        <is>
          <t>AWARD-143</t>
        </is>
      </c>
      <c r="B143" s="18" t="inlineStr">
        <is>
          <t>FILM-050</t>
        </is>
      </c>
      <c r="C143" s="5" t="inlineStr">
        <is>
          <t>Secret Superstar</t>
        </is>
      </c>
      <c r="D143" s="17" t="n">
        <v>2018</v>
      </c>
      <c r="E143" s="5" t="inlineStr">
        <is>
          <t>Filmfare Awards (63rd)</t>
        </is>
      </c>
      <c r="F143" s="5" t="inlineStr">
        <is>
          <t>Best Supporting Actor</t>
        </is>
      </c>
      <c r="G143" s="5" t="inlineStr">
        <is>
          <t>Aamir Khan</t>
        </is>
      </c>
      <c r="H143" s="5" t="inlineStr">
        <is>
          <t>Actor</t>
        </is>
      </c>
      <c r="I143" s="5" t="inlineStr">
        <is>
          <t>Nomination</t>
        </is>
      </c>
      <c r="J143" s="5" t="inlineStr">
        <is>
          <t>Competitive</t>
        </is>
      </c>
      <c r="K143" s="5" t="n"/>
      <c r="L143" s="5" t="inlineStr">
        <is>
          <t>SOURCE-056</t>
        </is>
      </c>
      <c r="M143" s="5" t="inlineStr">
        <is>
          <t>High</t>
        </is>
      </c>
    </row>
    <row r="144" ht="34" customHeight="1">
      <c r="A144" s="15" t="inlineStr">
        <is>
          <t>AWARD-129</t>
        </is>
      </c>
      <c r="B144" s="18" t="inlineStr">
        <is>
          <t>FILM-047</t>
        </is>
      </c>
      <c r="C144" s="5" t="inlineStr">
        <is>
          <t>PK</t>
        </is>
      </c>
      <c r="D144" s="18" t="n"/>
      <c r="E144" s="5" t="inlineStr">
        <is>
          <t>Indian Film Festival of Melbourne</t>
        </is>
      </c>
      <c r="F144" s="5" t="inlineStr">
        <is>
          <t>Telstra People's Choice Award</t>
        </is>
      </c>
      <c r="G144" s="5" t="inlineStr">
        <is>
          <t>PK</t>
        </is>
      </c>
      <c r="H144" s="5" t="inlineStr">
        <is>
          <t>Film</t>
        </is>
      </c>
      <c r="I144" s="5" t="inlineStr">
        <is>
          <t>Win</t>
        </is>
      </c>
      <c r="J144" s="5" t="inlineStr">
        <is>
          <t>Competitive</t>
        </is>
      </c>
      <c r="K144" s="5" t="inlineStr">
        <is>
          <t>Year not stated in the source.</t>
        </is>
      </c>
      <c r="L144" s="5" t="inlineStr">
        <is>
          <t>SOURCE-053</t>
        </is>
      </c>
      <c r="M144" s="5" t="inlineStr">
        <is>
          <t>Medium</t>
        </is>
      </c>
    </row>
  </sheetData>
  <autoFilter ref="A1:M144"/>
  <dataValidations count="3">
    <dataValidation sqref="I2:I344" showDropDown="0" showInputMessage="0" showErrorMessage="1" allowBlank="1" errorTitle="Win or Nomination" error="Choose a value from the list." type="list">
      <formula1>"Win,Nomination"</formula1>
    </dataValidation>
    <dataValidation sqref="J2:J344" showDropDown="0" showInputMessage="0" showErrorMessage="1" allowBlank="1" errorTitle="Competitive or Honorary" error="Choose a value from the list." type="list">
      <formula1>"Competitive,Honorary"</formula1>
    </dataValidation>
    <dataValidation sqref="M2:M344"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2" customWidth="1" min="3" max="3"/>
    <col width="40" customWidth="1" min="4" max="4"/>
    <col width="22" customWidth="1" min="5" max="5"/>
    <col width="20" customWidth="1" min="6" max="6"/>
    <col width="12" customWidth="1" min="7" max="7"/>
    <col width="42" customWidth="1" min="8" max="8"/>
    <col width="12" customWidth="1" min="9" max="9"/>
    <col width="40" customWidth="1" min="10" max="10"/>
    <col width="18" customWidth="1" min="11" max="11"/>
    <col width="10" customWidth="1" min="12" max="12"/>
    <col width="36" customWidth="1" min="13" max="13"/>
  </cols>
  <sheetData>
    <row r="1" ht="36" customHeight="1">
      <c r="A1" s="12" t="inlineStr">
        <is>
          <t>Source ID</t>
        </is>
      </c>
      <c r="B1" s="12" t="inlineStr">
        <is>
          <t>Film IDs Supported</t>
        </is>
      </c>
      <c r="C1" s="12" t="inlineStr">
        <is>
          <t>Pairing IDs Supported</t>
        </is>
      </c>
      <c r="D1" s="12" t="inlineStr">
        <is>
          <t>Source Title</t>
        </is>
      </c>
      <c r="E1" s="12" t="inlineStr">
        <is>
          <t>Publisher</t>
        </is>
      </c>
      <c r="F1" s="12" t="inlineStr">
        <is>
          <t>Author</t>
        </is>
      </c>
      <c r="G1" s="12" t="inlineStr">
        <is>
          <t>Publication Date</t>
        </is>
      </c>
      <c r="H1" s="12" t="inlineStr">
        <is>
          <t>URL</t>
        </is>
      </c>
      <c r="I1" s="12" t="inlineStr">
        <is>
          <t>Access Date</t>
        </is>
      </c>
      <c r="J1" s="12" t="inlineStr">
        <is>
          <t>Claims Supported</t>
        </is>
      </c>
      <c r="K1" s="12" t="inlineStr">
        <is>
          <t>Source Type</t>
        </is>
      </c>
      <c r="L1" s="12" t="inlineStr">
        <is>
          <t>Reliability Tier</t>
        </is>
      </c>
      <c r="M1" s="12" t="inlineStr">
        <is>
          <t>Notes</t>
        </is>
      </c>
    </row>
    <row r="2" ht="64" customHeight="1">
      <c r="A2" s="15" t="inlineStr">
        <is>
          <t>SOURCE-001</t>
        </is>
      </c>
      <c r="B2" s="5" t="inlineStr">
        <is>
          <t>FILM-001; FILM-002; FILM-003; FILM-052; FILM-056; FILM-057</t>
        </is>
      </c>
      <c r="C2" s="5" t="n"/>
      <c r="D2" s="5" t="inlineStr">
        <is>
          <t>Aamir Khan filmography</t>
        </is>
      </c>
      <c r="E2" s="5" t="inlineStr">
        <is>
          <t>Wikipedia</t>
        </is>
      </c>
      <c r="F2" s="5" t="n"/>
      <c r="G2" s="5" t="n"/>
      <c r="H2" s="22" t="inlineStr">
        <is>
          <t>https://en.wikipedia.org/wiki/Aamir_Khan_filmography</t>
        </is>
      </c>
      <c r="I2" s="16" t="n">
        <v>46277</v>
      </c>
      <c r="J2" s="5" t="inlineStr">
        <is>
          <t>Complete list of acting credits, role names, cameo and special-appearance notes; producer-only credits, documentaries and television used to set scope.</t>
        </is>
      </c>
      <c r="K2" s="5" t="inlineStr">
        <is>
          <t>Reference encyclopedia</t>
        </is>
      </c>
      <c r="L2" s="5" t="inlineStr">
        <is>
          <t>C</t>
        </is>
      </c>
      <c r="M2" s="5" t="inlineStr">
        <is>
          <t>Used for orientation and cross-checked against Bollywood Hungama.</t>
        </is>
      </c>
    </row>
    <row r="3" ht="49" customHeight="1">
      <c r="A3" s="15" t="inlineStr">
        <is>
          <t>SOURCE-002</t>
        </is>
      </c>
      <c r="B3" s="5" t="inlineStr">
        <is>
          <t>FILM-031</t>
        </is>
      </c>
      <c r="C3" s="5" t="n"/>
      <c r="D3" s="5" t="inlineStr">
        <is>
          <t>Aamir Khan filmography</t>
        </is>
      </c>
      <c r="E3" s="5" t="inlineStr">
        <is>
          <t>Bollywood Hungama</t>
        </is>
      </c>
      <c r="F3" s="5" t="n"/>
      <c r="G3" s="5" t="n"/>
      <c r="H3" s="22" t="inlineStr">
        <is>
          <t>https://www.bollywoodhungama.com/celebrity/aamir-khan/filmography/</t>
        </is>
      </c>
      <c r="I3" s="16" t="n">
        <v>46277</v>
      </c>
      <c r="J3" s="5" t="inlineStr">
        <is>
          <t>Acting credits with release dates; cross-check for disputed dates (Earth India release 10 September 1999).</t>
        </is>
      </c>
      <c r="K3" s="5" t="inlineStr">
        <is>
          <t>Entertainment trade publication</t>
        </is>
      </c>
      <c r="L3" s="5" t="inlineStr">
        <is>
          <t>B</t>
        </is>
      </c>
      <c r="M3" s="5" t="inlineStr">
        <is>
          <t>Several pre-1995 dates shown as 01 January are placeholders and were not used.</t>
        </is>
      </c>
    </row>
    <row r="4" ht="49" customHeight="1">
      <c r="A4" s="15" t="inlineStr">
        <is>
          <t>SOURCE-003</t>
        </is>
      </c>
      <c r="B4" s="5" t="inlineStr">
        <is>
          <t>FILM-004; FILM-026; FILM-029; FILM-033; FILM-036; FILM-038; FILM-049</t>
        </is>
      </c>
      <c r="C4" s="5" t="n"/>
      <c r="D4" s="5" t="inlineStr">
        <is>
          <t>List of awards and nominations received by Aamir Khan</t>
        </is>
      </c>
      <c r="E4" s="5" t="inlineStr">
        <is>
          <t>Wikipedia</t>
        </is>
      </c>
      <c r="F4" s="5" t="n"/>
      <c r="G4" s="5" t="n"/>
      <c r="H4" s="22" t="inlineStr">
        <is>
          <t>https://en.wikipedia.org/wiki/List_of_awards_and_nominations_received_by_Aamir_Khan</t>
        </is>
      </c>
      <c r="I4" s="16" t="n">
        <v>46277</v>
      </c>
      <c r="J4" s="5" t="inlineStr">
        <is>
          <t>Personal award wins and nominations across ceremonies.</t>
        </is>
      </c>
      <c r="K4" s="5" t="inlineStr">
        <is>
          <t>Reference encyclopedia</t>
        </is>
      </c>
      <c r="L4" s="5" t="inlineStr">
        <is>
          <t>C</t>
        </is>
      </c>
      <c r="M4" s="5" t="inlineStr">
        <is>
          <t>Cross-checked against individual film pages.</t>
        </is>
      </c>
    </row>
    <row r="5" ht="34" customHeight="1">
      <c r="A5" s="15" t="inlineStr">
        <is>
          <t>SOURCE-004</t>
        </is>
      </c>
      <c r="B5" s="5" t="inlineStr">
        <is>
          <t>FILM-001</t>
        </is>
      </c>
      <c r="C5" s="5" t="n"/>
      <c r="D5" s="5" t="inlineStr">
        <is>
          <t>Yaadon Ki Baaraat</t>
        </is>
      </c>
      <c r="E5" s="5" t="inlineStr">
        <is>
          <t>Wikipedia</t>
        </is>
      </c>
      <c r="F5" s="5" t="n"/>
      <c r="G5" s="5" t="n"/>
      <c r="H5" s="22" t="inlineStr">
        <is>
          <t>https://en.wikipedia.org/wiki/Yaadon_Ki_Baaraat</t>
        </is>
      </c>
      <c r="I5" s="16" t="n">
        <v>46277</v>
      </c>
      <c r="J5" s="5" t="inlineStr">
        <is>
          <t>Credits, child role as young Ratan, box office and legacy.</t>
        </is>
      </c>
      <c r="K5" s="5" t="inlineStr">
        <is>
          <t>Reference encyclopedia</t>
        </is>
      </c>
      <c r="L5" s="5" t="inlineStr">
        <is>
          <t>C</t>
        </is>
      </c>
      <c r="M5" s="5" t="n"/>
    </row>
    <row r="6" ht="34" customHeight="1">
      <c r="A6" s="15" t="inlineStr">
        <is>
          <t>SOURCE-005</t>
        </is>
      </c>
      <c r="B6" s="5" t="inlineStr">
        <is>
          <t>FILM-002</t>
        </is>
      </c>
      <c r="C6" s="5" t="n"/>
      <c r="D6" s="5" t="inlineStr">
        <is>
          <t>Madhosh (1974 film)</t>
        </is>
      </c>
      <c r="E6" s="5" t="inlineStr">
        <is>
          <t>Wikipedia</t>
        </is>
      </c>
      <c r="F6" s="5" t="n"/>
      <c r="G6" s="5" t="n"/>
      <c r="H6" s="22" t="inlineStr">
        <is>
          <t>https://en.wikipedia.org/wiki/Madhosh_(1974_film)</t>
        </is>
      </c>
      <c r="I6" s="16" t="n">
        <v>46277</v>
      </c>
      <c r="J6" s="5" t="inlineStr">
        <is>
          <t>Credits and child role as younger Raj.</t>
        </is>
      </c>
      <c r="K6" s="5" t="inlineStr">
        <is>
          <t>Reference encyclopedia</t>
        </is>
      </c>
      <c r="L6" s="5" t="inlineStr">
        <is>
          <t>C</t>
        </is>
      </c>
      <c r="M6" s="5" t="inlineStr">
        <is>
          <t>Stub article without plot or box-office data.</t>
        </is>
      </c>
    </row>
    <row r="7" ht="34" customHeight="1">
      <c r="A7" s="15" t="inlineStr">
        <is>
          <t>SOURCE-006</t>
        </is>
      </c>
      <c r="B7" s="5" t="inlineStr">
        <is>
          <t>FILM-003</t>
        </is>
      </c>
      <c r="C7" s="5" t="n"/>
      <c r="D7" s="5" t="inlineStr">
        <is>
          <t>Holi (1984 film)</t>
        </is>
      </c>
      <c r="E7" s="5" t="inlineStr">
        <is>
          <t>Wikipedia</t>
        </is>
      </c>
      <c r="F7" s="5" t="n"/>
      <c r="G7" s="5" t="n"/>
      <c r="H7" s="22" t="inlineStr">
        <is>
          <t>https://en.wikipedia.org/wiki/Holi_(1984_film)</t>
        </is>
      </c>
      <c r="I7" s="16" t="n">
        <v>46277</v>
      </c>
      <c r="J7" s="5" t="inlineStr">
        <is>
          <t>Credits, role of Madan Sharma, reception.</t>
        </is>
      </c>
      <c r="K7" s="5" t="inlineStr">
        <is>
          <t>Reference encyclopedia</t>
        </is>
      </c>
      <c r="L7" s="5" t="inlineStr">
        <is>
          <t>C</t>
        </is>
      </c>
      <c r="M7" s="5" t="n"/>
    </row>
    <row r="8" ht="49" customHeight="1">
      <c r="A8" s="15" t="inlineStr">
        <is>
          <t>SOURCE-007</t>
        </is>
      </c>
      <c r="B8" s="5" t="inlineStr">
        <is>
          <t>FILM-004</t>
        </is>
      </c>
      <c r="C8" s="5" t="inlineStr">
        <is>
          <t>PAIR-001</t>
        </is>
      </c>
      <c r="D8" s="5" t="inlineStr">
        <is>
          <t>Qayamat Se Qayamat Tak</t>
        </is>
      </c>
      <c r="E8" s="5" t="inlineStr">
        <is>
          <t>Wikipedia</t>
        </is>
      </c>
      <c r="F8" s="5" t="n"/>
      <c r="G8" s="5" t="n"/>
      <c r="H8" s="22" t="inlineStr">
        <is>
          <t>https://en.wikipedia.org/wiki/Qayamat_Se_Qayamat_Tak</t>
        </is>
      </c>
      <c r="I8" s="16" t="n">
        <v>46277</v>
      </c>
      <c r="J8" s="5" t="inlineStr">
        <is>
          <t>Credits, plot, romance, budget, box office (citing Box Office India and The Times of India), awards, legacy.</t>
        </is>
      </c>
      <c r="K8" s="5" t="inlineStr">
        <is>
          <t>Reference encyclopedia</t>
        </is>
      </c>
      <c r="L8" s="5" t="inlineStr">
        <is>
          <t>C</t>
        </is>
      </c>
      <c r="M8" s="5" t="n"/>
    </row>
    <row r="9" ht="34" customHeight="1">
      <c r="A9" s="15" t="inlineStr">
        <is>
          <t>SOURCE-008</t>
        </is>
      </c>
      <c r="B9" s="5" t="inlineStr">
        <is>
          <t>FILM-004; FILM-005</t>
        </is>
      </c>
      <c r="C9" s="5" t="inlineStr">
        <is>
          <t>PAIR-002</t>
        </is>
      </c>
      <c r="D9" s="5" t="inlineStr">
        <is>
          <t>Raakh</t>
        </is>
      </c>
      <c r="E9" s="5" t="inlineStr">
        <is>
          <t>Wikipedia</t>
        </is>
      </c>
      <c r="F9" s="5" t="n"/>
      <c r="G9" s="5" t="n"/>
      <c r="H9" s="22" t="inlineStr">
        <is>
          <t>https://en.wikipedia.org/wiki/Raakh</t>
        </is>
      </c>
      <c r="I9" s="16" t="n">
        <v>46277</v>
      </c>
      <c r="J9" s="5" t="inlineStr">
        <is>
          <t>Credits, plot, National Film Awards, box office (citing Talking Moviez).</t>
        </is>
      </c>
      <c r="K9" s="5" t="inlineStr">
        <is>
          <t>Reference encyclopedia</t>
        </is>
      </c>
      <c r="L9" s="5" t="inlineStr">
        <is>
          <t>C</t>
        </is>
      </c>
      <c r="M9" s="5" t="n"/>
    </row>
    <row r="10" ht="34" customHeight="1">
      <c r="A10" s="15" t="inlineStr">
        <is>
          <t>SOURCE-009</t>
        </is>
      </c>
      <c r="B10" s="5" t="inlineStr">
        <is>
          <t>FILM-006</t>
        </is>
      </c>
      <c r="C10" s="5" t="inlineStr">
        <is>
          <t>PAIR-003</t>
        </is>
      </c>
      <c r="D10" s="5" t="inlineStr">
        <is>
          <t>Love Love Love (1989 film)</t>
        </is>
      </c>
      <c r="E10" s="5" t="inlineStr">
        <is>
          <t>Wikipedia</t>
        </is>
      </c>
      <c r="F10" s="5" t="n"/>
      <c r="G10" s="5" t="n"/>
      <c r="H10" s="22" t="inlineStr">
        <is>
          <t>https://en.wikipedia.org/wiki/Love_Love_Love_(1989_film)</t>
        </is>
      </c>
      <c r="I10" s="16" t="n">
        <v>46277</v>
      </c>
      <c r="J10" s="5" t="inlineStr">
        <is>
          <t>Credits, plot, romance, box office (citing Indicine).</t>
        </is>
      </c>
      <c r="K10" s="5" t="inlineStr">
        <is>
          <t>Reference encyclopedia</t>
        </is>
      </c>
      <c r="L10" s="5" t="inlineStr">
        <is>
          <t>C</t>
        </is>
      </c>
      <c r="M10" s="5" t="n"/>
    </row>
    <row r="11" ht="34" customHeight="1">
      <c r="A11" s="15" t="inlineStr">
        <is>
          <t>SOURCE-010</t>
        </is>
      </c>
      <c r="B11" s="5" t="inlineStr">
        <is>
          <t>FILM-007</t>
        </is>
      </c>
      <c r="C11" s="5" t="n"/>
      <c r="D11" s="5" t="inlineStr">
        <is>
          <t>Awwal Number</t>
        </is>
      </c>
      <c r="E11" s="5" t="inlineStr">
        <is>
          <t>Wikipedia</t>
        </is>
      </c>
      <c r="F11" s="5" t="n"/>
      <c r="G11" s="5" t="n"/>
      <c r="H11" s="22" t="inlineStr">
        <is>
          <t>https://en.wikipedia.org/wiki/Awwal_Number</t>
        </is>
      </c>
      <c r="I11" s="16" t="n">
        <v>46277</v>
      </c>
      <c r="J11" s="5" t="inlineStr">
        <is>
          <t>Credits, role of Sunny, billing.</t>
        </is>
      </c>
      <c r="K11" s="5" t="inlineStr">
        <is>
          <t>Reference encyclopedia</t>
        </is>
      </c>
      <c r="L11" s="5" t="inlineStr">
        <is>
          <t>C</t>
        </is>
      </c>
      <c r="M11" s="5" t="inlineStr">
        <is>
          <t>No romance, box-office or reception detail on the page.</t>
        </is>
      </c>
    </row>
    <row r="12" ht="34" customHeight="1">
      <c r="A12" s="15" t="inlineStr">
        <is>
          <t>SOURCE-011</t>
        </is>
      </c>
      <c r="B12" s="5" t="inlineStr">
        <is>
          <t>FILM-007</t>
        </is>
      </c>
      <c r="C12" s="5" t="n"/>
      <c r="D12" s="5" t="inlineStr">
        <is>
          <t>Awwal Number — the Review</t>
        </is>
      </c>
      <c r="E12" s="5" t="inlineStr">
        <is>
          <t>The Greatbong Blog</t>
        </is>
      </c>
      <c r="F12" s="5" t="inlineStr">
        <is>
          <t>Arnab Ray</t>
        </is>
      </c>
      <c r="G12" s="16" t="n">
        <v>43763</v>
      </c>
      <c r="H12" s="22" t="inlineStr">
        <is>
          <t>https://greatbong.net/2019/10/25/awwal-number-the-review/</t>
        </is>
      </c>
      <c r="I12" s="16" t="n">
        <v>46277</v>
      </c>
      <c r="J12" s="5" t="inlineStr">
        <is>
          <t>The 'I love you' recorder scene between Sunny and Aarti; satirical critical view of the film.</t>
        </is>
      </c>
      <c r="K12" s="5" t="inlineStr">
        <is>
          <t>Blog review</t>
        </is>
      </c>
      <c r="L12" s="5" t="inlineStr">
        <is>
          <t>D</t>
        </is>
      </c>
      <c r="M12" s="5" t="n"/>
    </row>
    <row r="13" ht="34" customHeight="1">
      <c r="A13" s="15" t="inlineStr">
        <is>
          <t>SOURCE-012</t>
        </is>
      </c>
      <c r="B13" s="5" t="inlineStr">
        <is>
          <t>FILM-008</t>
        </is>
      </c>
      <c r="C13" s="5" t="inlineStr">
        <is>
          <t>PAIR-004</t>
        </is>
      </c>
      <c r="D13" s="5" t="inlineStr">
        <is>
          <t>Tum Mere Ho</t>
        </is>
      </c>
      <c r="E13" s="5" t="inlineStr">
        <is>
          <t>Wikipedia</t>
        </is>
      </c>
      <c r="F13" s="5" t="n"/>
      <c r="G13" s="5" t="n"/>
      <c r="H13" s="22" t="inlineStr">
        <is>
          <t>https://en.wikipedia.org/wiki/Tum_Mere_Ho</t>
        </is>
      </c>
      <c r="I13" s="16" t="n">
        <v>46277</v>
      </c>
      <c r="J13" s="5" t="inlineStr">
        <is>
          <t>Credits, premise, cult 'so bad it's good' status, box-office failure.</t>
        </is>
      </c>
      <c r="K13" s="5" t="inlineStr">
        <is>
          <t>Reference encyclopedia</t>
        </is>
      </c>
      <c r="L13" s="5" t="inlineStr">
        <is>
          <t>C</t>
        </is>
      </c>
      <c r="M13" s="5" t="n"/>
    </row>
    <row r="14" ht="49" customHeight="1">
      <c r="A14" s="15" t="inlineStr">
        <is>
          <t>SOURCE-013</t>
        </is>
      </c>
      <c r="B14" s="5" t="inlineStr">
        <is>
          <t>FILM-008</t>
        </is>
      </c>
      <c r="C14" s="5" t="inlineStr">
        <is>
          <t>PAIR-004</t>
        </is>
      </c>
      <c r="D14" s="5" t="inlineStr">
        <is>
          <t>Tum Mere Ho</t>
        </is>
      </c>
      <c r="E14" s="5" t="inlineStr">
        <is>
          <t>The Cultural Gutter</t>
        </is>
      </c>
      <c r="F14" s="5" t="n"/>
      <c r="G14" s="16" t="n">
        <v>43776</v>
      </c>
      <c r="H14" s="22" t="inlineStr">
        <is>
          <t>https://culturalgutter.com/2019/11/07/tum-mere-ho/</t>
        </is>
      </c>
      <c r="I14" s="16" t="n">
        <v>46277</v>
      </c>
      <c r="J14" s="5" t="inlineStr">
        <is>
          <t>Plot detail: Paro's child-widow status, snake queen's curse and its reversal; reviewer's verdict.</t>
        </is>
      </c>
      <c r="K14" s="5" t="inlineStr">
        <is>
          <t>Online magazine review</t>
        </is>
      </c>
      <c r="L14" s="5" t="inlineStr">
        <is>
          <t>D</t>
        </is>
      </c>
      <c r="M14" s="5" t="n"/>
    </row>
    <row r="15" ht="34" customHeight="1">
      <c r="A15" s="15" t="inlineStr">
        <is>
          <t>SOURCE-014</t>
        </is>
      </c>
      <c r="B15" s="5" t="inlineStr">
        <is>
          <t>FILM-009</t>
        </is>
      </c>
      <c r="C15" s="5" t="inlineStr">
        <is>
          <t>PAIR-005</t>
        </is>
      </c>
      <c r="D15" s="5" t="inlineStr">
        <is>
          <t>Dil (1990 film)</t>
        </is>
      </c>
      <c r="E15" s="5" t="inlineStr">
        <is>
          <t>Wikipedia</t>
        </is>
      </c>
      <c r="F15" s="5" t="n"/>
      <c r="G15" s="5" t="n"/>
      <c r="H15" s="22" t="inlineStr">
        <is>
          <t>https://en.wikipedia.org/wiki/Dil_(1990_film)</t>
        </is>
      </c>
      <c r="I15" s="16" t="n">
        <v>46277</v>
      </c>
      <c r="J15" s="5" t="inlineStr">
        <is>
          <t>Credits, plot, romance, budget, box office (citing Box Office India), awards, remakes.</t>
        </is>
      </c>
      <c r="K15" s="5" t="inlineStr">
        <is>
          <t>Reference encyclopedia</t>
        </is>
      </c>
      <c r="L15" s="5" t="inlineStr">
        <is>
          <t>C</t>
        </is>
      </c>
      <c r="M15" s="5" t="inlineStr">
        <is>
          <t>Page gives two release dates (15 and 22 June 1990).</t>
        </is>
      </c>
    </row>
    <row r="16" ht="34" customHeight="1">
      <c r="A16" s="15" t="inlineStr">
        <is>
          <t>SOURCE-015</t>
        </is>
      </c>
      <c r="B16" s="5" t="inlineStr">
        <is>
          <t>FILM-010</t>
        </is>
      </c>
      <c r="C16" s="5" t="inlineStr">
        <is>
          <t>PAIR-006</t>
        </is>
      </c>
      <c r="D16" s="5" t="inlineStr">
        <is>
          <t>Deewana Mujh Sa Nahin</t>
        </is>
      </c>
      <c r="E16" s="5" t="inlineStr">
        <is>
          <t>Wikipedia</t>
        </is>
      </c>
      <c r="F16" s="5" t="n"/>
      <c r="G16" s="5" t="n"/>
      <c r="H16" s="22" t="inlineStr">
        <is>
          <t>https://en.wikipedia.org/wiki/Deewana_Mujh_Sa_Nahin</t>
        </is>
      </c>
      <c r="I16" s="16" t="n">
        <v>46277</v>
      </c>
      <c r="J16" s="5" t="inlineStr">
        <is>
          <t>Credits, remake status, plot and obsessive one-sided romance.</t>
        </is>
      </c>
      <c r="K16" s="5" t="inlineStr">
        <is>
          <t>Reference encyclopedia</t>
        </is>
      </c>
      <c r="L16" s="5" t="inlineStr">
        <is>
          <t>C</t>
        </is>
      </c>
      <c r="M16" s="5" t="n"/>
    </row>
    <row r="17" ht="34" customHeight="1">
      <c r="A17" s="15" t="inlineStr">
        <is>
          <t>SOURCE-016</t>
        </is>
      </c>
      <c r="B17" s="5" t="inlineStr">
        <is>
          <t>FILM-011</t>
        </is>
      </c>
      <c r="C17" s="5" t="inlineStr">
        <is>
          <t>PAIR-007</t>
        </is>
      </c>
      <c r="D17" s="5" t="inlineStr">
        <is>
          <t>Jawani Zindabad</t>
        </is>
      </c>
      <c r="E17" s="5" t="inlineStr">
        <is>
          <t>Wikipedia</t>
        </is>
      </c>
      <c r="F17" s="5" t="n"/>
      <c r="G17" s="5" t="n"/>
      <c r="H17" s="22" t="inlineStr">
        <is>
          <t>https://en.wikipedia.org/wiki/Jawani_Zindabad</t>
        </is>
      </c>
      <c r="I17" s="16" t="n">
        <v>46277</v>
      </c>
      <c r="J17" s="5" t="inlineStr">
        <is>
          <t>Credits, remake status, anti-dowry plot and marriage.</t>
        </is>
      </c>
      <c r="K17" s="5" t="inlineStr">
        <is>
          <t>Reference encyclopedia</t>
        </is>
      </c>
      <c r="L17" s="5" t="inlineStr">
        <is>
          <t>C</t>
        </is>
      </c>
      <c r="M17" s="5" t="n"/>
    </row>
    <row r="18" ht="34" customHeight="1">
      <c r="A18" s="15" t="inlineStr">
        <is>
          <t>SOURCE-017</t>
        </is>
      </c>
      <c r="B18" s="5" t="inlineStr">
        <is>
          <t>FILM-012</t>
        </is>
      </c>
      <c r="C18" s="5" t="inlineStr">
        <is>
          <t>PAIR-008</t>
        </is>
      </c>
      <c r="D18" s="5" t="inlineStr">
        <is>
          <t>Afsana Pyar Ka</t>
        </is>
      </c>
      <c r="E18" s="5" t="inlineStr">
        <is>
          <t>Wikipedia</t>
        </is>
      </c>
      <c r="F18" s="5" t="n"/>
      <c r="G18" s="5" t="n"/>
      <c r="H18" s="22" t="inlineStr">
        <is>
          <t>https://en.wikipedia.org/wiki/Afsana_Pyar_Ka</t>
        </is>
      </c>
      <c r="I18" s="16" t="n">
        <v>46277</v>
      </c>
      <c r="J18" s="5" t="inlineStr">
        <is>
          <t>Credits, feuding-families premise, popular songs.</t>
        </is>
      </c>
      <c r="K18" s="5" t="inlineStr">
        <is>
          <t>Reference encyclopedia</t>
        </is>
      </c>
      <c r="L18" s="5" t="inlineStr">
        <is>
          <t>C</t>
        </is>
      </c>
      <c r="M18" s="5" t="n"/>
    </row>
    <row r="19" ht="49" customHeight="1">
      <c r="A19" s="15" t="inlineStr">
        <is>
          <t>SOURCE-018</t>
        </is>
      </c>
      <c r="B19" s="5" t="inlineStr">
        <is>
          <t>FILM-013</t>
        </is>
      </c>
      <c r="C19" s="5" t="inlineStr">
        <is>
          <t>PAIR-009</t>
        </is>
      </c>
      <c r="D19" s="5" t="inlineStr">
        <is>
          <t>Dil Hai Ke Manta Nahin</t>
        </is>
      </c>
      <c r="E19" s="5" t="inlineStr">
        <is>
          <t>Wikipedia</t>
        </is>
      </c>
      <c r="F19" s="5" t="n"/>
      <c r="G19" s="5" t="n"/>
      <c r="H19" s="22" t="inlineStr">
        <is>
          <t>https://en.wikipedia.org/wiki/Dil_Hai_Ke_Manta_Nahin</t>
        </is>
      </c>
      <c r="I19" s="16" t="n">
        <v>46277</v>
      </c>
      <c r="J19" s="5" t="inlineStr">
        <is>
          <t>Credits, source films, plot and romance, unlabeled box-office figure (citing Box Office India), Filmfare nominations.</t>
        </is>
      </c>
      <c r="K19" s="5" t="inlineStr">
        <is>
          <t>Reference encyclopedia</t>
        </is>
      </c>
      <c r="L19" s="5" t="inlineStr">
        <is>
          <t>C</t>
        </is>
      </c>
      <c r="M19" s="5" t="n"/>
    </row>
    <row r="20" ht="49" customHeight="1">
      <c r="A20" s="15" t="inlineStr">
        <is>
          <t>SOURCE-019</t>
        </is>
      </c>
      <c r="B20" s="5" t="inlineStr">
        <is>
          <t>FILM-013</t>
        </is>
      </c>
      <c r="C20" s="5" t="n"/>
      <c r="D20" s="5" t="inlineStr">
        <is>
          <t>Dil Hai Ke Manta Nahin — Movie</t>
        </is>
      </c>
      <c r="E20" s="5" t="inlineStr">
        <is>
          <t>Box Office India</t>
        </is>
      </c>
      <c r="F20" s="5" t="n"/>
      <c r="G20" s="5" t="n"/>
      <c r="H20" s="22" t="inlineStr">
        <is>
          <t>https://boxofficeindia.com/movie.php?movieid=6011</t>
        </is>
      </c>
      <c r="I20" s="16" t="n">
        <v>46277</v>
      </c>
      <c r="J20" s="5" t="inlineStr">
        <is>
          <t>Release date 12 July 1991 and runtime 151 minutes; the page carries no collection figures.</t>
        </is>
      </c>
      <c r="K20" s="5" t="inlineStr">
        <is>
          <t>Trade database</t>
        </is>
      </c>
      <c r="L20" s="5" t="inlineStr">
        <is>
          <t>B</t>
        </is>
      </c>
      <c r="M20" s="5" t="inlineStr">
        <is>
          <t>Box Office India's 1990 and 1992 yearly charts were also checked and contain no figures for these films.</t>
        </is>
      </c>
    </row>
    <row r="21" ht="34" customHeight="1">
      <c r="A21" s="15" t="inlineStr">
        <is>
          <t>SOURCE-020</t>
        </is>
      </c>
      <c r="B21" s="5" t="inlineStr">
        <is>
          <t>FILM-014</t>
        </is>
      </c>
      <c r="C21" s="5" t="inlineStr">
        <is>
          <t>PAIR-010</t>
        </is>
      </c>
      <c r="D21" s="5" t="inlineStr">
        <is>
          <t>Daulat Ki Jung</t>
        </is>
      </c>
      <c r="E21" s="5" t="inlineStr">
        <is>
          <t>Wikipedia</t>
        </is>
      </c>
      <c r="F21" s="5" t="n"/>
      <c r="G21" s="5" t="n"/>
      <c r="H21" s="22" t="inlineStr">
        <is>
          <t>https://en.wikipedia.org/wiki/Daulat_Ki_Jung</t>
        </is>
      </c>
      <c r="I21" s="16" t="n">
        <v>46277</v>
      </c>
      <c r="J21" s="5" t="inlineStr">
        <is>
          <t>Credits, Mackenna's Gold inspiration, plot and romance, box-office failure.</t>
        </is>
      </c>
      <c r="K21" s="5" t="inlineStr">
        <is>
          <t>Reference encyclopedia</t>
        </is>
      </c>
      <c r="L21" s="5" t="inlineStr">
        <is>
          <t>C</t>
        </is>
      </c>
      <c r="M21" s="5" t="n"/>
    </row>
    <row r="22" ht="49" customHeight="1">
      <c r="A22" s="15" t="inlineStr">
        <is>
          <t>SOURCE-021</t>
        </is>
      </c>
      <c r="B22" s="5" t="inlineStr">
        <is>
          <t>FILM-015</t>
        </is>
      </c>
      <c r="C22" s="5" t="inlineStr">
        <is>
          <t>PAIR-011; PAIR-012</t>
        </is>
      </c>
      <c r="D22" s="5" t="inlineStr">
        <is>
          <t>Jo Jeeta Wohi Sikandar</t>
        </is>
      </c>
      <c r="E22" s="5" t="inlineStr">
        <is>
          <t>Wikipedia</t>
        </is>
      </c>
      <c r="F22" s="5" t="n"/>
      <c r="G22" s="5" t="n"/>
      <c r="H22" s="22" t="inlineStr">
        <is>
          <t>https://en.wikipedia.org/wiki/Jo_Jeeta_Wohi_Sikandar</t>
        </is>
      </c>
      <c r="I22" s="16" t="n">
        <v>46277</v>
      </c>
      <c r="J22" s="5" t="inlineStr">
        <is>
          <t>Credits, plot, both romances, box office (citing Bollywood Hungama and Box Office India), Filmfare awards, cult status.</t>
        </is>
      </c>
      <c r="K22" s="5" t="inlineStr">
        <is>
          <t>Reference encyclopedia</t>
        </is>
      </c>
      <c r="L22" s="5" t="inlineStr">
        <is>
          <t>C</t>
        </is>
      </c>
      <c r="M22" s="5" t="n"/>
    </row>
    <row r="23" ht="34" customHeight="1">
      <c r="A23" s="15" t="inlineStr">
        <is>
          <t>SOURCE-022</t>
        </is>
      </c>
      <c r="B23" s="5" t="inlineStr">
        <is>
          <t>FILM-016</t>
        </is>
      </c>
      <c r="C23" s="5" t="n"/>
      <c r="D23" s="5" t="inlineStr">
        <is>
          <t>Isi Ka Naam Zindagi</t>
        </is>
      </c>
      <c r="E23" s="5" t="inlineStr">
        <is>
          <t>Wikipedia</t>
        </is>
      </c>
      <c r="F23" s="5" t="n"/>
      <c r="G23" s="5" t="n"/>
      <c r="H23" s="22" t="inlineStr">
        <is>
          <t>https://en.wikipedia.org/wiki/Isi_Ka_Naam_Zindagi</t>
        </is>
      </c>
      <c r="I23" s="16" t="n">
        <v>46277</v>
      </c>
      <c r="J23" s="5" t="inlineStr">
        <is>
          <t>Credits, remake status, cast, box office (citing Indicine), failure verdict.</t>
        </is>
      </c>
      <c r="K23" s="5" t="inlineStr">
        <is>
          <t>Reference encyclopedia</t>
        </is>
      </c>
      <c r="L23" s="5" t="inlineStr">
        <is>
          <t>C</t>
        </is>
      </c>
      <c r="M23" s="5" t="n"/>
    </row>
    <row r="24" ht="49" customHeight="1">
      <c r="A24" s="15" t="inlineStr">
        <is>
          <t>SOURCE-023</t>
        </is>
      </c>
      <c r="B24" s="5" t="inlineStr">
        <is>
          <t>FILM-017</t>
        </is>
      </c>
      <c r="C24" s="5" t="n"/>
      <c r="D24" s="5" t="inlineStr">
        <is>
          <t>Damini (film)</t>
        </is>
      </c>
      <c r="E24" s="5" t="inlineStr">
        <is>
          <t>Wikipedia</t>
        </is>
      </c>
      <c r="F24" s="5" t="n"/>
      <c r="G24" s="5" t="n"/>
      <c r="H24" s="22" t="inlineStr">
        <is>
          <t>https://en.wikipedia.org/wiki/Damini_(film)</t>
        </is>
      </c>
      <c r="I24" s="16" t="n">
        <v>46277</v>
      </c>
      <c r="J24" s="5" t="inlineStr">
        <is>
          <t>Credits; Aamir Khan's special appearance as himself in the song 'Bin Sajan Jhoola Jhoolu'; awards and reception.</t>
        </is>
      </c>
      <c r="K24" s="5" t="inlineStr">
        <is>
          <t>Reference encyclopedia</t>
        </is>
      </c>
      <c r="L24" s="5" t="inlineStr">
        <is>
          <t>C</t>
        </is>
      </c>
      <c r="M24" s="5" t="n"/>
    </row>
    <row r="25" ht="34" customHeight="1">
      <c r="A25" s="15" t="inlineStr">
        <is>
          <t>SOURCE-024</t>
        </is>
      </c>
      <c r="B25" s="5" t="inlineStr">
        <is>
          <t>FILM-018</t>
        </is>
      </c>
      <c r="C25" s="5" t="n"/>
      <c r="D25" s="5" t="inlineStr">
        <is>
          <t>Parampara (1993 film)</t>
        </is>
      </c>
      <c r="E25" s="5" t="inlineStr">
        <is>
          <t>Wikipedia</t>
        </is>
      </c>
      <c r="F25" s="5" t="n"/>
      <c r="G25" s="5" t="n"/>
      <c r="H25" s="22" t="inlineStr">
        <is>
          <t>https://en.wikipedia.org/wiki/Parampara_(1993_film)</t>
        </is>
      </c>
      <c r="I25" s="16" t="n">
        <v>46277</v>
      </c>
      <c r="J25" s="5" t="inlineStr">
        <is>
          <t>Credits, plot and the role of Ranvir Prithvi Singh.</t>
        </is>
      </c>
      <c r="K25" s="5" t="inlineStr">
        <is>
          <t>Reference encyclopedia</t>
        </is>
      </c>
      <c r="L25" s="5" t="inlineStr">
        <is>
          <t>C</t>
        </is>
      </c>
      <c r="M25" s="5" t="inlineStr">
        <is>
          <t>Page does not describe any romantic pairing for Ranvir.</t>
        </is>
      </c>
    </row>
    <row r="26" ht="49" customHeight="1">
      <c r="A26" s="15" t="inlineStr">
        <is>
          <t>SOURCE-025</t>
        </is>
      </c>
      <c r="B26" s="5" t="inlineStr">
        <is>
          <t>FILM-019</t>
        </is>
      </c>
      <c r="C26" s="5" t="inlineStr">
        <is>
          <t>PAIR-013</t>
        </is>
      </c>
      <c r="D26" s="5" t="inlineStr">
        <is>
          <t>Hum Hain Rahi Pyar Ke</t>
        </is>
      </c>
      <c r="E26" s="5" t="inlineStr">
        <is>
          <t>Wikipedia</t>
        </is>
      </c>
      <c r="F26" s="5" t="n"/>
      <c r="G26" s="5" t="n"/>
      <c r="H26" s="22" t="inlineStr">
        <is>
          <t>https://en.wikipedia.org/wiki/Hum_Hain_Rahi_Pyar_Ke</t>
        </is>
      </c>
      <c r="I26" s="16" t="n">
        <v>46277</v>
      </c>
      <c r="J26" s="5" t="inlineStr">
        <is>
          <t>Credits incl. Aamir Khan's screenplay credit, Houseboat source, plot and romance, box office, National and Filmfare awards.</t>
        </is>
      </c>
      <c r="K26" s="5" t="inlineStr">
        <is>
          <t>Reference encyclopedia</t>
        </is>
      </c>
      <c r="L26" s="5" t="inlineStr">
        <is>
          <t>C</t>
        </is>
      </c>
      <c r="M26" s="5" t="n"/>
    </row>
    <row r="27" ht="49" customHeight="1">
      <c r="A27" s="15" t="inlineStr">
        <is>
          <t>SOURCE-026</t>
        </is>
      </c>
      <c r="B27" s="5" t="inlineStr">
        <is>
          <t>FILM-020</t>
        </is>
      </c>
      <c r="C27" s="5" t="n"/>
      <c r="D27" s="5" t="inlineStr">
        <is>
          <t>Pehla Nasha</t>
        </is>
      </c>
      <c r="E27" s="5" t="inlineStr">
        <is>
          <t>Wikipedia</t>
        </is>
      </c>
      <c r="F27" s="5" t="n"/>
      <c r="G27" s="5" t="n"/>
      <c r="H27" s="22" t="inlineStr">
        <is>
          <t>https://en.wikipedia.org/wiki/Pehla_Nasha</t>
        </is>
      </c>
      <c r="I27" s="16" t="n">
        <v>46277</v>
      </c>
      <c r="J27" s="5" t="inlineStr">
        <is>
          <t>Credits, Body Double remake status, scene with Aamir, Shah Rukh and Saif Khan as themselves, failure verdict.</t>
        </is>
      </c>
      <c r="K27" s="5" t="inlineStr">
        <is>
          <t>Reference encyclopedia</t>
        </is>
      </c>
      <c r="L27" s="5" t="inlineStr">
        <is>
          <t>C</t>
        </is>
      </c>
      <c r="M27" s="5" t="n"/>
    </row>
    <row r="28" ht="49" customHeight="1">
      <c r="A28" s="15" t="inlineStr">
        <is>
          <t>SOURCE-027</t>
        </is>
      </c>
      <c r="B28" s="5" t="inlineStr">
        <is>
          <t>FILM-021</t>
        </is>
      </c>
      <c r="C28" s="5" t="inlineStr">
        <is>
          <t>PAIR-014</t>
        </is>
      </c>
      <c r="D28" s="5" t="inlineStr">
        <is>
          <t>Andaz Apna Apna</t>
        </is>
      </c>
      <c r="E28" s="5" t="inlineStr">
        <is>
          <t>Wikipedia</t>
        </is>
      </c>
      <c r="F28" s="5" t="n"/>
      <c r="G28" s="5" t="n"/>
      <c r="H28" s="22" t="inlineStr">
        <is>
          <t>https://en.wikipedia.org/wiki/Andaz_Apna_Apna</t>
        </is>
      </c>
      <c r="I28" s="16" t="n">
        <v>46277</v>
      </c>
      <c r="J28" s="5" t="inlineStr">
        <is>
          <t>Credits, plot, identity swap and final pairings (verbatim), box office (citing Box Office India), cult status, re-release.</t>
        </is>
      </c>
      <c r="K28" s="5" t="inlineStr">
        <is>
          <t>Reference encyclopedia</t>
        </is>
      </c>
      <c r="L28" s="5" t="inlineStr">
        <is>
          <t>C</t>
        </is>
      </c>
      <c r="M28" s="5" t="n"/>
    </row>
    <row r="29" ht="34" customHeight="1">
      <c r="A29" s="15" t="inlineStr">
        <is>
          <t>SOURCE-028</t>
        </is>
      </c>
      <c r="B29" s="5" t="inlineStr">
        <is>
          <t>FILM-022</t>
        </is>
      </c>
      <c r="C29" s="5" t="inlineStr">
        <is>
          <t>PAIR-015</t>
        </is>
      </c>
      <c r="D29" s="5" t="inlineStr">
        <is>
          <t>Baazi (1995 film)</t>
        </is>
      </c>
      <c r="E29" s="5" t="inlineStr">
        <is>
          <t>Wikipedia</t>
        </is>
      </c>
      <c r="F29" s="5" t="n"/>
      <c r="G29" s="5" t="n"/>
      <c r="H29" s="22" t="inlineStr">
        <is>
          <t>https://en.wikipedia.org/wiki/Baazi_(1995_film)</t>
        </is>
      </c>
      <c r="I29" s="16" t="n">
        <v>46277</v>
      </c>
      <c r="J29" s="5" t="inlineStr">
        <is>
          <t>Credits, plot, budget and box office (citing Box Office India), reviews.</t>
        </is>
      </c>
      <c r="K29" s="5" t="inlineStr">
        <is>
          <t>Reference encyclopedia</t>
        </is>
      </c>
      <c r="L29" s="5" t="inlineStr">
        <is>
          <t>C</t>
        </is>
      </c>
      <c r="M29" s="5" t="n"/>
    </row>
    <row r="30" ht="34" customHeight="1">
      <c r="A30" s="15" t="inlineStr">
        <is>
          <t>SOURCE-029</t>
        </is>
      </c>
      <c r="B30" s="5" t="inlineStr">
        <is>
          <t>FILM-023</t>
        </is>
      </c>
      <c r="C30" s="5" t="n"/>
      <c r="D30" s="5" t="inlineStr">
        <is>
          <t>Aatank Hi Aatank</t>
        </is>
      </c>
      <c r="E30" s="5" t="inlineStr">
        <is>
          <t>Wikipedia</t>
        </is>
      </c>
      <c r="F30" s="5" t="n"/>
      <c r="G30" s="5" t="n"/>
      <c r="H30" s="22" t="inlineStr">
        <is>
          <t>https://en.wikipedia.org/wiki/Aatank_Hi_Aatank</t>
        </is>
      </c>
      <c r="I30" s="16" t="n">
        <v>46277</v>
      </c>
      <c r="J30" s="5" t="inlineStr">
        <is>
          <t>Credits, Godfather inspiration, cast, failure verdict.</t>
        </is>
      </c>
      <c r="K30" s="5" t="inlineStr">
        <is>
          <t>Reference encyclopedia</t>
        </is>
      </c>
      <c r="L30" s="5" t="inlineStr">
        <is>
          <t>C</t>
        </is>
      </c>
      <c r="M30" s="5" t="n"/>
    </row>
    <row r="31" ht="49" customHeight="1">
      <c r="A31" s="15" t="inlineStr">
        <is>
          <t>SOURCE-030</t>
        </is>
      </c>
      <c r="B31" s="5" t="inlineStr">
        <is>
          <t>FILM-024</t>
        </is>
      </c>
      <c r="C31" s="5" t="inlineStr">
        <is>
          <t>PAIR-016</t>
        </is>
      </c>
      <c r="D31" s="5" t="inlineStr">
        <is>
          <t>Rangeela (1995 film)</t>
        </is>
      </c>
      <c r="E31" s="5" t="inlineStr">
        <is>
          <t>Wikipedia</t>
        </is>
      </c>
      <c r="F31" s="5" t="n"/>
      <c r="G31" s="5" t="n"/>
      <c r="H31" s="22" t="inlineStr">
        <is>
          <t>https://en.wikipedia.org/wiki/Rangeela_(1995_film)</t>
        </is>
      </c>
      <c r="I31" s="16" t="n">
        <v>46277</v>
      </c>
      <c r="J31" s="5" t="inlineStr">
        <is>
          <t>Credits, plot and love triangle, budget and box office (citing Box Office India), awards, legacy.</t>
        </is>
      </c>
      <c r="K31" s="5" t="inlineStr">
        <is>
          <t>Reference encyclopedia</t>
        </is>
      </c>
      <c r="L31" s="5" t="inlineStr">
        <is>
          <t>C</t>
        </is>
      </c>
      <c r="M31" s="5" t="n"/>
    </row>
    <row r="32" ht="49" customHeight="1">
      <c r="A32" s="15" t="inlineStr">
        <is>
          <t>SOURCE-031</t>
        </is>
      </c>
      <c r="B32" s="5" t="inlineStr">
        <is>
          <t>FILM-025</t>
        </is>
      </c>
      <c r="C32" s="5" t="inlineStr">
        <is>
          <t>PAIR-017</t>
        </is>
      </c>
      <c r="D32" s="5" t="inlineStr">
        <is>
          <t>Akele Hum Akele Tum</t>
        </is>
      </c>
      <c r="E32" s="5" t="inlineStr">
        <is>
          <t>Wikipedia</t>
        </is>
      </c>
      <c r="F32" s="5" t="n"/>
      <c r="G32" s="5" t="n"/>
      <c r="H32" s="22" t="inlineStr">
        <is>
          <t>https://en.wikipedia.org/wiki/Akele_Hum_Akele_Tum</t>
        </is>
      </c>
      <c r="I32" s="16" t="n">
        <v>46277</v>
      </c>
      <c r="J32" s="5" t="inlineStr">
        <is>
          <t>Credits, Kramer vs. Kramer source, marriage and custody plot, box office (citing Box Office India), Filmfare nominations.</t>
        </is>
      </c>
      <c r="K32" s="5" t="inlineStr">
        <is>
          <t>Reference encyclopedia</t>
        </is>
      </c>
      <c r="L32" s="5" t="inlineStr">
        <is>
          <t>C</t>
        </is>
      </c>
      <c r="M32" s="5" t="n"/>
    </row>
    <row r="33" ht="49" customHeight="1">
      <c r="A33" s="15" t="inlineStr">
        <is>
          <t>SOURCE-032</t>
        </is>
      </c>
      <c r="B33" s="5" t="inlineStr">
        <is>
          <t>FILM-026</t>
        </is>
      </c>
      <c r="C33" s="5" t="inlineStr">
        <is>
          <t>PAIR-018</t>
        </is>
      </c>
      <c r="D33" s="5" t="inlineStr">
        <is>
          <t>Raja Hindustani</t>
        </is>
      </c>
      <c r="E33" s="5" t="inlineStr">
        <is>
          <t>Wikipedia</t>
        </is>
      </c>
      <c r="F33" s="5" t="n"/>
      <c r="G33" s="5" t="n"/>
      <c r="H33" s="22" t="inlineStr">
        <is>
          <t>https://en.wikipedia.org/wiki/Raja_Hindustani</t>
        </is>
      </c>
      <c r="I33" s="16" t="n">
        <v>46277</v>
      </c>
      <c r="J33" s="5" t="inlineStr">
        <is>
          <t>Credits, plot and marriage, nett/gross box office (citing Box Office India), Filmfare and Screen awards.</t>
        </is>
      </c>
      <c r="K33" s="5" t="inlineStr">
        <is>
          <t>Reference encyclopedia</t>
        </is>
      </c>
      <c r="L33" s="5" t="inlineStr">
        <is>
          <t>C</t>
        </is>
      </c>
      <c r="M33" s="5" t="n"/>
    </row>
    <row r="34" ht="49" customHeight="1">
      <c r="A34" s="15" t="inlineStr">
        <is>
          <t>SOURCE-033</t>
        </is>
      </c>
      <c r="B34" s="5" t="inlineStr">
        <is>
          <t>FILM-027</t>
        </is>
      </c>
      <c r="C34" s="5" t="inlineStr">
        <is>
          <t>PAIR-019</t>
        </is>
      </c>
      <c r="D34" s="5" t="inlineStr">
        <is>
          <t>Ishq (1997 film)</t>
        </is>
      </c>
      <c r="E34" s="5" t="inlineStr">
        <is>
          <t>Wikipedia</t>
        </is>
      </c>
      <c r="F34" s="5" t="n"/>
      <c r="G34" s="5" t="n"/>
      <c r="H34" s="22" t="inlineStr">
        <is>
          <t>https://en.wikipedia.org/wiki/Ishq_(1997_film)</t>
        </is>
      </c>
      <c r="I34" s="16" t="n">
        <v>46277</v>
      </c>
      <c r="J34" s="5" t="inlineStr">
        <is>
          <t>Credits, couples and ending (verbatim), nett and worldwide box office (citing Box Office India), nominations.</t>
        </is>
      </c>
      <c r="K34" s="5" t="inlineStr">
        <is>
          <t>Reference encyclopedia</t>
        </is>
      </c>
      <c r="L34" s="5" t="inlineStr">
        <is>
          <t>C</t>
        </is>
      </c>
      <c r="M34" s="5" t="n"/>
    </row>
    <row r="35" ht="49" customHeight="1">
      <c r="A35" s="15" t="inlineStr">
        <is>
          <t>SOURCE-034</t>
        </is>
      </c>
      <c r="B35" s="5" t="inlineStr">
        <is>
          <t>FILM-028</t>
        </is>
      </c>
      <c r="C35" s="5" t="inlineStr">
        <is>
          <t>PAIR-020</t>
        </is>
      </c>
      <c r="D35" s="5" t="inlineStr">
        <is>
          <t>Ghulam (film)</t>
        </is>
      </c>
      <c r="E35" s="5" t="inlineStr">
        <is>
          <t>Wikipedia</t>
        </is>
      </c>
      <c r="F35" s="5" t="n"/>
      <c r="G35" s="5" t="n"/>
      <c r="H35" s="22" t="inlineStr">
        <is>
          <t>https://en.wikipedia.org/wiki/Ghulam_(film)</t>
        </is>
      </c>
      <c r="I35" s="16" t="n">
        <v>46277</v>
      </c>
      <c r="J35" s="5" t="inlineStr">
        <is>
          <t>Credits, On the Waterfront source, plot, romance sentences (verbatim), box office (citing Box Office India), Filmfare awards.</t>
        </is>
      </c>
      <c r="K35" s="5" t="inlineStr">
        <is>
          <t>Reference encyclopedia</t>
        </is>
      </c>
      <c r="L35" s="5" t="inlineStr">
        <is>
          <t>C</t>
        </is>
      </c>
      <c r="M35" s="5" t="n"/>
    </row>
    <row r="36" ht="49" customHeight="1">
      <c r="A36" s="15" t="inlineStr">
        <is>
          <t>SOURCE-035</t>
        </is>
      </c>
      <c r="B36" s="5" t="inlineStr">
        <is>
          <t>FILM-031</t>
        </is>
      </c>
      <c r="C36" s="5" t="inlineStr">
        <is>
          <t>PAIR-023</t>
        </is>
      </c>
      <c r="D36" s="5" t="inlineStr">
        <is>
          <t>Earth (1998 film)</t>
        </is>
      </c>
      <c r="E36" s="5" t="inlineStr">
        <is>
          <t>Wikipedia</t>
        </is>
      </c>
      <c r="F36" s="5" t="n"/>
      <c r="G36" s="5" t="n"/>
      <c r="H36" s="22" t="inlineStr">
        <is>
          <t>https://en.wikipedia.org/wiki/Earth_(1998_film)</t>
        </is>
      </c>
      <c r="I36" s="16" t="n">
        <v>46277</v>
      </c>
      <c r="J36" s="5" t="inlineStr">
        <is>
          <t>Credits, Ice Candy Man source, plot, Dil Navaz's betrayal of Shanta, reviews, Academy Award submission.</t>
        </is>
      </c>
      <c r="K36" s="5" t="inlineStr">
        <is>
          <t>Reference encyclopedia</t>
        </is>
      </c>
      <c r="L36" s="5" t="inlineStr">
        <is>
          <t>C</t>
        </is>
      </c>
      <c r="M36" s="5" t="n"/>
    </row>
    <row r="37" ht="49" customHeight="1">
      <c r="A37" s="15" t="inlineStr">
        <is>
          <t>SOURCE-036</t>
        </is>
      </c>
      <c r="B37" s="5" t="inlineStr">
        <is>
          <t>FILM-029</t>
        </is>
      </c>
      <c r="C37" s="5" t="inlineStr">
        <is>
          <t>PAIR-021</t>
        </is>
      </c>
      <c r="D37" s="5" t="inlineStr">
        <is>
          <t>Sarfarosh (1999 film)</t>
        </is>
      </c>
      <c r="E37" s="5" t="inlineStr">
        <is>
          <t>Wikipedia</t>
        </is>
      </c>
      <c r="F37" s="5" t="n"/>
      <c r="G37" s="5" t="n"/>
      <c r="H37" s="22" t="inlineStr">
        <is>
          <t>https://en.wikipedia.org/wiki/Sarfarosh_(1999_film)</t>
        </is>
      </c>
      <c r="I37" s="16" t="n">
        <v>46277</v>
      </c>
      <c r="J37" s="5" t="inlineStr">
        <is>
          <t>Credits, plot and romance, budget and unlabeled box-office figure (citing Box Office India), reviews, awards.</t>
        </is>
      </c>
      <c r="K37" s="5" t="inlineStr">
        <is>
          <t>Reference encyclopedia</t>
        </is>
      </c>
      <c r="L37" s="5" t="inlineStr">
        <is>
          <t>C</t>
        </is>
      </c>
      <c r="M37" s="5" t="n"/>
    </row>
    <row r="38" ht="49" customHeight="1">
      <c r="A38" s="15" t="inlineStr">
        <is>
          <t>SOURCE-037</t>
        </is>
      </c>
      <c r="B38" s="5" t="inlineStr">
        <is>
          <t>FILM-030</t>
        </is>
      </c>
      <c r="C38" s="5" t="inlineStr">
        <is>
          <t>PAIR-022</t>
        </is>
      </c>
      <c r="D38" s="5" t="inlineStr">
        <is>
          <t>Mann (1999 film)</t>
        </is>
      </c>
      <c r="E38" s="5" t="inlineStr">
        <is>
          <t>Wikipedia</t>
        </is>
      </c>
      <c r="F38" s="5" t="n"/>
      <c r="G38" s="5" t="n"/>
      <c r="H38" s="22" t="inlineStr">
        <is>
          <t>https://en.wikipedia.org/wiki/Mann_(1999_film)</t>
        </is>
      </c>
      <c r="I38" s="16" t="n">
        <v>46277</v>
      </c>
      <c r="J38" s="5" t="inlineStr">
        <is>
          <t>Credits, An Affair to Remember source, plot and romance, budget and box office (citing Box Office India).</t>
        </is>
      </c>
      <c r="K38" s="5" t="inlineStr">
        <is>
          <t>Reference encyclopedia</t>
        </is>
      </c>
      <c r="L38" s="5" t="inlineStr">
        <is>
          <t>C</t>
        </is>
      </c>
      <c r="M38" s="5" t="n"/>
    </row>
    <row r="39" ht="34" customHeight="1">
      <c r="A39" s="15" t="inlineStr">
        <is>
          <t>SOURCE-038</t>
        </is>
      </c>
      <c r="B39" s="5" t="inlineStr">
        <is>
          <t>FILM-032</t>
        </is>
      </c>
      <c r="C39" s="5" t="inlineStr">
        <is>
          <t>PAIR-024</t>
        </is>
      </c>
      <c r="D39" s="5" t="inlineStr">
        <is>
          <t>Mela (2000 film)</t>
        </is>
      </c>
      <c r="E39" s="5" t="inlineStr">
        <is>
          <t>Wikipedia</t>
        </is>
      </c>
      <c r="F39" s="5" t="n"/>
      <c r="G39" s="5" t="n"/>
      <c r="H39" s="22" t="inlineStr">
        <is>
          <t>https://en.wikipedia.org/wiki/Mela_(2000_film)</t>
        </is>
      </c>
      <c r="I39" s="16" t="n">
        <v>46277</v>
      </c>
      <c r="J39" s="5" t="inlineStr">
        <is>
          <t>Credits, plot and romance, estimated budget and box office (citing Box Office India), reviews.</t>
        </is>
      </c>
      <c r="K39" s="5" t="inlineStr">
        <is>
          <t>Reference encyclopedia</t>
        </is>
      </c>
      <c r="L39" s="5" t="inlineStr">
        <is>
          <t>C</t>
        </is>
      </c>
      <c r="M39" s="5" t="n"/>
    </row>
    <row r="40" ht="49" customHeight="1">
      <c r="A40" s="15" t="inlineStr">
        <is>
          <t>SOURCE-039</t>
        </is>
      </c>
      <c r="B40" s="5" t="inlineStr">
        <is>
          <t>FILM-033</t>
        </is>
      </c>
      <c r="C40" s="5" t="inlineStr">
        <is>
          <t>PAIR-025; PAIR-026</t>
        </is>
      </c>
      <c r="D40" s="5" t="inlineStr">
        <is>
          <t>Lagaan</t>
        </is>
      </c>
      <c r="E40" s="5" t="inlineStr">
        <is>
          <t>Wikipedia</t>
        </is>
      </c>
      <c r="F40" s="5" t="n"/>
      <c r="G40" s="5" t="n"/>
      <c r="H40" s="22" t="inlineStr">
        <is>
          <t>https://en.wikipedia.org/wiki/Lagaan</t>
        </is>
      </c>
      <c r="I40" s="16" t="n">
        <v>46277</v>
      </c>
      <c r="J40" s="5" t="inlineStr">
        <is>
          <t>Credits, plot and both romantic threads, nett/gross box office (citing Box Office India), Academy Award nomination, awards, legacy lists.</t>
        </is>
      </c>
      <c r="K40" s="5" t="inlineStr">
        <is>
          <t>Reference encyclopedia</t>
        </is>
      </c>
      <c r="L40" s="5" t="inlineStr">
        <is>
          <t>C</t>
        </is>
      </c>
      <c r="M40" s="5" t="n"/>
    </row>
    <row r="41" ht="49" customHeight="1">
      <c r="A41" s="15" t="inlineStr">
        <is>
          <t>SOURCE-040</t>
        </is>
      </c>
      <c r="B41" s="5" t="inlineStr">
        <is>
          <t>FILM-034</t>
        </is>
      </c>
      <c r="C41" s="5" t="inlineStr">
        <is>
          <t>PAIR-027</t>
        </is>
      </c>
      <c r="D41" s="5" t="inlineStr">
        <is>
          <t>Dil Chahta Hai</t>
        </is>
      </c>
      <c r="E41" s="5" t="inlineStr">
        <is>
          <t>Wikipedia</t>
        </is>
      </c>
      <c r="F41" s="5" t="n"/>
      <c r="G41" s="5" t="n"/>
      <c r="H41" s="22" t="inlineStr">
        <is>
          <t>https://en.wikipedia.org/wiki/Dil_Chahta_Hai</t>
        </is>
      </c>
      <c r="I41" s="16" t="n">
        <v>46277</v>
      </c>
      <c r="J41" s="5" t="inlineStr">
        <is>
          <t>Credits, plot and romance, budget and domestic/overseas/worldwide box office (citing Box Office India), awards, legacy.</t>
        </is>
      </c>
      <c r="K41" s="5" t="inlineStr">
        <is>
          <t>Reference encyclopedia</t>
        </is>
      </c>
      <c r="L41" s="5" t="inlineStr">
        <is>
          <t>C</t>
        </is>
      </c>
      <c r="M41" s="5" t="n"/>
    </row>
    <row r="42" ht="49" customHeight="1">
      <c r="A42" s="15" t="inlineStr">
        <is>
          <t>SOURCE-041</t>
        </is>
      </c>
      <c r="B42" s="5" t="inlineStr">
        <is>
          <t>FILM-035</t>
        </is>
      </c>
      <c r="C42" s="5" t="inlineStr">
        <is>
          <t>PAIR-028</t>
        </is>
      </c>
      <c r="D42" s="5" t="inlineStr">
        <is>
          <t>Mangal Pandey: The Rising</t>
        </is>
      </c>
      <c r="E42" s="5" t="inlineStr">
        <is>
          <t>Wikipedia</t>
        </is>
      </c>
      <c r="F42" s="5" t="n"/>
      <c r="G42" s="5" t="n"/>
      <c r="H42" s="22" t="inlineStr">
        <is>
          <t>https://en.wikipedia.org/wiki/Mangal_Pandey:_The_Rising</t>
        </is>
      </c>
      <c r="I42" s="16" t="n">
        <v>46277</v>
      </c>
      <c r="J42" s="5" t="inlineStr">
        <is>
          <t>Credits, plot, romance with Heera, budget and box office (citing Box Office India), reception and historical-accuracy controversy.</t>
        </is>
      </c>
      <c r="K42" s="5" t="inlineStr">
        <is>
          <t>Reference encyclopedia</t>
        </is>
      </c>
      <c r="L42" s="5" t="inlineStr">
        <is>
          <t>C</t>
        </is>
      </c>
      <c r="M42" s="5" t="n"/>
    </row>
    <row r="43" ht="49" customHeight="1">
      <c r="A43" s="15" t="inlineStr">
        <is>
          <t>SOURCE-042</t>
        </is>
      </c>
      <c r="B43" s="5" t="inlineStr">
        <is>
          <t>FILM-036</t>
        </is>
      </c>
      <c r="C43" s="5" t="n"/>
      <c r="D43" s="5" t="inlineStr">
        <is>
          <t>Rang De Basanti</t>
        </is>
      </c>
      <c r="E43" s="5" t="inlineStr">
        <is>
          <t>Wikipedia</t>
        </is>
      </c>
      <c r="F43" s="5" t="n"/>
      <c r="G43" s="5" t="n"/>
      <c r="H43" s="22" t="inlineStr">
        <is>
          <t>https://en.wikipedia.org/wiki/Rang_De_Basanti</t>
        </is>
      </c>
      <c r="I43" s="16" t="n">
        <v>46277</v>
      </c>
      <c r="J43" s="5" t="inlineStr">
        <is>
          <t>Credits, plot, DJ–Sue relationship, box office (citing Box Office India, The Times of India, The Hindu), awards table, social influence.</t>
        </is>
      </c>
      <c r="K43" s="5" t="inlineStr">
        <is>
          <t>Reference encyclopedia</t>
        </is>
      </c>
      <c r="L43" s="5" t="inlineStr">
        <is>
          <t>C</t>
        </is>
      </c>
      <c r="M43" s="5" t="n"/>
    </row>
    <row r="44" ht="49" customHeight="1">
      <c r="A44" s="15" t="inlineStr">
        <is>
          <t>SOURCE-043</t>
        </is>
      </c>
      <c r="B44" s="5" t="inlineStr">
        <is>
          <t>FILM-037</t>
        </is>
      </c>
      <c r="C44" s="5" t="inlineStr">
        <is>
          <t>PAIR-029</t>
        </is>
      </c>
      <c r="D44" s="5" t="inlineStr">
        <is>
          <t>Fanaa (2006 film)</t>
        </is>
      </c>
      <c r="E44" s="5" t="inlineStr">
        <is>
          <t>Wikipedia</t>
        </is>
      </c>
      <c r="F44" s="5" t="n"/>
      <c r="G44" s="5" t="n"/>
      <c r="H44" s="22" t="inlineStr">
        <is>
          <t>https://en.wikipedia.org/wiki/Fanaa_(2006_film)</t>
        </is>
      </c>
      <c r="I44" s="16" t="n">
        <v>46277</v>
      </c>
      <c r="J44" s="5" t="inlineStr">
        <is>
          <t>Credits, plot and romance, box office (citing Box Office India and Yash Raj Films), reviews, Gujarat ban, awards table.</t>
        </is>
      </c>
      <c r="K44" s="5" t="inlineStr">
        <is>
          <t>Reference encyclopedia</t>
        </is>
      </c>
      <c r="L44" s="5" t="inlineStr">
        <is>
          <t>C</t>
        </is>
      </c>
      <c r="M44" s="5" t="n"/>
    </row>
    <row r="45" ht="49" customHeight="1">
      <c r="A45" s="15" t="inlineStr">
        <is>
          <t>SOURCE-044</t>
        </is>
      </c>
      <c r="B45" s="5" t="inlineStr">
        <is>
          <t>FILM-038</t>
        </is>
      </c>
      <c r="C45" s="5" t="n"/>
      <c r="D45" s="5" t="inlineStr">
        <is>
          <t>Taare Zameen Par</t>
        </is>
      </c>
      <c r="E45" s="5" t="inlineStr">
        <is>
          <t>Wikipedia</t>
        </is>
      </c>
      <c r="F45" s="5" t="n"/>
      <c r="G45" s="5" t="n"/>
      <c r="H45" s="22" t="inlineStr">
        <is>
          <t>https://en.wikipedia.org/wiki/Taare_Zameen_Par</t>
        </is>
      </c>
      <c r="I45" s="16" t="n">
        <v>46277</v>
      </c>
      <c r="J45" s="5" t="inlineStr">
        <is>
          <t>Credits, role of Ram Shankar Nikumbh, conflicting worldwide grosses, dyslexia-awareness impact, awards.</t>
        </is>
      </c>
      <c r="K45" s="5" t="inlineStr">
        <is>
          <t>Reference encyclopedia</t>
        </is>
      </c>
      <c r="L45" s="5" t="inlineStr">
        <is>
          <t>C</t>
        </is>
      </c>
      <c r="M45" s="5" t="n"/>
    </row>
    <row r="46" ht="49" customHeight="1">
      <c r="A46" s="15" t="inlineStr">
        <is>
          <t>SOURCE-045</t>
        </is>
      </c>
      <c r="B46" s="5" t="inlineStr">
        <is>
          <t>FILM-039</t>
        </is>
      </c>
      <c r="C46" s="5" t="inlineStr">
        <is>
          <t>PAIR-030</t>
        </is>
      </c>
      <c r="D46" s="5" t="inlineStr">
        <is>
          <t>Ghajini (2008 film)</t>
        </is>
      </c>
      <c r="E46" s="5" t="inlineStr">
        <is>
          <t>Wikipedia</t>
        </is>
      </c>
      <c r="F46" s="5" t="n"/>
      <c r="G46" s="5" t="n"/>
      <c r="H46" s="22" t="inlineStr">
        <is>
          <t>https://en.wikipedia.org/wiki/Ghajini_(2008_film)</t>
        </is>
      </c>
      <c r="I46" s="16" t="n">
        <v>46277</v>
      </c>
      <c r="J46" s="5" t="inlineStr">
        <is>
          <t>Credits, remake status, plot and romance, budget and domestic nett (citing Box Office India), records, awards.</t>
        </is>
      </c>
      <c r="K46" s="5" t="inlineStr">
        <is>
          <t>Reference encyclopedia</t>
        </is>
      </c>
      <c r="L46" s="5" t="inlineStr">
        <is>
          <t>C</t>
        </is>
      </c>
      <c r="M46" s="5" t="inlineStr">
        <is>
          <t>Page gives two budgets (₹52 crore infobox; ₹65 crore in text).</t>
        </is>
      </c>
    </row>
    <row r="47" ht="34" customHeight="1">
      <c r="A47" s="15" t="inlineStr">
        <is>
          <t>SOURCE-046</t>
        </is>
      </c>
      <c r="B47" s="5" t="inlineStr">
        <is>
          <t>FILM-040</t>
        </is>
      </c>
      <c r="C47" s="5" t="n"/>
      <c r="D47" s="5" t="inlineStr">
        <is>
          <t>Luck by Chance</t>
        </is>
      </c>
      <c r="E47" s="5" t="inlineStr">
        <is>
          <t>Wikipedia</t>
        </is>
      </c>
      <c r="F47" s="5" t="n"/>
      <c r="G47" s="5" t="n"/>
      <c r="H47" s="22" t="inlineStr">
        <is>
          <t>https://en.wikipedia.org/wiki/Luck_by_Chance</t>
        </is>
      </c>
      <c r="I47" s="16" t="n">
        <v>46277</v>
      </c>
      <c r="J47" s="5" t="inlineStr">
        <is>
          <t>Credits, cameo as himself, budget and estimated box office, reception, awards.</t>
        </is>
      </c>
      <c r="K47" s="5" t="inlineStr">
        <is>
          <t>Reference encyclopedia</t>
        </is>
      </c>
      <c r="L47" s="5" t="inlineStr">
        <is>
          <t>C</t>
        </is>
      </c>
      <c r="M47" s="5" t="n"/>
    </row>
    <row r="48" ht="49" customHeight="1">
      <c r="A48" s="15" t="inlineStr">
        <is>
          <t>SOURCE-047</t>
        </is>
      </c>
      <c r="B48" s="5" t="inlineStr">
        <is>
          <t>FILM-041</t>
        </is>
      </c>
      <c r="C48" s="5" t="inlineStr">
        <is>
          <t>PAIR-031</t>
        </is>
      </c>
      <c r="D48" s="5" t="inlineStr">
        <is>
          <t>3 Idiots</t>
        </is>
      </c>
      <c r="E48" s="5" t="inlineStr">
        <is>
          <t>Wikipedia</t>
        </is>
      </c>
      <c r="F48" s="5" t="n"/>
      <c r="G48" s="5" t="n"/>
      <c r="H48" s="22" t="inlineStr">
        <is>
          <t>https://en.wikipedia.org/wiki/3_Idiots</t>
        </is>
      </c>
      <c r="I48" s="16" t="n">
        <v>46277</v>
      </c>
      <c r="J48" s="5" t="inlineStr">
        <is>
          <t>Credits, source novel, plot and romance, budget and domestic/overseas/worldwide gross, records, awards summary, legacy.</t>
        </is>
      </c>
      <c r="K48" s="5" t="inlineStr">
        <is>
          <t>Reference encyclopedia</t>
        </is>
      </c>
      <c r="L48" s="5" t="inlineStr">
        <is>
          <t>C</t>
        </is>
      </c>
      <c r="M48" s="5" t="n"/>
    </row>
    <row r="49" ht="49" customHeight="1">
      <c r="A49" s="15" t="inlineStr">
        <is>
          <t>SOURCE-048</t>
        </is>
      </c>
      <c r="B49" s="5" t="inlineStr">
        <is>
          <t>FILM-042</t>
        </is>
      </c>
      <c r="C49" s="5" t="inlineStr">
        <is>
          <t>PAIR-032</t>
        </is>
      </c>
      <c r="D49" s="5" t="inlineStr">
        <is>
          <t>Dhobi Ghat (film)</t>
        </is>
      </c>
      <c r="E49" s="5" t="inlineStr">
        <is>
          <t>Wikipedia</t>
        </is>
      </c>
      <c r="F49" s="5" t="n"/>
      <c r="G49" s="5" t="n"/>
      <c r="H49" s="22" t="inlineStr">
        <is>
          <t>https://en.wikipedia.org/wiki/Dhobi_Ghat_(film)</t>
        </is>
      </c>
      <c r="I49" s="16" t="n">
        <v>46277</v>
      </c>
      <c r="J49" s="5" t="inlineStr">
        <is>
          <t>Credits, TIFF premiere and theatrical date, plot, Arun–Shai relationship, budget and box office (citing boxofficeindia.com), reviews.</t>
        </is>
      </c>
      <c r="K49" s="5" t="inlineStr">
        <is>
          <t>Reference encyclopedia</t>
        </is>
      </c>
      <c r="L49" s="5" t="inlineStr">
        <is>
          <t>C</t>
        </is>
      </c>
      <c r="M49" s="5" t="n"/>
    </row>
    <row r="50" ht="49" customHeight="1">
      <c r="A50" s="15" t="inlineStr">
        <is>
          <t>SOURCE-049</t>
        </is>
      </c>
      <c r="B50" s="5" t="inlineStr">
        <is>
          <t>FILM-043</t>
        </is>
      </c>
      <c r="C50" s="5" t="n"/>
      <c r="D50" s="5" t="inlineStr">
        <is>
          <t>Delhi Belly (film)</t>
        </is>
      </c>
      <c r="E50" s="5" t="inlineStr">
        <is>
          <t>Wikipedia</t>
        </is>
      </c>
      <c r="F50" s="5" t="n"/>
      <c r="G50" s="5" t="n"/>
      <c r="H50" s="22" t="inlineStr">
        <is>
          <t>https://en.wikipedia.org/wiki/Delhi_Belly_(film)</t>
        </is>
      </c>
      <c r="I50" s="16" t="n">
        <v>46277</v>
      </c>
      <c r="J50" s="5" t="inlineStr">
        <is>
          <t>Credits, 'Disco Fighter' appearance in the closing-credits song, budget, box office, reception, awards.</t>
        </is>
      </c>
      <c r="K50" s="5" t="inlineStr">
        <is>
          <t>Reference encyclopedia</t>
        </is>
      </c>
      <c r="L50" s="5" t="inlineStr">
        <is>
          <t>C</t>
        </is>
      </c>
      <c r="M50" s="5" t="n"/>
    </row>
    <row r="51" ht="49" customHeight="1">
      <c r="A51" s="15" t="inlineStr">
        <is>
          <t>SOURCE-050</t>
        </is>
      </c>
      <c r="B51" s="5" t="inlineStr">
        <is>
          <t>FILM-044</t>
        </is>
      </c>
      <c r="C51" s="5" t="inlineStr">
        <is>
          <t>PAIR-033</t>
        </is>
      </c>
      <c r="D51" s="5" t="inlineStr">
        <is>
          <t>Talaash: The Answer Lies Within</t>
        </is>
      </c>
      <c r="E51" s="5" t="inlineStr">
        <is>
          <t>Wikipedia</t>
        </is>
      </c>
      <c r="F51" s="5" t="n"/>
      <c r="G51" s="5" t="n"/>
      <c r="H51" s="22" t="inlineStr">
        <is>
          <t>https://en.wikipedia.org/wiki/Talaash:_The_Answer_Lies_Within</t>
        </is>
      </c>
      <c r="I51" s="16" t="n">
        <v>46277</v>
      </c>
      <c r="J51" s="5" t="inlineStr">
        <is>
          <t>Credits, plot, marriage under strain, budget and nett/overseas/worldwide box office (citing Box Office India), reviews, awards.</t>
        </is>
      </c>
      <c r="K51" s="5" t="inlineStr">
        <is>
          <t>Reference encyclopedia</t>
        </is>
      </c>
      <c r="L51" s="5" t="inlineStr">
        <is>
          <t>C</t>
        </is>
      </c>
      <c r="M51" s="5" t="n"/>
    </row>
    <row r="52" ht="49" customHeight="1">
      <c r="A52" s="15" t="inlineStr">
        <is>
          <t>SOURCE-051</t>
        </is>
      </c>
      <c r="B52" s="5" t="inlineStr">
        <is>
          <t>FILM-045</t>
        </is>
      </c>
      <c r="C52" s="5" t="n"/>
      <c r="D52" s="5" t="inlineStr">
        <is>
          <t>Bombay Talkies (film)</t>
        </is>
      </c>
      <c r="E52" s="5" t="inlineStr">
        <is>
          <t>Wikipedia</t>
        </is>
      </c>
      <c r="F52" s="5" t="n"/>
      <c r="G52" s="5" t="n"/>
      <c r="H52" s="22" t="inlineStr">
        <is>
          <t>https://en.wikipedia.org/wiki/Bombay_Talkies_(film)</t>
        </is>
      </c>
      <c r="I52" s="16" t="n">
        <v>46277</v>
      </c>
      <c r="J52" s="5" t="inlineStr">
        <is>
          <t>Anthology credits, appearance as himself in 'Apna Bombay Talkies', budget and estimated box office, Cannes screening.</t>
        </is>
      </c>
      <c r="K52" s="5" t="inlineStr">
        <is>
          <t>Reference encyclopedia</t>
        </is>
      </c>
      <c r="L52" s="5" t="inlineStr">
        <is>
          <t>C</t>
        </is>
      </c>
      <c r="M52" s="5" t="n"/>
    </row>
    <row r="53" ht="49" customHeight="1">
      <c r="A53" s="15" t="inlineStr">
        <is>
          <t>SOURCE-052</t>
        </is>
      </c>
      <c r="B53" s="5" t="inlineStr">
        <is>
          <t>FILM-046</t>
        </is>
      </c>
      <c r="C53" s="5" t="inlineStr">
        <is>
          <t>PAIR-034</t>
        </is>
      </c>
      <c r="D53" s="5" t="inlineStr">
        <is>
          <t>Dhoom 3</t>
        </is>
      </c>
      <c r="E53" s="5" t="inlineStr">
        <is>
          <t>Wikipedia</t>
        </is>
      </c>
      <c r="F53" s="5" t="n"/>
      <c r="G53" s="5" t="n"/>
      <c r="H53" s="22" t="inlineStr">
        <is>
          <t>https://en.wikipedia.org/wiki/Dhoom_3</t>
        </is>
      </c>
      <c r="I53" s="16" t="n">
        <v>46277</v>
      </c>
      <c r="J53" s="5" t="inlineStr">
        <is>
          <t>Credits, twin roles, Samar–Aaliya romance, budget and domestic/overseas/worldwide box office, records, awards.</t>
        </is>
      </c>
      <c r="K53" s="5" t="inlineStr">
        <is>
          <t>Reference encyclopedia</t>
        </is>
      </c>
      <c r="L53" s="5" t="inlineStr">
        <is>
          <t>C</t>
        </is>
      </c>
      <c r="M53" s="5" t="n"/>
    </row>
    <row r="54" ht="49" customHeight="1">
      <c r="A54" s="15" t="inlineStr">
        <is>
          <t>SOURCE-053</t>
        </is>
      </c>
      <c r="B54" s="5" t="inlineStr">
        <is>
          <t>FILM-047</t>
        </is>
      </c>
      <c r="C54" s="5" t="inlineStr">
        <is>
          <t>PAIR-035</t>
        </is>
      </c>
      <c r="D54" s="5" t="inlineStr">
        <is>
          <t>PK (film)</t>
        </is>
      </c>
      <c r="E54" s="5" t="inlineStr">
        <is>
          <t>Wikipedia</t>
        </is>
      </c>
      <c r="F54" s="5" t="n"/>
      <c r="G54" s="5" t="n"/>
      <c r="H54" s="22" t="inlineStr">
        <is>
          <t>https://en.wikipedia.org/wiki/PK_(film)</t>
        </is>
      </c>
      <c r="I54" s="16" t="n">
        <v>46277</v>
      </c>
      <c r="J54" s="5" t="inlineStr">
        <is>
          <t>Credits, plot, PK's unspoken love for Jaggu, budget, domestic nett/gross and distributor share, worldwide gross, controversy, awards.</t>
        </is>
      </c>
      <c r="K54" s="5" t="inlineStr">
        <is>
          <t>Reference encyclopedia</t>
        </is>
      </c>
      <c r="L54" s="5" t="inlineStr">
        <is>
          <t>C</t>
        </is>
      </c>
      <c r="M54" s="5" t="n"/>
    </row>
    <row r="55" ht="34" customHeight="1">
      <c r="A55" s="15" t="inlineStr">
        <is>
          <t>SOURCE-054</t>
        </is>
      </c>
      <c r="B55" s="5" t="inlineStr">
        <is>
          <t>FILM-048</t>
        </is>
      </c>
      <c r="C55" s="5" t="n"/>
      <c r="D55" s="5" t="inlineStr">
        <is>
          <t>Dil Dhadakne Do</t>
        </is>
      </c>
      <c r="E55" s="5" t="inlineStr">
        <is>
          <t>Wikipedia</t>
        </is>
      </c>
      <c r="F55" s="5" t="n"/>
      <c r="G55" s="5" t="n"/>
      <c r="H55" s="22" t="inlineStr">
        <is>
          <t>https://en.wikipedia.org/wiki/Dil_Dhadakne_Do</t>
        </is>
      </c>
      <c r="I55" s="16" t="n">
        <v>46277</v>
      </c>
      <c r="J55" s="5" t="inlineStr">
        <is>
          <t>Credits, voice role as Pluto Mehra, budget and box office, reception.</t>
        </is>
      </c>
      <c r="K55" s="5" t="inlineStr">
        <is>
          <t>Reference encyclopedia</t>
        </is>
      </c>
      <c r="L55" s="5" t="inlineStr">
        <is>
          <t>C</t>
        </is>
      </c>
      <c r="M55" s="5" t="n"/>
    </row>
    <row r="56" ht="64" customHeight="1">
      <c r="A56" s="15" t="inlineStr">
        <is>
          <t>SOURCE-055</t>
        </is>
      </c>
      <c r="B56" s="5" t="inlineStr">
        <is>
          <t>FILM-049</t>
        </is>
      </c>
      <c r="C56" s="5" t="n"/>
      <c r="D56" s="5" t="inlineStr">
        <is>
          <t>Dangal (2016 film)</t>
        </is>
      </c>
      <c r="E56" s="5" t="inlineStr">
        <is>
          <t>Wikipedia</t>
        </is>
      </c>
      <c r="F56" s="5" t="n"/>
      <c r="G56" s="5" t="n"/>
      <c r="H56" s="22" t="inlineStr">
        <is>
          <t>https://en.wikipedia.org/wiki/Dangal_(2016_film)</t>
        </is>
      </c>
      <c r="I56" s="16" t="n">
        <v>46277</v>
      </c>
      <c r="J56" s="5" t="inlineStr">
        <is>
          <t>Credits, true-story source, role, minimal marriage subplot, budget, domestic/overseas/China grosses and competing worldwide totals, reception debate, awards table.</t>
        </is>
      </c>
      <c r="K56" s="5" t="inlineStr">
        <is>
          <t>Reference encyclopedia</t>
        </is>
      </c>
      <c r="L56" s="5" t="inlineStr">
        <is>
          <t>C</t>
        </is>
      </c>
      <c r="M56" s="5" t="n"/>
    </row>
    <row r="57" ht="49" customHeight="1">
      <c r="A57" s="15" t="inlineStr">
        <is>
          <t>SOURCE-056</t>
        </is>
      </c>
      <c r="B57" s="5" t="inlineStr">
        <is>
          <t>FILM-050</t>
        </is>
      </c>
      <c r="C57" s="5" t="n"/>
      <c r="D57" s="5" t="inlineStr">
        <is>
          <t>Secret Superstar</t>
        </is>
      </c>
      <c r="E57" s="5" t="inlineStr">
        <is>
          <t>Wikipedia</t>
        </is>
      </c>
      <c r="F57" s="5" t="n"/>
      <c r="G57" s="5" t="n"/>
      <c r="H57" s="22" t="inlineStr">
        <is>
          <t>https://en.wikipedia.org/wiki/Secret_Superstar</t>
        </is>
      </c>
      <c r="I57" s="16" t="n">
        <v>46277</v>
      </c>
      <c r="J57" s="5" t="inlineStr">
        <is>
          <t>Credits, supporting role of Shakti Kumar, budget, domestic nett/gross, China and worldwide grosses, reception, awards table.</t>
        </is>
      </c>
      <c r="K57" s="5" t="inlineStr">
        <is>
          <t>Reference encyclopedia</t>
        </is>
      </c>
      <c r="L57" s="5" t="inlineStr">
        <is>
          <t>C</t>
        </is>
      </c>
      <c r="M57" s="5" t="n"/>
    </row>
    <row r="58" ht="49" customHeight="1">
      <c r="A58" s="15" t="inlineStr">
        <is>
          <t>SOURCE-057</t>
        </is>
      </c>
      <c r="B58" s="5" t="inlineStr">
        <is>
          <t>FILM-051</t>
        </is>
      </c>
      <c r="C58" s="5" t="n"/>
      <c r="D58" s="5" t="inlineStr">
        <is>
          <t>Thugs of Hindostan</t>
        </is>
      </c>
      <c r="E58" s="5" t="inlineStr">
        <is>
          <t>Wikipedia</t>
        </is>
      </c>
      <c r="F58" s="5" t="n"/>
      <c r="G58" s="5" t="n"/>
      <c r="H58" s="22" t="inlineStr">
        <is>
          <t>https://en.wikipedia.org/wiki/Thugs_of_Hindostan</t>
        </is>
      </c>
      <c r="I58" s="16" t="n">
        <v>46277</v>
      </c>
      <c r="J58" s="5" t="inlineStr">
        <is>
          <t>Credits, role of Firangi Mallah, competing budgets, India nett/gross, overseas and worldwide grosses, reception.</t>
        </is>
      </c>
      <c r="K58" s="5" t="inlineStr">
        <is>
          <t>Reference encyclopedia</t>
        </is>
      </c>
      <c r="L58" s="5" t="inlineStr">
        <is>
          <t>C</t>
        </is>
      </c>
      <c r="M58" s="5" t="n"/>
    </row>
    <row r="59" ht="34" customHeight="1">
      <c r="A59" s="15" t="inlineStr">
        <is>
          <t>SOURCE-058</t>
        </is>
      </c>
      <c r="B59" s="5" t="inlineStr">
        <is>
          <t>FILM-052</t>
        </is>
      </c>
      <c r="C59" s="5" t="n"/>
      <c r="D59" s="5" t="inlineStr">
        <is>
          <t>Koi Jaane Na</t>
        </is>
      </c>
      <c r="E59" s="5" t="inlineStr">
        <is>
          <t>Wikipedia</t>
        </is>
      </c>
      <c r="F59" s="5" t="n"/>
      <c r="G59" s="5" t="n"/>
      <c r="H59" s="22" t="inlineStr">
        <is>
          <t>https://en.wikipedia.org/wiki/Koi_Jaane_Na</t>
        </is>
      </c>
      <c r="I59" s="16" t="n">
        <v>46277</v>
      </c>
      <c r="J59" s="5" t="inlineStr">
        <is>
          <t>Credits and special appearance in the song 'Har Funn Maula'.</t>
        </is>
      </c>
      <c r="K59" s="5" t="inlineStr">
        <is>
          <t>Reference encyclopedia</t>
        </is>
      </c>
      <c r="L59" s="5" t="inlineStr">
        <is>
          <t>C</t>
        </is>
      </c>
      <c r="M59" s="5" t="n"/>
    </row>
    <row r="60" ht="64" customHeight="1">
      <c r="A60" s="15" t="inlineStr">
        <is>
          <t>SOURCE-059</t>
        </is>
      </c>
      <c r="B60" s="5" t="inlineStr">
        <is>
          <t>FILM-053</t>
        </is>
      </c>
      <c r="C60" s="5" t="inlineStr">
        <is>
          <t>PAIR-036</t>
        </is>
      </c>
      <c r="D60" s="5" t="inlineStr">
        <is>
          <t>Laal Singh Chaddha</t>
        </is>
      </c>
      <c r="E60" s="5" t="inlineStr">
        <is>
          <t>Wikipedia</t>
        </is>
      </c>
      <c r="F60" s="5" t="n"/>
      <c r="G60" s="5" t="n"/>
      <c r="H60" s="22" t="inlineStr">
        <is>
          <t>https://en.wikipedia.org/wiki/Laal_Singh_Chaddha</t>
        </is>
      </c>
      <c r="I60" s="16" t="n">
        <v>46277</v>
      </c>
      <c r="J60" s="5" t="inlineStr">
        <is>
          <t>Credits, Forrest Gump source, plot and romance, budget, domestic/overseas/worldwide box office (citing Box Office India), boycott campaign, reception, nominations.</t>
        </is>
      </c>
      <c r="K60" s="5" t="inlineStr">
        <is>
          <t>Reference encyclopedia</t>
        </is>
      </c>
      <c r="L60" s="5" t="inlineStr">
        <is>
          <t>C</t>
        </is>
      </c>
      <c r="M60" s="5" t="n"/>
    </row>
    <row r="61" ht="49" customHeight="1">
      <c r="A61" s="15" t="inlineStr">
        <is>
          <t>SOURCE-060</t>
        </is>
      </c>
      <c r="B61" s="5" t="inlineStr">
        <is>
          <t>FILM-054</t>
        </is>
      </c>
      <c r="C61" s="5" t="n"/>
      <c r="D61" s="5" t="inlineStr">
        <is>
          <t>Salaam Venky</t>
        </is>
      </c>
      <c r="E61" s="5" t="inlineStr">
        <is>
          <t>Wikipedia</t>
        </is>
      </c>
      <c r="F61" s="5" t="n"/>
      <c r="G61" s="5" t="n"/>
      <c r="H61" s="22" t="inlineStr">
        <is>
          <t>https://en.wikipedia.org/wiki/Salaam_Venky</t>
        </is>
      </c>
      <c r="I61" s="16" t="n">
        <v>46277</v>
      </c>
      <c r="J61" s="5" t="inlineStr">
        <is>
          <t>Credits, true-story source, cameo as an illusion of Sujata, box office (citing Bollywood Hungama), reception.</t>
        </is>
      </c>
      <c r="K61" s="5" t="inlineStr">
        <is>
          <t>Reference encyclopedia</t>
        </is>
      </c>
      <c r="L61" s="5" t="inlineStr">
        <is>
          <t>C</t>
        </is>
      </c>
      <c r="M61" s="5" t="n"/>
    </row>
    <row r="62" ht="49" customHeight="1">
      <c r="A62" s="15" t="inlineStr">
        <is>
          <t>SOURCE-061</t>
        </is>
      </c>
      <c r="B62" s="5" t="inlineStr">
        <is>
          <t>FILM-055</t>
        </is>
      </c>
      <c r="C62" s="5" t="inlineStr">
        <is>
          <t>PAIR-037</t>
        </is>
      </c>
      <c r="D62" s="5" t="inlineStr">
        <is>
          <t>Sitaare Zameen Par</t>
        </is>
      </c>
      <c r="E62" s="5" t="inlineStr">
        <is>
          <t>Wikipedia</t>
        </is>
      </c>
      <c r="F62" s="5" t="n"/>
      <c r="G62" s="5" t="n"/>
      <c r="H62" s="22" t="inlineStr">
        <is>
          <t>https://en.wikipedia.org/wiki/Sitaare_Zameen_Par</t>
        </is>
      </c>
      <c r="I62" s="16" t="n">
        <v>46277</v>
      </c>
      <c r="J62" s="5" t="inlineStr">
        <is>
          <t>Credits, Campeones remake status, plot and marriage subplot, budget, estimated box office, release strategy, reception.</t>
        </is>
      </c>
      <c r="K62" s="5" t="inlineStr">
        <is>
          <t>Reference encyclopedia</t>
        </is>
      </c>
      <c r="L62" s="5" t="inlineStr">
        <is>
          <t>C</t>
        </is>
      </c>
      <c r="M62" s="5" t="n"/>
    </row>
    <row r="63" ht="34" customHeight="1">
      <c r="A63" s="15" t="inlineStr">
        <is>
          <t>SOURCE-062</t>
        </is>
      </c>
      <c r="B63" s="5" t="inlineStr">
        <is>
          <t>FILM-056</t>
        </is>
      </c>
      <c r="C63" s="5" t="n"/>
      <c r="D63" s="5" t="inlineStr">
        <is>
          <t>Coolie (2025 film)</t>
        </is>
      </c>
      <c r="E63" s="5" t="inlineStr">
        <is>
          <t>Wikipedia</t>
        </is>
      </c>
      <c r="F63" s="5" t="n"/>
      <c r="G63" s="5" t="n"/>
      <c r="H63" s="22" t="inlineStr">
        <is>
          <t>https://en.wikipedia.org/wiki/Coolie_(2025_film)</t>
        </is>
      </c>
      <c r="I63" s="16" t="n">
        <v>46277</v>
      </c>
      <c r="J63" s="5" t="inlineStr">
        <is>
          <t>Credits, cameo as Dahaa, budget and competing worldwide-gross estimates, reception.</t>
        </is>
      </c>
      <c r="K63" s="5" t="inlineStr">
        <is>
          <t>Reference encyclopedia</t>
        </is>
      </c>
      <c r="L63" s="5" t="inlineStr">
        <is>
          <t>C</t>
        </is>
      </c>
      <c r="M63" s="5" t="n"/>
    </row>
    <row r="64" ht="34" customHeight="1">
      <c r="A64" s="15" t="inlineStr">
        <is>
          <t>SOURCE-063</t>
        </is>
      </c>
      <c r="B64" s="5" t="inlineStr">
        <is>
          <t>FILM-057</t>
        </is>
      </c>
      <c r="C64" s="5" t="n"/>
      <c r="D64" s="5" t="inlineStr">
        <is>
          <t>Happy Patel: Khatarnak Jasoos</t>
        </is>
      </c>
      <c r="E64" s="5" t="inlineStr">
        <is>
          <t>Wikipedia</t>
        </is>
      </c>
      <c r="F64" s="5" t="n"/>
      <c r="G64" s="5" t="n"/>
      <c r="H64" s="22" t="inlineStr">
        <is>
          <t>https://en.wikipedia.org/wiki/Happy_Patel:_Khatarnak_Jasoos</t>
        </is>
      </c>
      <c r="I64" s="16" t="n">
        <v>46277</v>
      </c>
      <c r="J64" s="5" t="inlineStr">
        <is>
          <t>Credits, cameo as Jimmy Mario, box office, reception.</t>
        </is>
      </c>
      <c r="K64" s="5" t="inlineStr">
        <is>
          <t>Reference encyclopedia</t>
        </is>
      </c>
      <c r="L64" s="5" t="inlineStr">
        <is>
          <t>C</t>
        </is>
      </c>
      <c r="M64" s="5" t="n"/>
    </row>
    <row r="65" ht="49" customHeight="1">
      <c r="A65" s="15" t="inlineStr">
        <is>
          <t>SOURCE-064</t>
        </is>
      </c>
      <c r="B65" s="5" t="n"/>
      <c r="C65" s="5" t="n"/>
      <c r="D65" s="5" t="inlineStr">
        <is>
          <t>Lahore 1947 (page titled Batwara 1947)</t>
        </is>
      </c>
      <c r="E65" s="5" t="inlineStr">
        <is>
          <t>Wikipedia</t>
        </is>
      </c>
      <c r="F65" s="5" t="n"/>
      <c r="G65" s="5" t="n"/>
      <c r="H65" s="22" t="inlineStr">
        <is>
          <t>https://en.wikipedia.org/wiki/Lahore_1947</t>
        </is>
      </c>
      <c r="I65" s="16" t="n">
        <v>46277</v>
      </c>
      <c r="J65" s="5" t="inlineStr">
        <is>
          <t>Released 14 August 2026 with Aamir Khan credited as producer only; no on-screen role listed. Basis for excluding the film.</t>
        </is>
      </c>
      <c r="K65" s="5" t="inlineStr">
        <is>
          <t>Reference encyclopedia</t>
        </is>
      </c>
      <c r="L65" s="5" t="inlineStr">
        <is>
          <t>C</t>
        </is>
      </c>
      <c r="M65" s="5" t="inlineStr">
        <is>
          <t>A pre-release report of an extended cameo (The Statesman, via web search) is not confirmed by the released cast list.</t>
        </is>
      </c>
    </row>
    <row r="66" ht="124" customHeight="1">
      <c r="A66" s="15" t="inlineStr">
        <is>
          <t>SOURCE-065</t>
        </is>
      </c>
      <c r="B66" s="5" t="inlineStr">
        <is>
          <t>FILM-007; FILM-012; FILM-016; FILM-018; FILM-021; FILM-028</t>
        </is>
      </c>
      <c r="C66" s="5" t="inlineStr">
        <is>
          <t>PAIR-008; PAIR-014; PAIR-020</t>
        </is>
      </c>
      <c r="D66" s="5" t="inlineStr">
        <is>
          <t>Web search result summaries (multiple pages)</t>
        </is>
      </c>
      <c r="E66" s="5" t="inlineStr">
        <is>
          <t>Various</t>
        </is>
      </c>
      <c r="F66" s="5" t="n"/>
      <c r="G66" s="5" t="n"/>
      <c r="H66" s="5" t="n"/>
      <c r="I66" s="16" t="n">
        <v>46277</v>
      </c>
      <c r="J66" s="5" t="inlineStr">
        <is>
          <t>Supplementary plot details: Raakh release and plot; Afsana Pyar Ka elopement; Parampara pairings and reviews; Isi Ka Naam Zindagi role described as inconsequential; Ghulam motorcycle-gang meeting and train dare; Andaz Apna Apna final pairings.</t>
        </is>
      </c>
      <c r="K66" s="5" t="inlineStr">
        <is>
          <t>Search-engine summaries</t>
        </is>
      </c>
      <c r="L66" s="5" t="inlineStr">
        <is>
          <t>D</t>
        </is>
      </c>
      <c r="M66" s="5" t="inlineStr">
        <is>
          <t>Summaries returned by a search tool, not individually fetched pages. Result pages included IMDb plot summaries, Letterboxd, scroll.in (Raakh), The A.V. Club (Parampara), browngirlmagazine.com (Ghulam) and plotexplained.com (Andaz Apna Apna). Used only where a fetched source was silent, and always with Low confidence.</t>
        </is>
      </c>
    </row>
    <row r="67" ht="94" customHeight="1">
      <c r="A67" s="15" t="inlineStr">
        <is>
          <t>SOURCE-066</t>
        </is>
      </c>
      <c r="B67" s="5" t="inlineStr">
        <is>
          <t>FILM-004; FILM-005; FILM-009; FILM-013; FILM-015; FILM-019; FILM-021; FILM-024; FILM-026; FILM-033; FILM-034; FILM-035; FILM-036; FILM-041; FILM-047</t>
        </is>
      </c>
      <c r="C67" s="5" t="n"/>
      <c r="D67" s="5" t="inlineStr">
        <is>
          <t>Filmfare Award for Best Actor</t>
        </is>
      </c>
      <c r="E67" s="5" t="inlineStr">
        <is>
          <t>Wikipedia</t>
        </is>
      </c>
      <c r="F67" s="5" t="n"/>
      <c r="G67" s="5" t="n"/>
      <c r="H67" s="22" t="inlineStr">
        <is>
          <t>https://en.wikipedia.org/wiki/Filmfare_Award_for_Best_Actor</t>
        </is>
      </c>
      <c r="I67" s="16" t="n">
        <v>46278</v>
      </c>
      <c r="J67" s="5" t="inlineStr">
        <is>
          <t>Aamir Khan's Best Actor wins and nominations by ceremony.</t>
        </is>
      </c>
      <c r="K67" s="5" t="inlineStr">
        <is>
          <t>Reference encyclopedia</t>
        </is>
      </c>
      <c r="L67" s="5" t="inlineStr">
        <is>
          <t>C</t>
        </is>
      </c>
      <c r="M67" s="5" t="inlineStr">
        <is>
          <t>The extracted list omitted some nominations recorded on individual film pages (Ghulam, Sarfarosh, Ghajini) and the Dangal win; those rows cite the film pages.</t>
        </is>
      </c>
    </row>
    <row r="68" ht="49" customHeight="1">
      <c r="A68" s="15" t="inlineStr">
        <is>
          <t>SOURCE-067</t>
        </is>
      </c>
      <c r="B68" s="5" t="inlineStr">
        <is>
          <t>FILM-004; FILM-005</t>
        </is>
      </c>
      <c r="C68" s="5" t="n"/>
      <c r="D68" s="5" t="inlineStr">
        <is>
          <t>36th National Film Awards</t>
        </is>
      </c>
      <c r="E68" s="5" t="inlineStr">
        <is>
          <t>Wikipedia</t>
        </is>
      </c>
      <c r="F68" s="5" t="n"/>
      <c r="G68" s="5" t="n"/>
      <c r="H68" s="22" t="inlineStr">
        <is>
          <t>https://en.wikipedia.org/wiki/36th_National_Film_Awards</t>
        </is>
      </c>
      <c r="I68" s="16" t="n">
        <v>46278</v>
      </c>
      <c r="J68" s="5" t="inlineStr">
        <is>
          <t>Awards and citations for Qayamat Se Qayamat Tak and Raakh, including the Special Mention to Aamir Khan; ceremony held in 1989.</t>
        </is>
      </c>
      <c r="K68" s="5" t="inlineStr">
        <is>
          <t>Reference encyclopedia</t>
        </is>
      </c>
      <c r="L68" s="5" t="inlineStr">
        <is>
          <t>C</t>
        </is>
      </c>
      <c r="M68" s="5" t="n"/>
    </row>
    <row r="69" ht="34" customHeight="1">
      <c r="A69" s="15" t="inlineStr">
        <is>
          <t>SOURCE-068</t>
        </is>
      </c>
      <c r="B69" s="5" t="inlineStr">
        <is>
          <t>FILM-019</t>
        </is>
      </c>
      <c r="C69" s="5" t="n"/>
      <c r="D69" s="5" t="inlineStr">
        <is>
          <t>41st National Film Awards</t>
        </is>
      </c>
      <c r="E69" s="5" t="inlineStr">
        <is>
          <t>Wikipedia</t>
        </is>
      </c>
      <c r="F69" s="5" t="n"/>
      <c r="G69" s="5" t="n"/>
      <c r="H69" s="22" t="inlineStr">
        <is>
          <t>https://en.wikipedia.org/wiki/41st_National_Film_Awards</t>
        </is>
      </c>
      <c r="I69" s="16" t="n">
        <v>46278</v>
      </c>
      <c r="J69" s="5" t="inlineStr">
        <is>
          <t>Ceremony date 30 September 1994; awards for Hum Hain Rahi Pyar Ke.</t>
        </is>
      </c>
      <c r="K69" s="5" t="inlineStr">
        <is>
          <t>Reference encyclopedia</t>
        </is>
      </c>
      <c r="L69" s="5" t="inlineStr">
        <is>
          <t>C</t>
        </is>
      </c>
      <c r="M69" s="5" t="n"/>
    </row>
    <row r="70" ht="49" customHeight="1">
      <c r="A70" s="15" t="inlineStr">
        <is>
          <t>SOURCE-069</t>
        </is>
      </c>
      <c r="B70" s="5" t="inlineStr">
        <is>
          <t>FILM-029; FILM-031</t>
        </is>
      </c>
      <c r="C70" s="5" t="n"/>
      <c r="D70" s="5" t="inlineStr">
        <is>
          <t>45th Filmfare Awards</t>
        </is>
      </c>
      <c r="E70" s="5" t="inlineStr">
        <is>
          <t>Wikipedia</t>
        </is>
      </c>
      <c r="F70" s="5" t="n"/>
      <c r="G70" s="5" t="n"/>
      <c r="H70" s="22" t="inlineStr">
        <is>
          <t>https://en.wikipedia.org/wiki/45th_Filmfare_Awards</t>
        </is>
      </c>
      <c r="I70" s="16" t="n">
        <v>46278</v>
      </c>
      <c r="J70" s="5" t="inlineStr">
        <is>
          <t>Ceremony 13 February 2000; Sarfarosh wins; Rahul Khanna's Best Male Debut for Earth; Aamir Khan's Best Actor nomination.</t>
        </is>
      </c>
      <c r="K70" s="5" t="inlineStr">
        <is>
          <t>Reference encyclopedia</t>
        </is>
      </c>
      <c r="L70" s="5" t="inlineStr">
        <is>
          <t>C</t>
        </is>
      </c>
      <c r="M70" s="5" t="n"/>
    </row>
    <row r="71" ht="49" customHeight="1">
      <c r="A71" s="15" t="inlineStr">
        <is>
          <t>SOURCE-070</t>
        </is>
      </c>
      <c r="B71" s="5" t="inlineStr">
        <is>
          <t>FILM-033; FILM-034</t>
        </is>
      </c>
      <c r="C71" s="5" t="n"/>
      <c r="D71" s="5" t="inlineStr">
        <is>
          <t>47th Filmfare Awards</t>
        </is>
      </c>
      <c r="E71" s="5" t="inlineStr">
        <is>
          <t>Wikipedia</t>
        </is>
      </c>
      <c r="F71" s="5" t="n"/>
      <c r="G71" s="5" t="n"/>
      <c r="H71" s="22" t="inlineStr">
        <is>
          <t>https://en.wikipedia.org/wiki/47th_Filmfare_Awards</t>
        </is>
      </c>
      <c r="I71" s="16" t="n">
        <v>46278</v>
      </c>
      <c r="J71" s="5" t="inlineStr">
        <is>
          <t>Ceremony 16 February 2002; all wins for Lagaan and Dil Chahta Hai; Aamir Khan's two Best Actor nominations.</t>
        </is>
      </c>
      <c r="K71" s="5" t="inlineStr">
        <is>
          <t>Reference encyclopedia</t>
        </is>
      </c>
      <c r="L71" s="5" t="inlineStr">
        <is>
          <t>C</t>
        </is>
      </c>
      <c r="M71" s="5" t="n"/>
    </row>
    <row r="72" ht="34" customHeight="1">
      <c r="A72" s="15" t="inlineStr">
        <is>
          <t>SOURCE-071</t>
        </is>
      </c>
      <c r="B72" s="5" t="inlineStr">
        <is>
          <t>FILM-033; FILM-034</t>
        </is>
      </c>
      <c r="C72" s="5" t="n"/>
      <c r="D72" s="5" t="inlineStr">
        <is>
          <t>49th National Film Awards</t>
        </is>
      </c>
      <c r="E72" s="5" t="inlineStr">
        <is>
          <t>Wikipedia</t>
        </is>
      </c>
      <c r="F72" s="5" t="n"/>
      <c r="G72" s="5" t="n"/>
      <c r="H72" s="22" t="inlineStr">
        <is>
          <t>https://en.wikipedia.org/wiki/49th_National_Film_Awards</t>
        </is>
      </c>
      <c r="I72" s="16" t="n">
        <v>46278</v>
      </c>
      <c r="J72" s="5" t="inlineStr">
        <is>
          <t>Ceremony 13 February 2003; eight awards for Lagaan and two for Dil Chahta Hai.</t>
        </is>
      </c>
      <c r="K72" s="5" t="inlineStr">
        <is>
          <t>Reference encyclopedia</t>
        </is>
      </c>
      <c r="L72" s="5" t="inlineStr">
        <is>
          <t>C</t>
        </is>
      </c>
      <c r="M72" s="5" t="n"/>
    </row>
    <row r="73" ht="34" customHeight="1">
      <c r="A73" s="15" t="inlineStr">
        <is>
          <t>SOURCE-072</t>
        </is>
      </c>
      <c r="B73" s="5" t="inlineStr">
        <is>
          <t>FILM-038</t>
        </is>
      </c>
      <c r="C73" s="5" t="n"/>
      <c r="D73" s="5" t="inlineStr">
        <is>
          <t>55th National Film Awards</t>
        </is>
      </c>
      <c r="E73" s="5" t="inlineStr">
        <is>
          <t>Wikipedia</t>
        </is>
      </c>
      <c r="F73" s="5" t="n"/>
      <c r="G73" s="5" t="n"/>
      <c r="H73" s="22" t="inlineStr">
        <is>
          <t>https://en.wikipedia.org/wiki/55th_National_Film_Awards</t>
        </is>
      </c>
      <c r="I73" s="16" t="n">
        <v>46278</v>
      </c>
      <c r="J73" s="5" t="inlineStr">
        <is>
          <t>Ceremony 21 October 2009; three awards and citations for Taare Zameen Par.</t>
        </is>
      </c>
      <c r="K73" s="5" t="inlineStr">
        <is>
          <t>Reference encyclopedia</t>
        </is>
      </c>
      <c r="L73" s="5" t="inlineStr">
        <is>
          <t>C</t>
        </is>
      </c>
      <c r="M73" s="5" t="n"/>
    </row>
    <row r="74" ht="34" customHeight="1">
      <c r="A74" s="15" t="inlineStr">
        <is>
          <t>SOURCE-073</t>
        </is>
      </c>
      <c r="B74" s="5" t="inlineStr">
        <is>
          <t>FILM-041</t>
        </is>
      </c>
      <c r="C74" s="5" t="n"/>
      <c r="D74" s="5" t="inlineStr">
        <is>
          <t>55th Filmfare Awards</t>
        </is>
      </c>
      <c r="E74" s="5" t="inlineStr">
        <is>
          <t>Wikipedia</t>
        </is>
      </c>
      <c r="F74" s="5" t="n"/>
      <c r="G74" s="5" t="n"/>
      <c r="H74" s="22" t="inlineStr">
        <is>
          <t>https://en.wikipedia.org/wiki/55th_Filmfare_Awards</t>
        </is>
      </c>
      <c r="I74" s="16" t="n">
        <v>46278</v>
      </c>
      <c r="J74" s="5" t="inlineStr">
        <is>
          <t>Ceremony 27 February 2010; six wins for 3 Idiots; Aamir Khan's Best Actor nomination.</t>
        </is>
      </c>
      <c r="K74" s="5" t="inlineStr">
        <is>
          <t>Reference encyclopedia</t>
        </is>
      </c>
      <c r="L74" s="5" t="inlineStr">
        <is>
          <t>C</t>
        </is>
      </c>
      <c r="M74" s="5" t="n"/>
    </row>
    <row r="75" ht="49" customHeight="1">
      <c r="A75" s="15" t="inlineStr">
        <is>
          <t>SOURCE-074</t>
        </is>
      </c>
      <c r="B75" s="5" t="inlineStr">
        <is>
          <t>FILM-041</t>
        </is>
      </c>
      <c r="C75" s="5" t="n"/>
      <c r="D75" s="5" t="inlineStr">
        <is>
          <t>57th National Film Awards</t>
        </is>
      </c>
      <c r="E75" s="5" t="inlineStr">
        <is>
          <t>Wikipedia</t>
        </is>
      </c>
      <c r="F75" s="5" t="n"/>
      <c r="G75" s="5" t="n"/>
      <c r="H75" s="22" t="inlineStr">
        <is>
          <t>https://en.wikipedia.org/wiki/57th_National_Film_Awards</t>
        </is>
      </c>
      <c r="I75" s="16" t="n">
        <v>46278</v>
      </c>
      <c r="J75" s="5" t="inlineStr">
        <is>
          <t>Two awards for 3 Idiots; ceremony held in 2010.</t>
        </is>
      </c>
      <c r="K75" s="5" t="inlineStr">
        <is>
          <t>Reference encyclopedia</t>
        </is>
      </c>
      <c r="L75" s="5" t="inlineStr">
        <is>
          <t>C</t>
        </is>
      </c>
      <c r="M75" s="5" t="inlineStr">
        <is>
          <t>The 3 Idiots article states three National Film Awards; only two are listed on the ceremony page.</t>
        </is>
      </c>
    </row>
    <row r="76" ht="34" customHeight="1">
      <c r="A76" s="15" t="inlineStr">
        <is>
          <t>SOURCE-075</t>
        </is>
      </c>
      <c r="B76" s="5" t="inlineStr">
        <is>
          <t>FILM-004; FILM-015</t>
        </is>
      </c>
      <c r="C76" s="5" t="n"/>
      <c r="D76" s="5" t="inlineStr">
        <is>
          <t>Nasir Hussain</t>
        </is>
      </c>
      <c r="E76" s="5" t="inlineStr">
        <is>
          <t>Wikipedia</t>
        </is>
      </c>
      <c r="F76" s="5" t="n"/>
      <c r="G76" s="5" t="n"/>
      <c r="H76" s="22" t="inlineStr">
        <is>
          <t>https://en.wikipedia.org/wiki/Nasir_Hussain</t>
        </is>
      </c>
      <c r="I76" s="16" t="n">
        <v>46278</v>
      </c>
      <c r="J76" s="5" t="inlineStr">
        <is>
          <t>Biography, filmography, awards and family relationship to Aamir Khan.</t>
        </is>
      </c>
      <c r="K76" s="5" t="inlineStr">
        <is>
          <t>Reference encyclopedia</t>
        </is>
      </c>
      <c r="L76" s="5" t="inlineStr">
        <is>
          <t>C</t>
        </is>
      </c>
      <c r="M76" s="5" t="n"/>
    </row>
    <row r="77" ht="34" customHeight="1">
      <c r="A77" s="15" t="inlineStr">
        <is>
          <t>SOURCE-076</t>
        </is>
      </c>
      <c r="B77" s="5" t="n"/>
      <c r="C77" s="5" t="n"/>
      <c r="D77" s="5" t="inlineStr">
        <is>
          <t>R. D. Burman</t>
        </is>
      </c>
      <c r="E77" s="5" t="inlineStr">
        <is>
          <t>Wikipedia</t>
        </is>
      </c>
      <c r="F77" s="5" t="n"/>
      <c r="G77" s="5" t="n"/>
      <c r="H77" s="22" t="inlineStr">
        <is>
          <t>https://en.wikipedia.org/wiki/R._D._Burman</t>
        </is>
      </c>
      <c r="I77" s="16" t="n">
        <v>46278</v>
      </c>
      <c r="J77" s="5" t="inlineStr">
        <is>
          <t>Biography, major works, style and awards.</t>
        </is>
      </c>
      <c r="K77" s="5" t="inlineStr">
        <is>
          <t>Reference encyclopedia</t>
        </is>
      </c>
      <c r="L77" s="5" t="inlineStr">
        <is>
          <t>C</t>
        </is>
      </c>
      <c r="M77" s="5" t="n"/>
    </row>
    <row r="78" ht="49" customHeight="1">
      <c r="A78" s="15" t="inlineStr">
        <is>
          <t>SOURCE-077</t>
        </is>
      </c>
      <c r="B78" s="5" t="n"/>
      <c r="C78" s="5" t="n"/>
      <c r="D78" s="5" t="inlineStr">
        <is>
          <t>Tahir Hussain</t>
        </is>
      </c>
      <c r="E78" s="5" t="inlineStr">
        <is>
          <t>Wikipedia (via web search summary)</t>
        </is>
      </c>
      <c r="F78" s="5" t="n"/>
      <c r="G78" s="5" t="n"/>
      <c r="H78" s="22" t="inlineStr">
        <is>
          <t>https://en.wikipedia.org/wiki/Tahir_Hussain</t>
        </is>
      </c>
      <c r="I78" s="16" t="n">
        <v>46278</v>
      </c>
      <c r="J78" s="5" t="inlineStr">
        <is>
          <t>Birth and death dates, family, producing and directing credits.</t>
        </is>
      </c>
      <c r="K78" s="5" t="inlineStr">
        <is>
          <t>Search-engine summary of an encyclopedia entry</t>
        </is>
      </c>
      <c r="L78" s="5" t="inlineStr">
        <is>
          <t>D</t>
        </is>
      </c>
      <c r="M78" s="5" t="inlineStr">
        <is>
          <t>Content came from a web search result summary that listed this page; the page itself was not fetched.</t>
        </is>
      </c>
    </row>
    <row r="79" ht="34" customHeight="1">
      <c r="A79" s="15" t="inlineStr">
        <is>
          <t>SOURCE-078</t>
        </is>
      </c>
      <c r="B79" s="5" t="n"/>
      <c r="C79" s="5" t="n"/>
      <c r="D79" s="5" t="inlineStr">
        <is>
          <t>Ketan Mehta</t>
        </is>
      </c>
      <c r="E79" s="5" t="inlineStr">
        <is>
          <t>Wikipedia</t>
        </is>
      </c>
      <c r="F79" s="5" t="n"/>
      <c r="G79" s="5" t="n"/>
      <c r="H79" s="22" t="inlineStr">
        <is>
          <t>https://en.wikipedia.org/wiki/Ketan_Mehta</t>
        </is>
      </c>
      <c r="I79" s="16" t="n">
        <v>46278</v>
      </c>
      <c r="J79" s="5" t="inlineStr">
        <is>
          <t>Biography, filmography and awards.</t>
        </is>
      </c>
      <c r="K79" s="5" t="inlineStr">
        <is>
          <t>Reference encyclopedia</t>
        </is>
      </c>
      <c r="L79" s="5" t="inlineStr">
        <is>
          <t>C</t>
        </is>
      </c>
      <c r="M79" s="5" t="n"/>
    </row>
    <row r="80" ht="34" customHeight="1">
      <c r="A80" s="15" t="inlineStr">
        <is>
          <t>SOURCE-079</t>
        </is>
      </c>
      <c r="B80" s="5" t="inlineStr">
        <is>
          <t>FILM-004</t>
        </is>
      </c>
      <c r="C80" s="5" t="n"/>
      <c r="D80" s="5" t="inlineStr">
        <is>
          <t>Mansoor Khan</t>
        </is>
      </c>
      <c r="E80" s="5" t="inlineStr">
        <is>
          <t>Wikipedia</t>
        </is>
      </c>
      <c r="F80" s="5" t="n"/>
      <c r="G80" s="5" t="n"/>
      <c r="H80" s="22" t="inlineStr">
        <is>
          <t>https://en.wikipedia.org/wiki/Mansoor_Khan</t>
        </is>
      </c>
      <c r="I80" s="16" t="n">
        <v>46278</v>
      </c>
      <c r="J80" s="5" t="inlineStr">
        <is>
          <t>Biography, education, filmography, later life and books.</t>
        </is>
      </c>
      <c r="K80" s="5" t="inlineStr">
        <is>
          <t>Reference encyclopedia</t>
        </is>
      </c>
      <c r="L80" s="5" t="inlineStr">
        <is>
          <t>C</t>
        </is>
      </c>
      <c r="M80" s="5" t="n"/>
    </row>
    <row r="81" ht="34" customHeight="1">
      <c r="A81" s="15" t="inlineStr">
        <is>
          <t>SOURCE-080</t>
        </is>
      </c>
      <c r="B81" s="5" t="inlineStr">
        <is>
          <t>FILM-004</t>
        </is>
      </c>
      <c r="C81" s="5" t="n"/>
      <c r="D81" s="5" t="inlineStr">
        <is>
          <t>Anand–Milind</t>
        </is>
      </c>
      <c r="E81" s="5" t="inlineStr">
        <is>
          <t>Wikipedia</t>
        </is>
      </c>
      <c r="F81" s="5" t="n"/>
      <c r="G81" s="5" t="n"/>
      <c r="H81" s="22" t="inlineStr">
        <is>
          <t>https://en.wikipedia.org/wiki/Anand%E2%80%93Milind</t>
        </is>
      </c>
      <c r="I81" s="16" t="n">
        <v>46278</v>
      </c>
      <c r="J81" s="5" t="inlineStr">
        <is>
          <t>Family background, debut, breakthrough and awards.</t>
        </is>
      </c>
      <c r="K81" s="5" t="inlineStr">
        <is>
          <t>Reference encyclopedia</t>
        </is>
      </c>
      <c r="L81" s="5" t="inlineStr">
        <is>
          <t>C</t>
        </is>
      </c>
      <c r="M81" s="5" t="n"/>
    </row>
    <row r="82" ht="34" customHeight="1">
      <c r="A82" s="15" t="inlineStr">
        <is>
          <t>SOURCE-081</t>
        </is>
      </c>
      <c r="B82" s="5" t="n"/>
      <c r="C82" s="5" t="n"/>
      <c r="D82" s="5" t="inlineStr">
        <is>
          <t>Aditya Bhattacharya</t>
        </is>
      </c>
      <c r="E82" s="5" t="inlineStr">
        <is>
          <t>Wikipedia</t>
        </is>
      </c>
      <c r="F82" s="5" t="n"/>
      <c r="G82" s="5" t="n"/>
      <c r="H82" s="22" t="inlineStr">
        <is>
          <t>https://en.wikipedia.org/wiki/Aditya_Bhattacharya</t>
        </is>
      </c>
      <c r="I82" s="16" t="n">
        <v>46278</v>
      </c>
      <c r="J82" s="5" t="inlineStr">
        <is>
          <t>Family, debut with Raakh, later films and awards.</t>
        </is>
      </c>
      <c r="K82" s="5" t="inlineStr">
        <is>
          <t>Reference encyclopedia</t>
        </is>
      </c>
      <c r="L82" s="5" t="inlineStr">
        <is>
          <t>C</t>
        </is>
      </c>
      <c r="M82" s="5" t="n"/>
    </row>
    <row r="83" ht="34" customHeight="1">
      <c r="A83" s="15" t="inlineStr">
        <is>
          <t>SOURCE-082</t>
        </is>
      </c>
      <c r="B83" s="5" t="n"/>
      <c r="C83" s="5" t="n"/>
      <c r="D83" s="5" t="inlineStr">
        <is>
          <t>Bappi Lahiri</t>
        </is>
      </c>
      <c r="E83" s="5" t="inlineStr">
        <is>
          <t>Wikipedia</t>
        </is>
      </c>
      <c r="F83" s="5" t="n"/>
      <c r="G83" s="5" t="n"/>
      <c r="H83" s="22" t="inlineStr">
        <is>
          <t>https://en.wikipedia.org/wiki/Bappi_Lahiri</t>
        </is>
      </c>
      <c r="I83" s="16" t="n">
        <v>46278</v>
      </c>
      <c r="J83" s="5" t="inlineStr">
        <is>
          <t>Biography, breakthrough, style, awards and records.</t>
        </is>
      </c>
      <c r="K83" s="5" t="inlineStr">
        <is>
          <t>Reference encyclopedia</t>
        </is>
      </c>
      <c r="L83" s="5" t="inlineStr">
        <is>
          <t>C</t>
        </is>
      </c>
      <c r="M83" s="5" t="n"/>
    </row>
    <row r="84" ht="34" customHeight="1">
      <c r="A84" s="15" t="inlineStr">
        <is>
          <t>SOURCE-083</t>
        </is>
      </c>
      <c r="B84" s="5" t="inlineStr">
        <is>
          <t>FILM-030</t>
        </is>
      </c>
      <c r="C84" s="5" t="n"/>
      <c r="D84" s="5" t="inlineStr">
        <is>
          <t>Indra Kumar</t>
        </is>
      </c>
      <c r="E84" s="5" t="inlineStr">
        <is>
          <t>Wikipedia</t>
        </is>
      </c>
      <c r="F84" s="5" t="n"/>
      <c r="G84" s="5" t="n"/>
      <c r="H84" s="22" t="inlineStr">
        <is>
          <t>https://en.wikipedia.org/wiki/Indra_Kumar</t>
        </is>
      </c>
      <c r="I84" s="16" t="n">
        <v>46278</v>
      </c>
      <c r="J84" s="5" t="inlineStr">
        <is>
          <t>Producing and directing career, filmography and nominations.</t>
        </is>
      </c>
      <c r="K84" s="5" t="inlineStr">
        <is>
          <t>Reference encyclopedia</t>
        </is>
      </c>
      <c r="L84" s="5" t="inlineStr">
        <is>
          <t>C</t>
        </is>
      </c>
      <c r="M84" s="5" t="inlineStr">
        <is>
          <t>Describes Mann as a commercial failure, unlike the Mann article.</t>
        </is>
      </c>
    </row>
    <row r="85" ht="34" customHeight="1">
      <c r="A85" s="15" t="inlineStr">
        <is>
          <t>SOURCE-084</t>
        </is>
      </c>
      <c r="B85" s="5" t="n"/>
      <c r="C85" s="5" t="n"/>
      <c r="D85" s="5" t="inlineStr">
        <is>
          <t>Mahesh Bhatt</t>
        </is>
      </c>
      <c r="E85" s="5" t="inlineStr">
        <is>
          <t>Wikipedia</t>
        </is>
      </c>
      <c r="F85" s="5" t="n"/>
      <c r="G85" s="5" t="n"/>
      <c r="H85" s="22" t="inlineStr">
        <is>
          <t>https://en.wikipedia.org/wiki/Mahesh_Bhatt</t>
        </is>
      </c>
      <c r="I85" s="16" t="n">
        <v>46278</v>
      </c>
      <c r="J85" s="5" t="inlineStr">
        <is>
          <t>Biography, filmography, Vishesh Films and awards.</t>
        </is>
      </c>
      <c r="K85" s="5" t="inlineStr">
        <is>
          <t>Reference encyclopedia</t>
        </is>
      </c>
      <c r="L85" s="5" t="inlineStr">
        <is>
          <t>C</t>
        </is>
      </c>
      <c r="M85" s="5" t="n"/>
    </row>
    <row r="86" ht="34" customHeight="1">
      <c r="A86" s="15" t="inlineStr">
        <is>
          <t>SOURCE-085</t>
        </is>
      </c>
      <c r="B86" s="5" t="n"/>
      <c r="C86" s="5" t="n"/>
      <c r="D86" s="5" t="inlineStr">
        <is>
          <t>Mukesh Bhatt</t>
        </is>
      </c>
      <c r="E86" s="5" t="inlineStr">
        <is>
          <t>Wikipedia</t>
        </is>
      </c>
      <c r="F86" s="5" t="n"/>
      <c r="G86" s="5" t="n"/>
      <c r="H86" s="22" t="inlineStr">
        <is>
          <t>https://en.wikipedia.org/wiki/Mukesh_Bhatt</t>
        </is>
      </c>
      <c r="I86" s="16" t="n">
        <v>46278</v>
      </c>
      <c r="J86" s="5" t="inlineStr">
        <is>
          <t>Biography, Vishesh Films founding and productions.</t>
        </is>
      </c>
      <c r="K86" s="5" t="inlineStr">
        <is>
          <t>Reference encyclopedia</t>
        </is>
      </c>
      <c r="L86" s="5" t="inlineStr">
        <is>
          <t>C</t>
        </is>
      </c>
      <c r="M86" s="5" t="inlineStr">
        <is>
          <t>The extract wrongly associated Aamir Khan with Sadak (1991); that claim was not used.</t>
        </is>
      </c>
    </row>
    <row r="87" ht="34" customHeight="1">
      <c r="A87" s="15" t="inlineStr">
        <is>
          <t>SOURCE-086</t>
        </is>
      </c>
      <c r="B87" s="5" t="inlineStr">
        <is>
          <t>FILM-026</t>
        </is>
      </c>
      <c r="C87" s="5" t="n"/>
      <c r="D87" s="5" t="inlineStr">
        <is>
          <t>Nadeem–Shravan</t>
        </is>
      </c>
      <c r="E87" s="5" t="inlineStr">
        <is>
          <t>Wikipedia</t>
        </is>
      </c>
      <c r="F87" s="5" t="n"/>
      <c r="G87" s="5" t="n"/>
      <c r="H87" s="22" t="inlineStr">
        <is>
          <t>https://en.wikipedia.org/wiki/Nadeem%E2%80%93Shravan</t>
        </is>
      </c>
      <c r="I87" s="16" t="n">
        <v>46278</v>
      </c>
      <c r="J87" s="5" t="inlineStr">
        <is>
          <t>Members, career, style, awards and album sales.</t>
        </is>
      </c>
      <c r="K87" s="5" t="inlineStr">
        <is>
          <t>Reference encyclopedia</t>
        </is>
      </c>
      <c r="L87" s="5" t="inlineStr">
        <is>
          <t>C</t>
        </is>
      </c>
      <c r="M87" s="5" t="n"/>
    </row>
    <row r="88" ht="34" customHeight="1">
      <c r="A88" s="15" t="inlineStr">
        <is>
          <t>SOURCE-087</t>
        </is>
      </c>
      <c r="B88" s="5" t="n"/>
      <c r="C88" s="5" t="n"/>
      <c r="D88" s="5" t="inlineStr">
        <is>
          <t>Robin Bhatt</t>
        </is>
      </c>
      <c r="E88" s="5" t="inlineStr">
        <is>
          <t>Wikipedia</t>
        </is>
      </c>
      <c r="F88" s="5" t="n"/>
      <c r="G88" s="5" t="n"/>
      <c r="H88" s="22" t="inlineStr">
        <is>
          <t>https://en.wikipedia.org/wiki/Robin_Bhatt</t>
        </is>
      </c>
      <c r="I88" s="16" t="n">
        <v>46278</v>
      </c>
      <c r="J88" s="5" t="inlineStr">
        <is>
          <t>Family, writing credits and awards.</t>
        </is>
      </c>
      <c r="K88" s="5" t="inlineStr">
        <is>
          <t>Reference encyclopedia</t>
        </is>
      </c>
      <c r="L88" s="5" t="inlineStr">
        <is>
          <t>C</t>
        </is>
      </c>
      <c r="M88" s="5" t="n"/>
    </row>
    <row r="89" ht="34" customHeight="1">
      <c r="A89" s="15" t="inlineStr">
        <is>
          <t>SOURCE-088</t>
        </is>
      </c>
      <c r="B89" s="5" t="n"/>
      <c r="C89" s="5" t="n"/>
      <c r="D89" s="5" t="inlineStr">
        <is>
          <t>Jatin–Lalit</t>
        </is>
      </c>
      <c r="E89" s="5" t="inlineStr">
        <is>
          <t>Wikipedia</t>
        </is>
      </c>
      <c r="F89" s="5" t="n"/>
      <c r="G89" s="5" t="n"/>
      <c r="H89" s="22" t="inlineStr">
        <is>
          <t>https://en.wikipedia.org/wiki/Jatin%E2%80%93Lalit</t>
        </is>
      </c>
      <c r="I89" s="16" t="n">
        <v>46278</v>
      </c>
      <c r="J89" s="5" t="inlineStr">
        <is>
          <t>Family, debut, breakthrough, works, split and Filmfare nomination record.</t>
        </is>
      </c>
      <c r="K89" s="5" t="inlineStr">
        <is>
          <t>Reference encyclopedia</t>
        </is>
      </c>
      <c r="L89" s="5" t="inlineStr">
        <is>
          <t>C</t>
        </is>
      </c>
      <c r="M89" s="5" t="n"/>
    </row>
    <row r="90" ht="34" customHeight="1">
      <c r="A90" s="15" t="inlineStr">
        <is>
          <t>SOURCE-089</t>
        </is>
      </c>
      <c r="B90" s="5" t="n"/>
      <c r="C90" s="5" t="n"/>
      <c r="D90" s="5" t="inlineStr">
        <is>
          <t>Rajkumar Santoshi</t>
        </is>
      </c>
      <c r="E90" s="5" t="inlineStr">
        <is>
          <t>Wikipedia</t>
        </is>
      </c>
      <c r="F90" s="5" t="n"/>
      <c r="G90" s="5" t="n"/>
      <c r="H90" s="22" t="inlineStr">
        <is>
          <t>https://en.wikipedia.org/wiki/Rajkumar_Santoshi</t>
        </is>
      </c>
      <c r="I90" s="16" t="n">
        <v>46278</v>
      </c>
      <c r="J90" s="5" t="inlineStr">
        <is>
          <t>Biography, filmography, themes and awards.</t>
        </is>
      </c>
      <c r="K90" s="5" t="inlineStr">
        <is>
          <t>Reference encyclopedia</t>
        </is>
      </c>
      <c r="L90" s="5" t="inlineStr">
        <is>
          <t>C</t>
        </is>
      </c>
      <c r="M90" s="5" t="n"/>
    </row>
    <row r="91" ht="34" customHeight="1">
      <c r="A91" s="15" t="inlineStr">
        <is>
          <t>SOURCE-090</t>
        </is>
      </c>
      <c r="B91" s="5" t="n"/>
      <c r="C91" s="5" t="n"/>
      <c r="D91" s="5" t="inlineStr">
        <is>
          <t>Karim Morani</t>
        </is>
      </c>
      <c r="E91" s="5" t="inlineStr">
        <is>
          <t>Wikipedia</t>
        </is>
      </c>
      <c r="F91" s="5" t="n"/>
      <c r="G91" s="5" t="n"/>
      <c r="H91" s="22" t="inlineStr">
        <is>
          <t>https://en.wikipedia.org/wiki/Karim_Morani</t>
        </is>
      </c>
      <c r="I91" s="16" t="n">
        <v>46278</v>
      </c>
      <c r="J91" s="5" t="inlineStr">
        <is>
          <t>Cineyug and its productions.</t>
        </is>
      </c>
      <c r="K91" s="5" t="inlineStr">
        <is>
          <t>Reference encyclopedia</t>
        </is>
      </c>
      <c r="L91" s="5" t="inlineStr">
        <is>
          <t>C</t>
        </is>
      </c>
      <c r="M91" s="5" t="n"/>
    </row>
    <row r="92" ht="34" customHeight="1">
      <c r="A92" s="15" t="inlineStr">
        <is>
          <t>SOURCE-091</t>
        </is>
      </c>
      <c r="B92" s="5" t="inlineStr">
        <is>
          <t>FILM-003</t>
        </is>
      </c>
      <c r="C92" s="5" t="n"/>
      <c r="D92" s="5" t="inlineStr">
        <is>
          <t>Ashutosh Gowariker</t>
        </is>
      </c>
      <c r="E92" s="5" t="inlineStr">
        <is>
          <t>Wikipedia</t>
        </is>
      </c>
      <c r="F92" s="5" t="n"/>
      <c r="G92" s="5" t="n"/>
      <c r="H92" s="22" t="inlineStr">
        <is>
          <t>https://en.wikipedia.org/wiki/Ashutosh_Gowariker</t>
        </is>
      </c>
      <c r="I92" s="16" t="n">
        <v>46278</v>
      </c>
      <c r="J92" s="5" t="inlineStr">
        <is>
          <t>Acting beginnings in Holi, directorial career and recognition.</t>
        </is>
      </c>
      <c r="K92" s="5" t="inlineStr">
        <is>
          <t>Reference encyclopedia</t>
        </is>
      </c>
      <c r="L92" s="5" t="inlineStr">
        <is>
          <t>C</t>
        </is>
      </c>
      <c r="M92" s="5" t="n"/>
    </row>
    <row r="93" ht="34" customHeight="1">
      <c r="A93" s="15" t="inlineStr">
        <is>
          <t>SOURCE-092</t>
        </is>
      </c>
      <c r="B93" s="5" t="n"/>
      <c r="C93" s="5" t="n"/>
      <c r="D93" s="5" t="inlineStr">
        <is>
          <t>Anu Malik</t>
        </is>
      </c>
      <c r="E93" s="5" t="inlineStr">
        <is>
          <t>Wikipedia</t>
        </is>
      </c>
      <c r="F93" s="5" t="n"/>
      <c r="G93" s="5" t="n"/>
      <c r="H93" s="22" t="inlineStr">
        <is>
          <t>https://en.wikipedia.org/wiki/Anu_Malik</t>
        </is>
      </c>
      <c r="I93" s="16" t="n">
        <v>46278</v>
      </c>
      <c r="J93" s="5" t="inlineStr">
        <is>
          <t>Family, career, style and awards.</t>
        </is>
      </c>
      <c r="K93" s="5" t="inlineStr">
        <is>
          <t>Reference encyclopedia</t>
        </is>
      </c>
      <c r="L93" s="5" t="inlineStr">
        <is>
          <t>C</t>
        </is>
      </c>
      <c r="M93" s="5" t="n"/>
    </row>
    <row r="94" ht="34" customHeight="1">
      <c r="A94" s="15" t="inlineStr">
        <is>
          <t>SOURCE-093</t>
        </is>
      </c>
      <c r="B94" s="5" t="n"/>
      <c r="C94" s="5" t="n"/>
      <c r="D94" s="5" t="inlineStr">
        <is>
          <t>Ram Gopal Varma</t>
        </is>
      </c>
      <c r="E94" s="5" t="inlineStr">
        <is>
          <t>Wikipedia</t>
        </is>
      </c>
      <c r="F94" s="5" t="n"/>
      <c r="G94" s="5" t="n"/>
      <c r="H94" s="22" t="inlineStr">
        <is>
          <t>https://en.wikipedia.org/wiki/Ram_Gopal_Varma</t>
        </is>
      </c>
      <c r="I94" s="16" t="n">
        <v>46278</v>
      </c>
      <c r="J94" s="5" t="inlineStr">
        <is>
          <t>Background, Telugu and Hindi career, style, protégés and awards.</t>
        </is>
      </c>
      <c r="K94" s="5" t="inlineStr">
        <is>
          <t>Reference encyclopedia</t>
        </is>
      </c>
      <c r="L94" s="5" t="inlineStr">
        <is>
          <t>C</t>
        </is>
      </c>
      <c r="M94" s="5" t="n"/>
    </row>
    <row r="95" ht="34" customHeight="1">
      <c r="A95" s="15" t="inlineStr">
        <is>
          <t>SOURCE-094</t>
        </is>
      </c>
      <c r="B95" s="5" t="n"/>
      <c r="C95" s="5" t="n"/>
      <c r="D95" s="5" t="inlineStr">
        <is>
          <t>A. R. Rahman</t>
        </is>
      </c>
      <c r="E95" s="5" t="inlineStr">
        <is>
          <t>Wikipedia</t>
        </is>
      </c>
      <c r="F95" s="5" t="n"/>
      <c r="G95" s="5" t="n"/>
      <c r="H95" s="22" t="inlineStr">
        <is>
          <t>https://en.wikipedia.org/wiki/A._R._Rahman</t>
        </is>
      </c>
      <c r="I95" s="16" t="n">
        <v>46278</v>
      </c>
      <c r="J95" s="5" t="inlineStr">
        <is>
          <t>Biography, major works, style and awards.</t>
        </is>
      </c>
      <c r="K95" s="5" t="inlineStr">
        <is>
          <t>Reference encyclopedia</t>
        </is>
      </c>
      <c r="L95" s="5" t="inlineStr">
        <is>
          <t>C</t>
        </is>
      </c>
      <c r="M95" s="5" t="n"/>
    </row>
    <row r="96" ht="34" customHeight="1">
      <c r="A96" s="15" t="inlineStr">
        <is>
          <t>SOURCE-095</t>
        </is>
      </c>
      <c r="B96" s="5" t="inlineStr">
        <is>
          <t>FILM-032</t>
        </is>
      </c>
      <c r="C96" s="5" t="n"/>
      <c r="D96" s="5" t="inlineStr">
        <is>
          <t>Dharmesh Darshan</t>
        </is>
      </c>
      <c r="E96" s="5" t="inlineStr">
        <is>
          <t>Wikipedia</t>
        </is>
      </c>
      <c r="F96" s="5" t="n"/>
      <c r="G96" s="5" t="n"/>
      <c r="H96" s="22" t="inlineStr">
        <is>
          <t>https://en.wikipedia.org/wiki/Dharmesh_Darshan</t>
        </is>
      </c>
      <c r="I96" s="16" t="n">
        <v>46278</v>
      </c>
      <c r="J96" s="5" t="inlineStr">
        <is>
          <t>Family, filmography, box-office verdicts and awards.</t>
        </is>
      </c>
      <c r="K96" s="5" t="inlineStr">
        <is>
          <t>Reference encyclopedia</t>
        </is>
      </c>
      <c r="L96" s="5" t="inlineStr">
        <is>
          <t>C</t>
        </is>
      </c>
      <c r="M96" s="5" t="inlineStr">
        <is>
          <t>Describes Mela as a major commercial disaster.</t>
        </is>
      </c>
    </row>
    <row r="97" ht="34" customHeight="1">
      <c r="A97" s="15" t="inlineStr">
        <is>
          <t>SOURCE-096</t>
        </is>
      </c>
      <c r="B97" s="5" t="n"/>
      <c r="C97" s="5" t="n"/>
      <c r="D97" s="5" t="inlineStr">
        <is>
          <t>Vikram Bhatt</t>
        </is>
      </c>
      <c r="E97" s="5" t="inlineStr">
        <is>
          <t>Wikipedia</t>
        </is>
      </c>
      <c r="F97" s="5" t="n"/>
      <c r="G97" s="5" t="n"/>
      <c r="H97" s="22" t="inlineStr">
        <is>
          <t>https://en.wikipedia.org/wiki/Vikram_Bhatt</t>
        </is>
      </c>
      <c r="I97" s="16" t="n">
        <v>46278</v>
      </c>
      <c r="J97" s="5" t="inlineStr">
        <is>
          <t>Family, career, horror filmography and nominations.</t>
        </is>
      </c>
      <c r="K97" s="5" t="inlineStr">
        <is>
          <t>Reference encyclopedia</t>
        </is>
      </c>
      <c r="L97" s="5" t="inlineStr">
        <is>
          <t>C</t>
        </is>
      </c>
      <c r="M97" s="5" t="n"/>
    </row>
    <row r="98" ht="34" customHeight="1">
      <c r="A98" s="15" t="inlineStr">
        <is>
          <t>SOURCE-097</t>
        </is>
      </c>
      <c r="B98" s="5" t="inlineStr">
        <is>
          <t>FILM-029</t>
        </is>
      </c>
      <c r="C98" s="5" t="n"/>
      <c r="D98" s="5" t="inlineStr">
        <is>
          <t>John Matthew Matthan</t>
        </is>
      </c>
      <c r="E98" s="5" t="inlineStr">
        <is>
          <t>Wikipedia</t>
        </is>
      </c>
      <c r="F98" s="5" t="n"/>
      <c r="G98" s="5" t="n"/>
      <c r="H98" s="22" t="inlineStr">
        <is>
          <t>https://en.wikipedia.org/wiki/John_Matthew_Matthan</t>
        </is>
      </c>
      <c r="I98" s="16" t="n">
        <v>46278</v>
      </c>
      <c r="J98" s="5" t="inlineStr">
        <is>
          <t>Background, development of Sarfarosh, later films and awards.</t>
        </is>
      </c>
      <c r="K98" s="5" t="inlineStr">
        <is>
          <t>Reference encyclopedia</t>
        </is>
      </c>
      <c r="L98" s="5" t="inlineStr">
        <is>
          <t>C</t>
        </is>
      </c>
      <c r="M98" s="5" t="n"/>
    </row>
    <row r="99" ht="34" customHeight="1">
      <c r="A99" s="15" t="inlineStr">
        <is>
          <t>SOURCE-098</t>
        </is>
      </c>
      <c r="B99" s="5" t="n"/>
      <c r="C99" s="5" t="n"/>
      <c r="D99" s="5" t="inlineStr">
        <is>
          <t>Deepa Mehta</t>
        </is>
      </c>
      <c r="E99" s="5" t="inlineStr">
        <is>
          <t>Wikipedia</t>
        </is>
      </c>
      <c r="F99" s="5" t="n"/>
      <c r="G99" s="5" t="n"/>
      <c r="H99" s="22" t="inlineStr">
        <is>
          <t>https://en.wikipedia.org/wiki/Deepa_Mehta</t>
        </is>
      </c>
      <c r="I99" s="16" t="n">
        <v>46278</v>
      </c>
      <c r="J99" s="5" t="inlineStr">
        <is>
          <t>Biography, Elements trilogy, themes and honours.</t>
        </is>
      </c>
      <c r="K99" s="5" t="inlineStr">
        <is>
          <t>Reference encyclopedia</t>
        </is>
      </c>
      <c r="L99" s="5" t="inlineStr">
        <is>
          <t>C</t>
        </is>
      </c>
      <c r="M99" s="5" t="n"/>
    </row>
    <row r="100" ht="49" customHeight="1">
      <c r="A100" s="15" t="inlineStr">
        <is>
          <t>SOURCE-099</t>
        </is>
      </c>
      <c r="B100" s="5" t="n"/>
      <c r="C100" s="5" t="n"/>
      <c r="D100" s="5" t="inlineStr">
        <is>
          <t>Aamir Khan Productions</t>
        </is>
      </c>
      <c r="E100" s="5" t="inlineStr">
        <is>
          <t>Wikipedia</t>
        </is>
      </c>
      <c r="F100" s="5" t="n"/>
      <c r="G100" s="5" t="n"/>
      <c r="H100" s="22" t="inlineStr">
        <is>
          <t>https://en.wikipedia.org/wiki/Aamir_Khan_Productions</t>
        </is>
      </c>
      <c r="I100" s="16" t="n">
        <v>46278</v>
      </c>
      <c r="J100" s="5" t="inlineStr">
        <is>
          <t>Founding, production list, partners and influence in China.</t>
        </is>
      </c>
      <c r="K100" s="5" t="inlineStr">
        <is>
          <t>Reference encyclopedia</t>
        </is>
      </c>
      <c r="L100" s="5" t="inlineStr">
        <is>
          <t>C</t>
        </is>
      </c>
      <c r="M100" s="5" t="inlineStr">
        <is>
          <t>The extract credited the company with 3 Idiots and Dhoom 3, which it did not produce; those claims were not used.</t>
        </is>
      </c>
    </row>
    <row r="101" ht="34" customHeight="1">
      <c r="A101" s="15" t="inlineStr">
        <is>
          <t>SOURCE-100</t>
        </is>
      </c>
      <c r="B101" s="5" t="n"/>
      <c r="C101" s="5" t="n"/>
      <c r="D101" s="5" t="inlineStr">
        <is>
          <t>Farhan Akhtar</t>
        </is>
      </c>
      <c r="E101" s="5" t="inlineStr">
        <is>
          <t>Wikipedia</t>
        </is>
      </c>
      <c r="F101" s="5" t="n"/>
      <c r="G101" s="5" t="n"/>
      <c r="H101" s="22" t="inlineStr">
        <is>
          <t>https://en.wikipedia.org/wiki/Farhan_Akhtar</t>
        </is>
      </c>
      <c r="I101" s="16" t="n">
        <v>46278</v>
      </c>
      <c r="J101" s="5" t="inlineStr">
        <is>
          <t>Biography, Excel Entertainment, filmography and awards.</t>
        </is>
      </c>
      <c r="K101" s="5" t="inlineStr">
        <is>
          <t>Reference encyclopedia</t>
        </is>
      </c>
      <c r="L101" s="5" t="inlineStr">
        <is>
          <t>C</t>
        </is>
      </c>
      <c r="M101" s="5" t="n"/>
    </row>
    <row r="102" ht="34" customHeight="1">
      <c r="A102" s="15" t="inlineStr">
        <is>
          <t>SOURCE-101</t>
        </is>
      </c>
      <c r="B102" s="5" t="n"/>
      <c r="C102" s="5" t="n"/>
      <c r="D102" s="5" t="inlineStr">
        <is>
          <t>Excel Entertainment</t>
        </is>
      </c>
      <c r="E102" s="5" t="inlineStr">
        <is>
          <t>Wikipedia</t>
        </is>
      </c>
      <c r="F102" s="5" t="n"/>
      <c r="G102" s="5" t="n"/>
      <c r="H102" s="22" t="inlineStr">
        <is>
          <t>https://en.wikipedia.org/wiki/Excel_Entertainment</t>
        </is>
      </c>
      <c r="I102" s="16" t="n">
        <v>46278</v>
      </c>
      <c r="J102" s="5" t="inlineStr">
        <is>
          <t>Founding, founders, productions and awards.</t>
        </is>
      </c>
      <c r="K102" s="5" t="inlineStr">
        <is>
          <t>Reference encyclopedia</t>
        </is>
      </c>
      <c r="L102" s="5" t="inlineStr">
        <is>
          <t>C</t>
        </is>
      </c>
      <c r="M102" s="5" t="n"/>
    </row>
    <row r="103" ht="34" customHeight="1">
      <c r="A103" s="15" t="inlineStr">
        <is>
          <t>SOURCE-102</t>
        </is>
      </c>
      <c r="B103" s="5" t="n"/>
      <c r="C103" s="5" t="n"/>
      <c r="D103" s="5" t="inlineStr">
        <is>
          <t>Shankar–Ehsaan–Loy</t>
        </is>
      </c>
      <c r="E103" s="5" t="inlineStr">
        <is>
          <t>Wikipedia</t>
        </is>
      </c>
      <c r="F103" s="5" t="n"/>
      <c r="G103" s="5" t="n"/>
      <c r="H103" s="22" t="inlineStr">
        <is>
          <t>https://en.wikipedia.org/wiki/Shankar%E2%80%93Ehsaan%E2%80%93Loy</t>
        </is>
      </c>
      <c r="I103" s="16" t="n">
        <v>46278</v>
      </c>
      <c r="J103" s="5" t="inlineStr">
        <is>
          <t>Formation, breakthrough, works, style and awards.</t>
        </is>
      </c>
      <c r="K103" s="5" t="inlineStr">
        <is>
          <t>Reference encyclopedia</t>
        </is>
      </c>
      <c r="L103" s="5" t="inlineStr">
        <is>
          <t>C</t>
        </is>
      </c>
      <c r="M103" s="5" t="n"/>
    </row>
    <row r="104" ht="34" customHeight="1">
      <c r="A104" s="15" t="inlineStr">
        <is>
          <t>SOURCE-103</t>
        </is>
      </c>
      <c r="B104" s="5" t="n"/>
      <c r="C104" s="5" t="n"/>
      <c r="D104" s="5" t="inlineStr">
        <is>
          <t>Rakeysh Omprakash Mehra</t>
        </is>
      </c>
      <c r="E104" s="5" t="inlineStr">
        <is>
          <t>Wikipedia</t>
        </is>
      </c>
      <c r="F104" s="5" t="n"/>
      <c r="G104" s="5" t="n"/>
      <c r="H104" s="22" t="inlineStr">
        <is>
          <t>https://en.wikipedia.org/wiki/Rakeysh_Omprakash_Mehra</t>
        </is>
      </c>
      <c r="I104" s="16" t="n">
        <v>46278</v>
      </c>
      <c r="J104" s="5" t="inlineStr">
        <is>
          <t>Biography, filmography, themes and awards.</t>
        </is>
      </c>
      <c r="K104" s="5" t="inlineStr">
        <is>
          <t>Reference encyclopedia</t>
        </is>
      </c>
      <c r="L104" s="5" t="inlineStr">
        <is>
          <t>C</t>
        </is>
      </c>
      <c r="M104" s="5" t="n"/>
    </row>
    <row r="105" ht="34" customHeight="1">
      <c r="A105" s="15" t="inlineStr">
        <is>
          <t>SOURCE-104</t>
        </is>
      </c>
      <c r="B105" s="5" t="inlineStr">
        <is>
          <t>FILM-036</t>
        </is>
      </c>
      <c r="C105" s="5" t="n"/>
      <c r="D105" s="5" t="inlineStr">
        <is>
          <t>Ronnie Screwvala</t>
        </is>
      </c>
      <c r="E105" s="5" t="inlineStr">
        <is>
          <t>Wikipedia</t>
        </is>
      </c>
      <c r="F105" s="5" t="n"/>
      <c r="G105" s="5" t="n"/>
      <c r="H105" s="22" t="inlineStr">
        <is>
          <t>https://en.wikipedia.org/wiki/Ronnie_Screwvala</t>
        </is>
      </c>
      <c r="I105" s="16" t="n">
        <v>46278</v>
      </c>
      <c r="J105" s="5" t="inlineStr">
        <is>
          <t>UTV founding, productions, Disney sale, RSVP Movies and awards.</t>
        </is>
      </c>
      <c r="K105" s="5" t="inlineStr">
        <is>
          <t>Reference encyclopedia</t>
        </is>
      </c>
      <c r="L105" s="5" t="inlineStr">
        <is>
          <t>C</t>
        </is>
      </c>
      <c r="M105" s="5" t="n"/>
    </row>
    <row r="106" ht="34" customHeight="1">
      <c r="A106" s="15" t="inlineStr">
        <is>
          <t>SOURCE-105</t>
        </is>
      </c>
      <c r="B106" s="5" t="n"/>
      <c r="C106" s="5" t="n"/>
      <c r="D106" s="5" t="inlineStr">
        <is>
          <t>Kunal Kohli</t>
        </is>
      </c>
      <c r="E106" s="5" t="inlineStr">
        <is>
          <t>Wikipedia</t>
        </is>
      </c>
      <c r="F106" s="5" t="n"/>
      <c r="G106" s="5" t="n"/>
      <c r="H106" s="22" t="inlineStr">
        <is>
          <t>https://en.wikipedia.org/wiki/Kunal_Kohli</t>
        </is>
      </c>
      <c r="I106" s="16" t="n">
        <v>46278</v>
      </c>
      <c r="J106" s="5" t="inlineStr">
        <is>
          <t>Background, filmography and awards.</t>
        </is>
      </c>
      <c r="K106" s="5" t="inlineStr">
        <is>
          <t>Reference encyclopedia</t>
        </is>
      </c>
      <c r="L106" s="5" t="inlineStr">
        <is>
          <t>C</t>
        </is>
      </c>
      <c r="M106" s="5" t="n"/>
    </row>
    <row r="107" ht="34" customHeight="1">
      <c r="A107" s="15" t="inlineStr">
        <is>
          <t>SOURCE-106</t>
        </is>
      </c>
      <c r="B107" s="5" t="n"/>
      <c r="C107" s="5" t="n"/>
      <c r="D107" s="5" t="inlineStr">
        <is>
          <t>Yash Raj Films</t>
        </is>
      </c>
      <c r="E107" s="5" t="inlineStr">
        <is>
          <t>Wikipedia</t>
        </is>
      </c>
      <c r="F107" s="5" t="n"/>
      <c r="G107" s="5" t="n"/>
      <c r="H107" s="22" t="inlineStr">
        <is>
          <t>https://en.wikipedia.org/wiki/Yash_Raj_Films</t>
        </is>
      </c>
      <c r="I107" s="16" t="n">
        <v>46278</v>
      </c>
      <c r="J107" s="5" t="inlineStr">
        <is>
          <t>Founding, leadership, landmark productions and standing.</t>
        </is>
      </c>
      <c r="K107" s="5" t="inlineStr">
        <is>
          <t>Reference encyclopedia</t>
        </is>
      </c>
      <c r="L107" s="5" t="inlineStr">
        <is>
          <t>C</t>
        </is>
      </c>
      <c r="M107" s="5" t="n"/>
    </row>
    <row r="108" ht="34" customHeight="1">
      <c r="A108" s="15" t="inlineStr">
        <is>
          <t>SOURCE-107</t>
        </is>
      </c>
      <c r="B108" s="5" t="n"/>
      <c r="C108" s="5" t="n"/>
      <c r="D108" s="5" t="inlineStr">
        <is>
          <t>A. R. Murugadoss</t>
        </is>
      </c>
      <c r="E108" s="5" t="inlineStr">
        <is>
          <t>Wikipedia</t>
        </is>
      </c>
      <c r="F108" s="5" t="n"/>
      <c r="G108" s="5" t="n"/>
      <c r="H108" s="22" t="inlineStr">
        <is>
          <t>https://en.wikipedia.org/wiki/A._R._Murugadoss</t>
        </is>
      </c>
      <c r="I108" s="16" t="n">
        <v>46278</v>
      </c>
      <c r="J108" s="5" t="inlineStr">
        <is>
          <t>Biography, multilingual filmography and awards.</t>
        </is>
      </c>
      <c r="K108" s="5" t="inlineStr">
        <is>
          <t>Reference encyclopedia</t>
        </is>
      </c>
      <c r="L108" s="5" t="inlineStr">
        <is>
          <t>C</t>
        </is>
      </c>
      <c r="M108" s="5" t="n"/>
    </row>
    <row r="109" ht="34" customHeight="1">
      <c r="A109" s="15" t="inlineStr">
        <is>
          <t>SOURCE-108</t>
        </is>
      </c>
      <c r="B109" s="5" t="n"/>
      <c r="C109" s="5" t="n"/>
      <c r="D109" s="5" t="inlineStr">
        <is>
          <t>Zoya Akhtar</t>
        </is>
      </c>
      <c r="E109" s="5" t="inlineStr">
        <is>
          <t>Wikipedia</t>
        </is>
      </c>
      <c r="F109" s="5" t="n"/>
      <c r="G109" s="5" t="n"/>
      <c r="H109" s="22" t="inlineStr">
        <is>
          <t>https://en.wikipedia.org/wiki/Zoya_Akhtar</t>
        </is>
      </c>
      <c r="I109" s="16" t="n">
        <v>46278</v>
      </c>
      <c r="J109" s="5" t="inlineStr">
        <is>
          <t>Biography, training, filmography, company and awards.</t>
        </is>
      </c>
      <c r="K109" s="5" t="inlineStr">
        <is>
          <t>Reference encyclopedia</t>
        </is>
      </c>
      <c r="L109" s="5" t="inlineStr">
        <is>
          <t>C</t>
        </is>
      </c>
      <c r="M109" s="5" t="n"/>
    </row>
    <row r="110" ht="34" customHeight="1">
      <c r="A110" s="15" t="inlineStr">
        <is>
          <t>SOURCE-109</t>
        </is>
      </c>
      <c r="B110" s="5" t="n"/>
      <c r="C110" s="5" t="n"/>
      <c r="D110" s="5" t="inlineStr">
        <is>
          <t>Rajkumar Hirani</t>
        </is>
      </c>
      <c r="E110" s="5" t="inlineStr">
        <is>
          <t>Wikipedia</t>
        </is>
      </c>
      <c r="F110" s="5" t="n"/>
      <c r="G110" s="5" t="n"/>
      <c r="H110" s="22" t="inlineStr">
        <is>
          <t>https://en.wikipedia.org/wiki/Rajkumar_Hirani</t>
        </is>
      </c>
      <c r="I110" s="16" t="n">
        <v>46278</v>
      </c>
      <c r="J110" s="5" t="inlineStr">
        <is>
          <t>Background, filmography, style, awards and a reported future project with Aamir Khan.</t>
        </is>
      </c>
      <c r="K110" s="5" t="inlineStr">
        <is>
          <t>Reference encyclopedia</t>
        </is>
      </c>
      <c r="L110" s="5" t="inlineStr">
        <is>
          <t>C</t>
        </is>
      </c>
      <c r="M110" s="5" t="n"/>
    </row>
    <row r="111" ht="34" customHeight="1">
      <c r="A111" s="15" t="inlineStr">
        <is>
          <t>SOURCE-110</t>
        </is>
      </c>
      <c r="B111" s="5" t="n"/>
      <c r="C111" s="5" t="n"/>
      <c r="D111" s="5" t="inlineStr">
        <is>
          <t>Vidhu Vinod Chopra</t>
        </is>
      </c>
      <c r="E111" s="5" t="inlineStr">
        <is>
          <t>Wikipedia</t>
        </is>
      </c>
      <c r="F111" s="5" t="n"/>
      <c r="G111" s="5" t="n"/>
      <c r="H111" s="22" t="inlineStr">
        <is>
          <t>https://en.wikipedia.org/wiki/Vidhu_Vinod_Chopra</t>
        </is>
      </c>
      <c r="I111" s="16" t="n">
        <v>46278</v>
      </c>
      <c r="J111" s="5" t="inlineStr">
        <is>
          <t>Biography, Vinod Chopra Films, directing and producing credits, awards.</t>
        </is>
      </c>
      <c r="K111" s="5" t="inlineStr">
        <is>
          <t>Reference encyclopedia</t>
        </is>
      </c>
      <c r="L111" s="5" t="inlineStr">
        <is>
          <t>C</t>
        </is>
      </c>
      <c r="M111" s="5" t="n"/>
    </row>
    <row r="112" ht="34" customHeight="1">
      <c r="A112" s="15" t="inlineStr">
        <is>
          <t>SOURCE-111</t>
        </is>
      </c>
      <c r="B112" s="5" t="n"/>
      <c r="C112" s="5" t="n"/>
      <c r="D112" s="5" t="inlineStr">
        <is>
          <t>Shantanu Moitra</t>
        </is>
      </c>
      <c r="E112" s="5" t="inlineStr">
        <is>
          <t>Wikipedia</t>
        </is>
      </c>
      <c r="F112" s="5" t="n"/>
      <c r="G112" s="5" t="n"/>
      <c r="H112" s="22" t="inlineStr">
        <is>
          <t>https://en.wikipedia.org/wiki/Shantanu_Moitra</t>
        </is>
      </c>
      <c r="I112" s="16" t="n">
        <v>46278</v>
      </c>
      <c r="J112" s="5" t="inlineStr">
        <is>
          <t>Biography, works and awards.</t>
        </is>
      </c>
      <c r="K112" s="5" t="inlineStr">
        <is>
          <t>Reference encyclopedia</t>
        </is>
      </c>
      <c r="L112" s="5" t="inlineStr">
        <is>
          <t>C</t>
        </is>
      </c>
      <c r="M112" s="5" t="n"/>
    </row>
    <row r="113" ht="34" customHeight="1">
      <c r="A113" s="15" t="inlineStr">
        <is>
          <t>SOURCE-112</t>
        </is>
      </c>
      <c r="B113" s="5" t="n"/>
      <c r="C113" s="5" t="n"/>
      <c r="D113" s="5" t="inlineStr">
        <is>
          <t>Abhijat Joshi</t>
        </is>
      </c>
      <c r="E113" s="5" t="inlineStr">
        <is>
          <t>Wikipedia</t>
        </is>
      </c>
      <c r="F113" s="5" t="n"/>
      <c r="G113" s="5" t="n"/>
      <c r="H113" s="22" t="inlineStr">
        <is>
          <t>https://en.wikipedia.org/wiki/Abhijat_Joshi</t>
        </is>
      </c>
      <c r="I113" s="16" t="n">
        <v>46278</v>
      </c>
      <c r="J113" s="5" t="inlineStr">
        <is>
          <t>Academic background, writing credits and awards.</t>
        </is>
      </c>
      <c r="K113" s="5" t="inlineStr">
        <is>
          <t>Reference encyclopedia</t>
        </is>
      </c>
      <c r="L113" s="5" t="inlineStr">
        <is>
          <t>C</t>
        </is>
      </c>
      <c r="M113" s="5" t="n"/>
    </row>
    <row r="114" ht="49" customHeight="1">
      <c r="A114" s="15" t="inlineStr">
        <is>
          <t>SOURCE-113</t>
        </is>
      </c>
      <c r="B114" s="5" t="n"/>
      <c r="C114" s="5" t="n"/>
      <c r="D114" s="5" t="inlineStr">
        <is>
          <t>Kiran Rao</t>
        </is>
      </c>
      <c r="E114" s="5" t="inlineStr">
        <is>
          <t>Wikipedia</t>
        </is>
      </c>
      <c r="F114" s="5" t="n"/>
      <c r="G114" s="5" t="n"/>
      <c r="H114" s="22" t="inlineStr">
        <is>
          <t>https://en.wikipedia.org/wiki/Kiran_Rao</t>
        </is>
      </c>
      <c r="I114" s="16" t="n">
        <v>46278</v>
      </c>
      <c r="J114" s="5" t="inlineStr">
        <is>
          <t>Biography, assistant-director work, marriage to and divorce from Aamir Khan, directing and producing credits, MAMI role.</t>
        </is>
      </c>
      <c r="K114" s="5" t="inlineStr">
        <is>
          <t>Reference encyclopedia</t>
        </is>
      </c>
      <c r="L114" s="5" t="inlineStr">
        <is>
          <t>C</t>
        </is>
      </c>
      <c r="M114" s="5" t="n"/>
    </row>
    <row r="115" ht="34" customHeight="1">
      <c r="A115" s="15" t="inlineStr">
        <is>
          <t>SOURCE-114</t>
        </is>
      </c>
      <c r="B115" s="5" t="n"/>
      <c r="C115" s="5" t="n"/>
      <c r="D115" s="5" t="inlineStr">
        <is>
          <t>Ram Sampath</t>
        </is>
      </c>
      <c r="E115" s="5" t="inlineStr">
        <is>
          <t>Wikipedia</t>
        </is>
      </c>
      <c r="F115" s="5" t="n"/>
      <c r="G115" s="5" t="n"/>
      <c r="H115" s="22" t="inlineStr">
        <is>
          <t>https://en.wikipedia.org/wiki/Ram_Sampath</t>
        </is>
      </c>
      <c r="I115" s="16" t="n">
        <v>46278</v>
      </c>
      <c r="J115" s="5" t="inlineStr">
        <is>
          <t>Biography, film and television music, awards.</t>
        </is>
      </c>
      <c r="K115" s="5" t="inlineStr">
        <is>
          <t>Reference encyclopedia</t>
        </is>
      </c>
      <c r="L115" s="5" t="inlineStr">
        <is>
          <t>C</t>
        </is>
      </c>
      <c r="M115" s="5" t="n"/>
    </row>
    <row r="116" ht="34" customHeight="1">
      <c r="A116" s="15" t="inlineStr">
        <is>
          <t>SOURCE-115</t>
        </is>
      </c>
      <c r="B116" s="5" t="n"/>
      <c r="C116" s="5" t="n"/>
      <c r="D116" s="5" t="inlineStr">
        <is>
          <t>Reema Kagti</t>
        </is>
      </c>
      <c r="E116" s="5" t="inlineStr">
        <is>
          <t>Wikipedia</t>
        </is>
      </c>
      <c r="F116" s="5" t="n"/>
      <c r="G116" s="5" t="n"/>
      <c r="H116" s="22" t="inlineStr">
        <is>
          <t>https://en.wikipedia.org/wiki/Reema_Kagti</t>
        </is>
      </c>
      <c r="I116" s="16" t="n">
        <v>46278</v>
      </c>
      <c r="J116" s="5" t="inlineStr">
        <is>
          <t>Assistant-director work, directing and writing credits, company.</t>
        </is>
      </c>
      <c r="K116" s="5" t="inlineStr">
        <is>
          <t>Reference encyclopedia</t>
        </is>
      </c>
      <c r="L116" s="5" t="inlineStr">
        <is>
          <t>C</t>
        </is>
      </c>
      <c r="M116" s="5" t="n"/>
    </row>
    <row r="117" ht="34" customHeight="1">
      <c r="A117" s="15" t="inlineStr">
        <is>
          <t>SOURCE-116</t>
        </is>
      </c>
      <c r="B117" s="5" t="n"/>
      <c r="C117" s="5" t="n"/>
      <c r="D117" s="5" t="inlineStr">
        <is>
          <t>Amit Trivedi</t>
        </is>
      </c>
      <c r="E117" s="5" t="inlineStr">
        <is>
          <t>Wikipedia</t>
        </is>
      </c>
      <c r="F117" s="5" t="n"/>
      <c r="G117" s="5" t="n"/>
      <c r="H117" s="22" t="inlineStr">
        <is>
          <t>https://en.wikipedia.org/wiki/Amit_Trivedi</t>
        </is>
      </c>
      <c r="I117" s="16" t="n">
        <v>46278</v>
      </c>
      <c r="J117" s="5" t="inlineStr">
        <is>
          <t>Biography, works and awards.</t>
        </is>
      </c>
      <c r="K117" s="5" t="inlineStr">
        <is>
          <t>Reference encyclopedia</t>
        </is>
      </c>
      <c r="L117" s="5" t="inlineStr">
        <is>
          <t>C</t>
        </is>
      </c>
      <c r="M117" s="5" t="n"/>
    </row>
    <row r="118" ht="34" customHeight="1">
      <c r="A118" s="15" t="inlineStr">
        <is>
          <t>SOURCE-117</t>
        </is>
      </c>
      <c r="B118" s="5" t="inlineStr">
        <is>
          <t>FILM-046</t>
        </is>
      </c>
      <c r="C118" s="5" t="n"/>
      <c r="D118" s="5" t="inlineStr">
        <is>
          <t>Vijay Krishna Acharya</t>
        </is>
      </c>
      <c r="E118" s="5" t="inlineStr">
        <is>
          <t>Wikipedia</t>
        </is>
      </c>
      <c r="F118" s="5" t="n"/>
      <c r="G118" s="5" t="n"/>
      <c r="H118" s="22" t="inlineStr">
        <is>
          <t>https://en.wikipedia.org/wiki/Vijay_Krishna_Acharya</t>
        </is>
      </c>
      <c r="I118" s="16" t="n">
        <v>46278</v>
      </c>
      <c r="J118" s="5" t="inlineStr">
        <is>
          <t>Background, writing and directing credits, award.</t>
        </is>
      </c>
      <c r="K118" s="5" t="inlineStr">
        <is>
          <t>Reference encyclopedia</t>
        </is>
      </c>
      <c r="L118" s="5" t="inlineStr">
        <is>
          <t>C</t>
        </is>
      </c>
      <c r="M118" s="5" t="n"/>
    </row>
    <row r="119" ht="34" customHeight="1">
      <c r="A119" s="15" t="inlineStr">
        <is>
          <t>SOURCE-118</t>
        </is>
      </c>
      <c r="B119" s="5" t="n"/>
      <c r="C119" s="5" t="n"/>
      <c r="D119" s="5" t="inlineStr">
        <is>
          <t>Pritam</t>
        </is>
      </c>
      <c r="E119" s="5" t="inlineStr">
        <is>
          <t>Wikipedia</t>
        </is>
      </c>
      <c r="F119" s="5" t="n"/>
      <c r="G119" s="5" t="n"/>
      <c r="H119" s="22" t="inlineStr">
        <is>
          <t>https://en.wikipedia.org/wiki/Pritam</t>
        </is>
      </c>
      <c r="I119" s="16" t="n">
        <v>46278</v>
      </c>
      <c r="J119" s="5" t="inlineStr">
        <is>
          <t>Biography, works, style and awards.</t>
        </is>
      </c>
      <c r="K119" s="5" t="inlineStr">
        <is>
          <t>Reference encyclopedia</t>
        </is>
      </c>
      <c r="L119" s="5" t="inlineStr">
        <is>
          <t>C</t>
        </is>
      </c>
      <c r="M119" s="5" t="n"/>
    </row>
    <row r="120" ht="34" customHeight="1">
      <c r="A120" s="15" t="inlineStr">
        <is>
          <t>SOURCE-119</t>
        </is>
      </c>
      <c r="B120" s="5" t="inlineStr">
        <is>
          <t>FILM-049</t>
        </is>
      </c>
      <c r="C120" s="5" t="n"/>
      <c r="D120" s="5" t="inlineStr">
        <is>
          <t>Nitesh Tiwari</t>
        </is>
      </c>
      <c r="E120" s="5" t="inlineStr">
        <is>
          <t>Wikipedia</t>
        </is>
      </c>
      <c r="F120" s="5" t="n"/>
      <c r="G120" s="5" t="n"/>
      <c r="H120" s="22" t="inlineStr">
        <is>
          <t>https://en.wikipedia.org/wiki/Nitesh_Tiwari</t>
        </is>
      </c>
      <c r="I120" s="16" t="n">
        <v>46278</v>
      </c>
      <c r="J120" s="5" t="inlineStr">
        <is>
          <t>Biography, filmography and awards.</t>
        </is>
      </c>
      <c r="K120" s="5" t="inlineStr">
        <is>
          <t>Reference encyclopedia</t>
        </is>
      </c>
      <c r="L120" s="5" t="inlineStr">
        <is>
          <t>C</t>
        </is>
      </c>
      <c r="M120" s="5" t="n"/>
    </row>
    <row r="121" ht="34" customHeight="1">
      <c r="A121" s="15" t="inlineStr">
        <is>
          <t>SOURCE-120</t>
        </is>
      </c>
      <c r="B121" s="5" t="n"/>
      <c r="C121" s="5" t="n"/>
      <c r="D121" s="5" t="inlineStr">
        <is>
          <t>Advait Chandan</t>
        </is>
      </c>
      <c r="E121" s="5" t="inlineStr">
        <is>
          <t>Wikipedia</t>
        </is>
      </c>
      <c r="F121" s="5" t="n"/>
      <c r="G121" s="5" t="n"/>
      <c r="H121" s="22" t="inlineStr">
        <is>
          <t>https://en.wikipedia.org/wiki/Advait_Chandan</t>
        </is>
      </c>
      <c r="I121" s="16" t="n">
        <v>46278</v>
      </c>
      <c r="J121" s="5" t="inlineStr">
        <is>
          <t>Assistant roles on Aamir Khan's films and directing credits.</t>
        </is>
      </c>
      <c r="K121" s="5" t="inlineStr">
        <is>
          <t>Reference encyclopedia</t>
        </is>
      </c>
      <c r="L121" s="5" t="inlineStr">
        <is>
          <t>C</t>
        </is>
      </c>
      <c r="M121" s="5" t="inlineStr">
        <is>
          <t>The career section is flagged as needing additional citations.</t>
        </is>
      </c>
    </row>
    <row r="122" ht="34" customHeight="1">
      <c r="A122" s="15" t="inlineStr">
        <is>
          <t>SOURCE-121</t>
        </is>
      </c>
      <c r="B122" s="5" t="n"/>
      <c r="C122" s="5" t="n"/>
      <c r="D122" s="5" t="inlineStr">
        <is>
          <t>R. S. Prasanna</t>
        </is>
      </c>
      <c r="E122" s="5" t="inlineStr">
        <is>
          <t>Wikipedia</t>
        </is>
      </c>
      <c r="F122" s="5" t="n"/>
      <c r="G122" s="5" t="n"/>
      <c r="H122" s="22" t="inlineStr">
        <is>
          <t>https://en.wikipedia.org/wiki/R._S._Prasanna</t>
        </is>
      </c>
      <c r="I122" s="16" t="n">
        <v>46278</v>
      </c>
      <c r="J122" s="5" t="inlineStr">
        <is>
          <t>Training, debut and Hindi remake.</t>
        </is>
      </c>
      <c r="K122" s="5" t="inlineStr">
        <is>
          <t>Reference encyclopedia</t>
        </is>
      </c>
      <c r="L122" s="5" t="inlineStr">
        <is>
          <t>C</t>
        </is>
      </c>
      <c r="M122" s="5" t="n"/>
    </row>
    <row r="123" ht="34" customHeight="1">
      <c r="A123" s="15" t="inlineStr">
        <is>
          <t>SOURCE-122</t>
        </is>
      </c>
      <c r="B123" s="5" t="n"/>
      <c r="C123" s="5" t="n"/>
      <c r="D123" s="5" t="inlineStr">
        <is>
          <t>Aditya Chopra</t>
        </is>
      </c>
      <c r="E123" s="5" t="inlineStr">
        <is>
          <t>Wikipedia</t>
        </is>
      </c>
      <c r="F123" s="5" t="n"/>
      <c r="G123" s="5" t="n"/>
      <c r="H123" s="22" t="inlineStr">
        <is>
          <t>https://en.wikipedia.org/wiki/Aditya_Chopra</t>
        </is>
      </c>
      <c r="I123" s="16" t="n">
        <v>46303</v>
      </c>
      <c r="J123" s="5" t="inlineStr">
        <is>
          <t>Career background, major works and awards of Aditya Chopra.</t>
        </is>
      </c>
      <c r="K123" s="5" t="inlineStr">
        <is>
          <t>Reference encyclopedia</t>
        </is>
      </c>
      <c r="L123" s="5" t="inlineStr">
        <is>
          <t>C</t>
        </is>
      </c>
      <c r="M123" s="5" t="inlineStr">
        <is>
          <t>Collaborator article; downloaded as raw wikitext.</t>
        </is>
      </c>
    </row>
    <row r="124" ht="34" customHeight="1">
      <c r="A124" s="15" t="inlineStr">
        <is>
          <t>SOURCE-123</t>
        </is>
      </c>
      <c r="B124" s="5" t="n"/>
      <c r="C124" s="5" t="n"/>
      <c r="D124" s="5" t="inlineStr">
        <is>
          <t>Neeraj Vora</t>
        </is>
      </c>
      <c r="E124" s="5" t="inlineStr">
        <is>
          <t>Wikipedia</t>
        </is>
      </c>
      <c r="F124" s="5" t="n"/>
      <c r="G124" s="5" t="n"/>
      <c r="H124" s="22" t="inlineStr">
        <is>
          <t>https://en.wikipedia.org/wiki/Neeraj_Vora</t>
        </is>
      </c>
      <c r="I124" s="16" t="n">
        <v>46303</v>
      </c>
      <c r="J124" s="5" t="inlineStr">
        <is>
          <t>Career background, major works and awards of Neeraj Vora.</t>
        </is>
      </c>
      <c r="K124" s="5" t="inlineStr">
        <is>
          <t>Reference encyclopedia</t>
        </is>
      </c>
      <c r="L124" s="5" t="inlineStr">
        <is>
          <t>C</t>
        </is>
      </c>
      <c r="M124" s="5" t="inlineStr">
        <is>
          <t>Collaborator article; downloaded as raw wikitext.</t>
        </is>
      </c>
    </row>
    <row r="125" ht="34" customHeight="1">
      <c r="A125" s="15" t="inlineStr">
        <is>
          <t>SOURCE-124</t>
        </is>
      </c>
      <c r="B125" s="5" t="n"/>
      <c r="C125" s="5" t="n"/>
      <c r="D125" s="5" t="inlineStr">
        <is>
          <t>Ritesh Sidhwani</t>
        </is>
      </c>
      <c r="E125" s="5" t="inlineStr">
        <is>
          <t>Wikipedia</t>
        </is>
      </c>
      <c r="F125" s="5" t="n"/>
      <c r="G125" s="5" t="n"/>
      <c r="H125" s="22" t="inlineStr">
        <is>
          <t>https://en.wikipedia.org/wiki/Ritesh_Sidhwani</t>
        </is>
      </c>
      <c r="I125" s="16" t="n">
        <v>46303</v>
      </c>
      <c r="J125" s="5" t="inlineStr">
        <is>
          <t>Career background, major works and awards of Ritesh Sidhwani.</t>
        </is>
      </c>
      <c r="K125" s="5" t="inlineStr">
        <is>
          <t>Reference encyclopedia</t>
        </is>
      </c>
      <c r="L125" s="5" t="inlineStr">
        <is>
          <t>C</t>
        </is>
      </c>
      <c r="M125" s="5" t="inlineStr">
        <is>
          <t>Collaborator article; downloaded as raw wikitext.</t>
        </is>
      </c>
    </row>
    <row r="126" ht="34" customHeight="1">
      <c r="A126" s="15" t="inlineStr">
        <is>
          <t>SOURCE-125</t>
        </is>
      </c>
      <c r="B126" s="5" t="n"/>
      <c r="C126" s="5" t="n"/>
      <c r="D126" s="5" t="inlineStr">
        <is>
          <t>Surinder Sodhi</t>
        </is>
      </c>
      <c r="E126" s="5" t="inlineStr">
        <is>
          <t>Wikipedia</t>
        </is>
      </c>
      <c r="F126" s="5" t="n"/>
      <c r="G126" s="5" t="n"/>
      <c r="H126" s="22" t="inlineStr">
        <is>
          <t>https://en.wikipedia.org/wiki/Surinder_Sodhi</t>
        </is>
      </c>
      <c r="I126" s="16" t="n">
        <v>46303</v>
      </c>
      <c r="J126" s="5" t="inlineStr">
        <is>
          <t>Career background, major works and awards of Surinder Sodhi.</t>
        </is>
      </c>
      <c r="K126" s="5" t="inlineStr">
        <is>
          <t>Reference encyclopedia</t>
        </is>
      </c>
      <c r="L126" s="5" t="inlineStr">
        <is>
          <t>C</t>
        </is>
      </c>
      <c r="M126" s="5" t="inlineStr">
        <is>
          <t>Collaborator article; downloaded as raw wikitext.</t>
        </is>
      </c>
    </row>
    <row r="127" ht="34" customHeight="1">
      <c r="A127" s="15" t="inlineStr">
        <is>
          <t>SOURCE-126</t>
        </is>
      </c>
      <c r="B127" s="5" t="n"/>
      <c r="C127" s="5" t="n"/>
      <c r="D127" s="5" t="inlineStr">
        <is>
          <t>Ajay-Atul</t>
        </is>
      </c>
      <c r="E127" s="5" t="inlineStr">
        <is>
          <t>Wikipedia</t>
        </is>
      </c>
      <c r="F127" s="5" t="n"/>
      <c r="G127" s="5" t="n"/>
      <c r="H127" s="22" t="inlineStr">
        <is>
          <t>https://en.wikipedia.org/wiki/Ajay-Atul</t>
        </is>
      </c>
      <c r="I127" s="16" t="n">
        <v>46303</v>
      </c>
      <c r="J127" s="5" t="inlineStr">
        <is>
          <t>Career background of Ajay–Atul, drawn from the article on Ajay-Atul.</t>
        </is>
      </c>
      <c r="K127" s="5" t="inlineStr">
        <is>
          <t>Reference encyclopedia</t>
        </is>
      </c>
      <c r="L127" s="5" t="inlineStr">
        <is>
          <t>C</t>
        </is>
      </c>
      <c r="M127" s="5" t="inlineStr">
        <is>
          <t>Collaborator article; downloaded as raw wikitext.</t>
        </is>
      </c>
    </row>
    <row r="128" ht="34" customHeight="1">
      <c r="A128" s="15" t="inlineStr">
        <is>
          <t>SOURCE-127</t>
        </is>
      </c>
      <c r="B128" s="5" t="n"/>
      <c r="C128" s="5" t="n"/>
      <c r="D128" s="5" t="inlineStr">
        <is>
          <t>Anurag Kashyap</t>
        </is>
      </c>
      <c r="E128" s="5" t="inlineStr">
        <is>
          <t>Wikipedia</t>
        </is>
      </c>
      <c r="F128" s="5" t="n"/>
      <c r="G128" s="5" t="n"/>
      <c r="H128" s="22" t="inlineStr">
        <is>
          <t>https://en.wikipedia.org/wiki/Anurag_Kashyap</t>
        </is>
      </c>
      <c r="I128" s="16" t="n">
        <v>46303</v>
      </c>
      <c r="J128" s="5" t="inlineStr">
        <is>
          <t>Career background, major works and awards of Anurag Kashyap.</t>
        </is>
      </c>
      <c r="K128" s="5" t="inlineStr">
        <is>
          <t>Reference encyclopedia</t>
        </is>
      </c>
      <c r="L128" s="5" t="inlineStr">
        <is>
          <t>C</t>
        </is>
      </c>
      <c r="M128" s="5" t="inlineStr">
        <is>
          <t>Collaborator article; downloaded as raw wikitext.</t>
        </is>
      </c>
    </row>
    <row r="129" ht="34" customHeight="1">
      <c r="A129" s="15" t="inlineStr">
        <is>
          <t>SOURCE-128</t>
        </is>
      </c>
      <c r="B129" s="5" t="n"/>
      <c r="C129" s="5" t="n"/>
      <c r="D129" s="5" t="inlineStr">
        <is>
          <t>Jhamu Sughand</t>
        </is>
      </c>
      <c r="E129" s="5" t="inlineStr">
        <is>
          <t>Wikipedia</t>
        </is>
      </c>
      <c r="F129" s="5" t="n"/>
      <c r="G129" s="5" t="n"/>
      <c r="H129" s="22" t="inlineStr">
        <is>
          <t>https://en.wikipedia.org/wiki/Jhamu_Sughand</t>
        </is>
      </c>
      <c r="I129" s="16" t="n">
        <v>46303</v>
      </c>
      <c r="J129" s="5" t="inlineStr">
        <is>
          <t>Career background, major works and awards of Jhamu Sughand.</t>
        </is>
      </c>
      <c r="K129" s="5" t="inlineStr">
        <is>
          <t>Reference encyclopedia</t>
        </is>
      </c>
      <c r="L129" s="5" t="inlineStr">
        <is>
          <t>C</t>
        </is>
      </c>
      <c r="M129" s="5" t="inlineStr">
        <is>
          <t>Collaborator article; downloaded as raw wikitext.</t>
        </is>
      </c>
    </row>
    <row r="130" ht="34" customHeight="1">
      <c r="A130" s="15" t="inlineStr">
        <is>
          <t>SOURCE-129</t>
        </is>
      </c>
      <c r="B130" s="5" t="n"/>
      <c r="C130" s="5" t="n"/>
      <c r="D130" s="5" t="inlineStr">
        <is>
          <t>Kamlesh Pandey</t>
        </is>
      </c>
      <c r="E130" s="5" t="inlineStr">
        <is>
          <t>Wikipedia</t>
        </is>
      </c>
      <c r="F130" s="5" t="n"/>
      <c r="G130" s="5" t="n"/>
      <c r="H130" s="22" t="inlineStr">
        <is>
          <t>https://en.wikipedia.org/wiki/Kamlesh_Pandey</t>
        </is>
      </c>
      <c r="I130" s="16" t="n">
        <v>46303</v>
      </c>
      <c r="J130" s="5" t="inlineStr">
        <is>
          <t>Career background, major works and awards of Kamlesh Pandey.</t>
        </is>
      </c>
      <c r="K130" s="5" t="inlineStr">
        <is>
          <t>Reference encyclopedia</t>
        </is>
      </c>
      <c r="L130" s="5" t="inlineStr">
        <is>
          <t>C</t>
        </is>
      </c>
      <c r="M130" s="5" t="inlineStr">
        <is>
          <t>Collaborator article; downloaded as raw wikitext.</t>
        </is>
      </c>
    </row>
    <row r="131" ht="34" customHeight="1">
      <c r="A131" s="15" t="inlineStr">
        <is>
          <t>SOURCE-130</t>
        </is>
      </c>
      <c r="B131" s="5" t="n"/>
      <c r="C131" s="5" t="n"/>
      <c r="D131" s="5" t="inlineStr">
        <is>
          <t>Sanjay Chhel</t>
        </is>
      </c>
      <c r="E131" s="5" t="inlineStr">
        <is>
          <t>Wikipedia</t>
        </is>
      </c>
      <c r="F131" s="5" t="n"/>
      <c r="G131" s="5" t="n"/>
      <c r="H131" s="22" t="inlineStr">
        <is>
          <t>https://en.wikipedia.org/wiki/Sanjay_Chhel</t>
        </is>
      </c>
      <c r="I131" s="16" t="n">
        <v>46303</v>
      </c>
      <c r="J131" s="5" t="inlineStr">
        <is>
          <t>Career background, major works and awards of Sanjay Chhel.</t>
        </is>
      </c>
      <c r="K131" s="5" t="inlineStr">
        <is>
          <t>Reference encyclopedia</t>
        </is>
      </c>
      <c r="L131" s="5" t="inlineStr">
        <is>
          <t>C</t>
        </is>
      </c>
      <c r="M131" s="5" t="inlineStr">
        <is>
          <t>Collaborator article; downloaded as raw wikitext.</t>
        </is>
      </c>
    </row>
    <row r="132" ht="34" customHeight="1">
      <c r="A132" s="15" t="inlineStr">
        <is>
          <t>SOURCE-131</t>
        </is>
      </c>
      <c r="B132" s="5" t="n"/>
      <c r="C132" s="5" t="n"/>
      <c r="D132" s="5" t="inlineStr">
        <is>
          <t>T-Series (company)</t>
        </is>
      </c>
      <c r="E132" s="5" t="inlineStr">
        <is>
          <t>Wikipedia</t>
        </is>
      </c>
      <c r="F132" s="5" t="n"/>
      <c r="G132" s="5" t="n"/>
      <c r="H132" s="22" t="inlineStr">
        <is>
          <t>https://en.wikipedia.org/wiki/T-Series_(company)</t>
        </is>
      </c>
      <c r="I132" s="16" t="n">
        <v>46303</v>
      </c>
      <c r="J132" s="5" t="inlineStr">
        <is>
          <t>Career background of T-Series, drawn from the article on T-Series (company).</t>
        </is>
      </c>
      <c r="K132" s="5" t="inlineStr">
        <is>
          <t>Reference encyclopedia</t>
        </is>
      </c>
      <c r="L132" s="5" t="inlineStr">
        <is>
          <t>C</t>
        </is>
      </c>
      <c r="M132" s="5" t="inlineStr">
        <is>
          <t>Collaborator article; downloaded as raw wikitext.</t>
        </is>
      </c>
    </row>
    <row r="133" ht="34" customHeight="1">
      <c r="A133" s="15" t="inlineStr">
        <is>
          <t>SOURCE-132</t>
        </is>
      </c>
      <c r="B133" s="5" t="n"/>
      <c r="C133" s="5" t="n"/>
      <c r="D133" s="5" t="inlineStr">
        <is>
          <t>UTV Motion Pictures</t>
        </is>
      </c>
      <c r="E133" s="5" t="inlineStr">
        <is>
          <t>Wikipedia</t>
        </is>
      </c>
      <c r="F133" s="5" t="n"/>
      <c r="G133" s="5" t="n"/>
      <c r="H133" s="22" t="inlineStr">
        <is>
          <t>https://en.wikipedia.org/wiki/UTV_Motion_Pictures</t>
        </is>
      </c>
      <c r="I133" s="16" t="n">
        <v>46303</v>
      </c>
      <c r="J133" s="5" t="inlineStr">
        <is>
          <t>Career background, major works and awards of UTV Motion Pictures.</t>
        </is>
      </c>
      <c r="K133" s="5" t="inlineStr">
        <is>
          <t>Reference encyclopedia</t>
        </is>
      </c>
      <c r="L133" s="5" t="inlineStr">
        <is>
          <t>C</t>
        </is>
      </c>
      <c r="M133" s="5" t="inlineStr">
        <is>
          <t>Collaborator article; downloaded as raw wikitext.</t>
        </is>
      </c>
    </row>
    <row r="134" ht="34" customHeight="1">
      <c r="A134" s="15" t="inlineStr">
        <is>
          <t>SOURCE-133</t>
        </is>
      </c>
      <c r="B134" s="5" t="n"/>
      <c r="C134" s="5" t="n"/>
      <c r="D134" s="5" t="inlineStr">
        <is>
          <t>Ishtar Music</t>
        </is>
      </c>
      <c r="E134" s="5" t="inlineStr">
        <is>
          <t>Wikipedia</t>
        </is>
      </c>
      <c r="F134" s="5" t="n"/>
      <c r="G134" s="5" t="n"/>
      <c r="H134" s="22" t="inlineStr">
        <is>
          <t>https://en.wikipedia.org/wiki/Ishtar_Music</t>
        </is>
      </c>
      <c r="I134" s="16" t="n">
        <v>46303</v>
      </c>
      <c r="J134" s="5" t="inlineStr">
        <is>
          <t>Career background of Venus Movies, drawn from the article on Ishtar Music.</t>
        </is>
      </c>
      <c r="K134" s="5" t="inlineStr">
        <is>
          <t>Reference encyclopedia</t>
        </is>
      </c>
      <c r="L134" s="5" t="inlineStr">
        <is>
          <t>C</t>
        </is>
      </c>
      <c r="M134" s="5" t="inlineStr">
        <is>
          <t>Collaborator article; downloaded as raw wikitext.</t>
        </is>
      </c>
    </row>
    <row r="135" ht="34" customHeight="1">
      <c r="A135" s="15" t="inlineStr">
        <is>
          <t>SOURCE-134</t>
        </is>
      </c>
      <c r="B135" s="5" t="n"/>
      <c r="C135" s="5" t="n"/>
      <c r="D135" s="5" t="inlineStr">
        <is>
          <t>Vinod Chopra Films</t>
        </is>
      </c>
      <c r="E135" s="5" t="inlineStr">
        <is>
          <t>Wikipedia</t>
        </is>
      </c>
      <c r="F135" s="5" t="n"/>
      <c r="G135" s="5" t="n"/>
      <c r="H135" s="22" t="inlineStr">
        <is>
          <t>https://en.wikipedia.org/wiki/Vinod_Chopra_Films</t>
        </is>
      </c>
      <c r="I135" s="16" t="n">
        <v>46303</v>
      </c>
      <c r="J135" s="5" t="inlineStr">
        <is>
          <t>Career background, major works and awards of Vinod Chopra Films.</t>
        </is>
      </c>
      <c r="K135" s="5" t="inlineStr">
        <is>
          <t>Reference encyclopedia</t>
        </is>
      </c>
      <c r="L135" s="5" t="inlineStr">
        <is>
          <t>C</t>
        </is>
      </c>
      <c r="M135" s="5" t="inlineStr">
        <is>
          <t>Collaborator article; downloaded as raw wikitext.</t>
        </is>
      </c>
    </row>
    <row r="136" ht="34" customHeight="1">
      <c r="A136" s="15" t="inlineStr">
        <is>
          <t>SOURCE-135</t>
        </is>
      </c>
      <c r="B136" s="5" t="n"/>
      <c r="C136" s="5" t="n"/>
      <c r="D136" s="5" t="inlineStr">
        <is>
          <t>Vishesh Films</t>
        </is>
      </c>
      <c r="E136" s="5" t="inlineStr">
        <is>
          <t>Wikipedia</t>
        </is>
      </c>
      <c r="F136" s="5" t="n"/>
      <c r="G136" s="5" t="n"/>
      <c r="H136" s="22" t="inlineStr">
        <is>
          <t>https://en.wikipedia.org/wiki/Vishesh_Films</t>
        </is>
      </c>
      <c r="I136" s="16" t="n">
        <v>46303</v>
      </c>
      <c r="J136" s="5" t="inlineStr">
        <is>
          <t>Career background, major works and awards of Vishesh Films.</t>
        </is>
      </c>
      <c r="K136" s="5" t="inlineStr">
        <is>
          <t>Reference encyclopedia</t>
        </is>
      </c>
      <c r="L136" s="5" t="inlineStr">
        <is>
          <t>C</t>
        </is>
      </c>
      <c r="M136" s="5" t="inlineStr">
        <is>
          <t>Collaborator article; downloaded as raw wikitext.</t>
        </is>
      </c>
    </row>
    <row r="137" ht="34" customHeight="1">
      <c r="A137" s="15" t="inlineStr">
        <is>
          <t>SOURCE-136</t>
        </is>
      </c>
      <c r="B137" s="5" t="n"/>
      <c r="C137" s="5" t="n"/>
      <c r="D137" s="5" t="inlineStr">
        <is>
          <t>Yash Chopra</t>
        </is>
      </c>
      <c r="E137" s="5" t="inlineStr">
        <is>
          <t>Wikipedia</t>
        </is>
      </c>
      <c r="F137" s="5" t="n"/>
      <c r="G137" s="5" t="n"/>
      <c r="H137" s="22" t="inlineStr">
        <is>
          <t>https://en.wikipedia.org/wiki/Yash_Chopra</t>
        </is>
      </c>
      <c r="I137" s="16" t="n">
        <v>46303</v>
      </c>
      <c r="J137" s="5" t="inlineStr">
        <is>
          <t>Career background, major works and awards of Yash Chopra.</t>
        </is>
      </c>
      <c r="K137" s="5" t="inlineStr">
        <is>
          <t>Reference encyclopedia</t>
        </is>
      </c>
      <c r="L137" s="5" t="inlineStr">
        <is>
          <t>C</t>
        </is>
      </c>
      <c r="M137" s="5" t="inlineStr">
        <is>
          <t>Collaborator article; downloaded as raw wikitext.</t>
        </is>
      </c>
    </row>
    <row r="138" ht="34" customHeight="1">
      <c r="A138" s="15" t="inlineStr">
        <is>
          <t>SOURCE-137</t>
        </is>
      </c>
      <c r="B138" s="5" t="n"/>
      <c r="C138" s="5" t="n"/>
      <c r="D138" s="5" t="inlineStr">
        <is>
          <t>Aadesh Shrivastava</t>
        </is>
      </c>
      <c r="E138" s="5" t="inlineStr">
        <is>
          <t>Wikipedia</t>
        </is>
      </c>
      <c r="F138" s="5" t="n"/>
      <c r="G138" s="5" t="n"/>
      <c r="H138" s="22" t="inlineStr">
        <is>
          <t>https://en.wikipedia.org/wiki/Aadesh_Shrivastava</t>
        </is>
      </c>
      <c r="I138" s="16" t="n">
        <v>46303</v>
      </c>
      <c r="J138" s="5" t="inlineStr">
        <is>
          <t>Career background, major works and awards of Aadesh Shrivastava.</t>
        </is>
      </c>
      <c r="K138" s="5" t="inlineStr">
        <is>
          <t>Reference encyclopedia</t>
        </is>
      </c>
      <c r="L138" s="5" t="inlineStr">
        <is>
          <t>C</t>
        </is>
      </c>
      <c r="M138" s="5" t="inlineStr">
        <is>
          <t>Collaborator article; downloaded as raw wikitext.</t>
        </is>
      </c>
    </row>
    <row r="139" ht="34" customHeight="1">
      <c r="A139" s="15" t="inlineStr">
        <is>
          <t>SOURCE-138</t>
        </is>
      </c>
      <c r="B139" s="5" t="n"/>
      <c r="C139" s="5" t="n"/>
      <c r="D139" s="5" t="inlineStr">
        <is>
          <t>Abhinay Deo</t>
        </is>
      </c>
      <c r="E139" s="5" t="inlineStr">
        <is>
          <t>Wikipedia</t>
        </is>
      </c>
      <c r="F139" s="5" t="n"/>
      <c r="G139" s="5" t="n"/>
      <c r="H139" s="22" t="inlineStr">
        <is>
          <t>https://en.wikipedia.org/wiki/Abhinay_Deo</t>
        </is>
      </c>
      <c r="I139" s="16" t="n">
        <v>46303</v>
      </c>
      <c r="J139" s="5" t="inlineStr">
        <is>
          <t>Career background, major works and awards of Abhinay Deo.</t>
        </is>
      </c>
      <c r="K139" s="5" t="inlineStr">
        <is>
          <t>Reference encyclopedia</t>
        </is>
      </c>
      <c r="L139" s="5" t="inlineStr">
        <is>
          <t>C</t>
        </is>
      </c>
      <c r="M139" s="5" t="inlineStr">
        <is>
          <t>Collaborator article; downloaded as raw wikitext.</t>
        </is>
      </c>
    </row>
    <row r="140" ht="34" customHeight="1">
      <c r="A140" s="15" t="inlineStr">
        <is>
          <t>SOURCE-139</t>
        </is>
      </c>
      <c r="B140" s="5" t="n"/>
      <c r="C140" s="5" t="n"/>
      <c r="D140" s="5" t="inlineStr">
        <is>
          <t>Ajit Andhare</t>
        </is>
      </c>
      <c r="E140" s="5" t="inlineStr">
        <is>
          <t>Wikipedia</t>
        </is>
      </c>
      <c r="F140" s="5" t="n"/>
      <c r="G140" s="5" t="n"/>
      <c r="H140" s="22" t="inlineStr">
        <is>
          <t>https://en.wikipedia.org/wiki/Ajit_Andhare</t>
        </is>
      </c>
      <c r="I140" s="16" t="n">
        <v>46303</v>
      </c>
      <c r="J140" s="5" t="inlineStr">
        <is>
          <t>Career background, major works and awards of Ajit Andhare.</t>
        </is>
      </c>
      <c r="K140" s="5" t="inlineStr">
        <is>
          <t>Reference encyclopedia</t>
        </is>
      </c>
      <c r="L140" s="5" t="inlineStr">
        <is>
          <t>C</t>
        </is>
      </c>
      <c r="M140" s="5" t="inlineStr">
        <is>
          <t>Collaborator article; downloaded as raw wikitext.</t>
        </is>
      </c>
    </row>
    <row r="141" ht="34" customHeight="1">
      <c r="A141" s="15" t="inlineStr">
        <is>
          <t>SOURCE-140</t>
        </is>
      </c>
      <c r="B141" s="5" t="n"/>
      <c r="C141" s="5" t="n"/>
      <c r="D141" s="5" t="inlineStr">
        <is>
          <t>Akshat Verma</t>
        </is>
      </c>
      <c r="E141" s="5" t="inlineStr">
        <is>
          <t>Wikipedia</t>
        </is>
      </c>
      <c r="F141" s="5" t="n"/>
      <c r="G141" s="5" t="n"/>
      <c r="H141" s="22" t="inlineStr">
        <is>
          <t>https://en.wikipedia.org/wiki/Akshat_Verma</t>
        </is>
      </c>
      <c r="I141" s="16" t="n">
        <v>46303</v>
      </c>
      <c r="J141" s="5" t="inlineStr">
        <is>
          <t>Career background, major works and awards of Akshat Verma.</t>
        </is>
      </c>
      <c r="K141" s="5" t="inlineStr">
        <is>
          <t>Reference encyclopedia</t>
        </is>
      </c>
      <c r="L141" s="5" t="inlineStr">
        <is>
          <t>C</t>
        </is>
      </c>
      <c r="M141" s="5" t="inlineStr">
        <is>
          <t>Collaborator article; downloaded as raw wikitext.</t>
        </is>
      </c>
    </row>
    <row r="142" ht="34" customHeight="1">
      <c r="A142" s="15" t="inlineStr">
        <is>
          <t>SOURCE-141</t>
        </is>
      </c>
      <c r="B142" s="5" t="n"/>
      <c r="C142" s="5" t="n"/>
      <c r="D142" s="5" t="inlineStr">
        <is>
          <t>Allu Aravind</t>
        </is>
      </c>
      <c r="E142" s="5" t="inlineStr">
        <is>
          <t>Wikipedia</t>
        </is>
      </c>
      <c r="F142" s="5" t="n"/>
      <c r="G142" s="5" t="n"/>
      <c r="H142" s="22" t="inlineStr">
        <is>
          <t>https://en.wikipedia.org/wiki/Allu_Aravind</t>
        </is>
      </c>
      <c r="I142" s="16" t="n">
        <v>46303</v>
      </c>
      <c r="J142" s="5" t="inlineStr">
        <is>
          <t>Career background, major works and awards of Allu Aravind.</t>
        </is>
      </c>
      <c r="K142" s="5" t="inlineStr">
        <is>
          <t>Reference encyclopedia</t>
        </is>
      </c>
      <c r="L142" s="5" t="inlineStr">
        <is>
          <t>C</t>
        </is>
      </c>
      <c r="M142" s="5" t="inlineStr">
        <is>
          <t>Collaborator article; downloaded as raw wikitext.</t>
        </is>
      </c>
    </row>
    <row r="143" ht="34" customHeight="1">
      <c r="A143" s="15" t="inlineStr">
        <is>
          <t>SOURCE-142</t>
        </is>
      </c>
      <c r="B143" s="5" t="n"/>
      <c r="C143" s="5" t="n"/>
      <c r="D143" s="5" t="inlineStr">
        <is>
          <t>Amaal Mallik</t>
        </is>
      </c>
      <c r="E143" s="5" t="inlineStr">
        <is>
          <t>Wikipedia</t>
        </is>
      </c>
      <c r="F143" s="5" t="n"/>
      <c r="G143" s="5" t="n"/>
      <c r="H143" s="22" t="inlineStr">
        <is>
          <t>https://en.wikipedia.org/wiki/Amaal_Mallik</t>
        </is>
      </c>
      <c r="I143" s="16" t="n">
        <v>46303</v>
      </c>
      <c r="J143" s="5" t="inlineStr">
        <is>
          <t>Career background, major works and awards of Amaal Mallik.</t>
        </is>
      </c>
      <c r="K143" s="5" t="inlineStr">
        <is>
          <t>Reference encyclopedia</t>
        </is>
      </c>
      <c r="L143" s="5" t="inlineStr">
        <is>
          <t>C</t>
        </is>
      </c>
      <c r="M143" s="5" t="inlineStr">
        <is>
          <t>Collaborator article; downloaded as raw wikitext.</t>
        </is>
      </c>
    </row>
    <row r="144" ht="34" customHeight="1">
      <c r="A144" s="15" t="inlineStr">
        <is>
          <t>SOURCE-143</t>
        </is>
      </c>
      <c r="B144" s="5" t="n"/>
      <c r="C144" s="5" t="n"/>
      <c r="D144" s="5" t="inlineStr">
        <is>
          <t>Amar Haldipur</t>
        </is>
      </c>
      <c r="E144" s="5" t="inlineStr">
        <is>
          <t>Wikipedia</t>
        </is>
      </c>
      <c r="F144" s="5" t="n"/>
      <c r="G144" s="5" t="n"/>
      <c r="H144" s="22" t="inlineStr">
        <is>
          <t>https://en.wikipedia.org/wiki/Amar_Haldipur</t>
        </is>
      </c>
      <c r="I144" s="16" t="n">
        <v>46303</v>
      </c>
      <c r="J144" s="5" t="inlineStr">
        <is>
          <t>Career background, major works and awards of Amar Haldipur.</t>
        </is>
      </c>
      <c r="K144" s="5" t="inlineStr">
        <is>
          <t>Reference encyclopedia</t>
        </is>
      </c>
      <c r="L144" s="5" t="inlineStr">
        <is>
          <t>C</t>
        </is>
      </c>
      <c r="M144" s="5" t="inlineStr">
        <is>
          <t>Collaborator article; downloaded as raw wikitext.</t>
        </is>
      </c>
    </row>
    <row r="145" ht="34" customHeight="1">
      <c r="A145" s="15" t="inlineStr">
        <is>
          <t>SOURCE-144</t>
        </is>
      </c>
      <c r="B145" s="5" t="n"/>
      <c r="C145" s="5" t="n"/>
      <c r="D145" s="5" t="inlineStr">
        <is>
          <t>Amole Gupte</t>
        </is>
      </c>
      <c r="E145" s="5" t="inlineStr">
        <is>
          <t>Wikipedia</t>
        </is>
      </c>
      <c r="F145" s="5" t="n"/>
      <c r="G145" s="5" t="n"/>
      <c r="H145" s="22" t="inlineStr">
        <is>
          <t>https://en.wikipedia.org/wiki/Amole_Gupte</t>
        </is>
      </c>
      <c r="I145" s="16" t="n">
        <v>46303</v>
      </c>
      <c r="J145" s="5" t="inlineStr">
        <is>
          <t>Career background, major works and awards of Amole Gupte.</t>
        </is>
      </c>
      <c r="K145" s="5" t="inlineStr">
        <is>
          <t>Reference encyclopedia</t>
        </is>
      </c>
      <c r="L145" s="5" t="inlineStr">
        <is>
          <t>C</t>
        </is>
      </c>
      <c r="M145" s="5" t="inlineStr">
        <is>
          <t>Collaborator article; downloaded as raw wikitext.</t>
        </is>
      </c>
    </row>
    <row r="146" ht="34" customHeight="1">
      <c r="A146" s="15" t="inlineStr">
        <is>
          <t>SOURCE-145</t>
        </is>
      </c>
      <c r="B146" s="5" t="n"/>
      <c r="C146" s="5" t="n"/>
      <c r="D146" s="5" t="inlineStr">
        <is>
          <t>Anirudh Ravichander</t>
        </is>
      </c>
      <c r="E146" s="5" t="inlineStr">
        <is>
          <t>Wikipedia</t>
        </is>
      </c>
      <c r="F146" s="5" t="n"/>
      <c r="G146" s="5" t="n"/>
      <c r="H146" s="22" t="inlineStr">
        <is>
          <t>https://en.wikipedia.org/wiki/Anirudh_Ravichander</t>
        </is>
      </c>
      <c r="I146" s="16" t="n">
        <v>46303</v>
      </c>
      <c r="J146" s="5" t="inlineStr">
        <is>
          <t>Career background, major works and awards of Anirudh Ravichander.</t>
        </is>
      </c>
      <c r="K146" s="5" t="inlineStr">
        <is>
          <t>Reference encyclopedia</t>
        </is>
      </c>
      <c r="L146" s="5" t="inlineStr">
        <is>
          <t>C</t>
        </is>
      </c>
      <c r="M146" s="5" t="inlineStr">
        <is>
          <t>Collaborator article; downloaded as raw wikitext.</t>
        </is>
      </c>
    </row>
    <row r="147" ht="34" customHeight="1">
      <c r="A147" s="15" t="inlineStr">
        <is>
          <t>SOURCE-146</t>
        </is>
      </c>
      <c r="B147" s="5" t="n"/>
      <c r="C147" s="5" t="n"/>
      <c r="D147" s="5" t="inlineStr">
        <is>
          <t>Anjum Rajabali</t>
        </is>
      </c>
      <c r="E147" s="5" t="inlineStr">
        <is>
          <t>Wikipedia</t>
        </is>
      </c>
      <c r="F147" s="5" t="n"/>
      <c r="G147" s="5" t="n"/>
      <c r="H147" s="22" t="inlineStr">
        <is>
          <t>https://en.wikipedia.org/wiki/Anjum_Rajabali</t>
        </is>
      </c>
      <c r="I147" s="16" t="n">
        <v>46303</v>
      </c>
      <c r="J147" s="5" t="inlineStr">
        <is>
          <t>Career background, major works and awards of Anjum Rajabali.</t>
        </is>
      </c>
      <c r="K147" s="5" t="inlineStr">
        <is>
          <t>Reference encyclopedia</t>
        </is>
      </c>
      <c r="L147" s="5" t="inlineStr">
        <is>
          <t>C</t>
        </is>
      </c>
      <c r="M147" s="5" t="inlineStr">
        <is>
          <t>Collaborator article; downloaded as raw wikitext.</t>
        </is>
      </c>
    </row>
    <row r="148" ht="34" customHeight="1">
      <c r="A148" s="15" t="inlineStr">
        <is>
          <t>SOURCE-147</t>
        </is>
      </c>
      <c r="B148" s="5" t="n"/>
      <c r="C148" s="5" t="n"/>
      <c r="D148" s="5" t="inlineStr">
        <is>
          <t>Ankit Tiwari</t>
        </is>
      </c>
      <c r="E148" s="5" t="inlineStr">
        <is>
          <t>Wikipedia</t>
        </is>
      </c>
      <c r="F148" s="5" t="n"/>
      <c r="G148" s="5" t="n"/>
      <c r="H148" s="22" t="inlineStr">
        <is>
          <t>https://en.wikipedia.org/wiki/Ankit_Tiwari</t>
        </is>
      </c>
      <c r="I148" s="16" t="n">
        <v>46303</v>
      </c>
      <c r="J148" s="5" t="inlineStr">
        <is>
          <t>Career background, major works and awards of Ankit Tiwari.</t>
        </is>
      </c>
      <c r="K148" s="5" t="inlineStr">
        <is>
          <t>Reference encyclopedia</t>
        </is>
      </c>
      <c r="L148" s="5" t="inlineStr">
        <is>
          <t>C</t>
        </is>
      </c>
      <c r="M148" s="5" t="inlineStr">
        <is>
          <t>Collaborator article; downloaded as raw wikitext.</t>
        </is>
      </c>
    </row>
    <row r="149" ht="34" customHeight="1">
      <c r="A149" s="15" t="inlineStr">
        <is>
          <t>SOURCE-148</t>
        </is>
      </c>
      <c r="B149" s="5" t="n"/>
      <c r="C149" s="5" t="n"/>
      <c r="D149" s="5" t="inlineStr">
        <is>
          <t>Arun Bhatt</t>
        </is>
      </c>
      <c r="E149" s="5" t="inlineStr">
        <is>
          <t>Wikipedia</t>
        </is>
      </c>
      <c r="F149" s="5" t="n"/>
      <c r="G149" s="5" t="n"/>
      <c r="H149" s="22" t="inlineStr">
        <is>
          <t>https://en.wikipedia.org/wiki/Arun_Bhatt</t>
        </is>
      </c>
      <c r="I149" s="16" t="n">
        <v>46303</v>
      </c>
      <c r="J149" s="5" t="inlineStr">
        <is>
          <t>Career background, major works and awards of Arun Bhatt.</t>
        </is>
      </c>
      <c r="K149" s="5" t="inlineStr">
        <is>
          <t>Reference encyclopedia</t>
        </is>
      </c>
      <c r="L149" s="5" t="inlineStr">
        <is>
          <t>C</t>
        </is>
      </c>
      <c r="M149" s="5" t="inlineStr">
        <is>
          <t>Collaborator article; downloaded as raw wikitext.</t>
        </is>
      </c>
    </row>
    <row r="150" ht="34" customHeight="1">
      <c r="A150" s="15" t="inlineStr">
        <is>
          <t>SOURCE-149</t>
        </is>
      </c>
      <c r="B150" s="5" t="n"/>
      <c r="C150" s="5" t="n"/>
      <c r="D150" s="5" t="inlineStr">
        <is>
          <t>Atul Kulkarni</t>
        </is>
      </c>
      <c r="E150" s="5" t="inlineStr">
        <is>
          <t>Wikipedia</t>
        </is>
      </c>
      <c r="F150" s="5" t="n"/>
      <c r="G150" s="5" t="n"/>
      <c r="H150" s="22" t="inlineStr">
        <is>
          <t>https://en.wikipedia.org/wiki/Atul_Kulkarni</t>
        </is>
      </c>
      <c r="I150" s="16" t="n">
        <v>46303</v>
      </c>
      <c r="J150" s="5" t="inlineStr">
        <is>
          <t>Career background, major works and awards of Atul Kulkarni.</t>
        </is>
      </c>
      <c r="K150" s="5" t="inlineStr">
        <is>
          <t>Reference encyclopedia</t>
        </is>
      </c>
      <c r="L150" s="5" t="inlineStr">
        <is>
          <t>C</t>
        </is>
      </c>
      <c r="M150" s="5" t="inlineStr">
        <is>
          <t>Collaborator article; downloaded as raw wikitext.</t>
        </is>
      </c>
    </row>
    <row r="151" ht="34" customHeight="1">
      <c r="A151" s="15" t="inlineStr">
        <is>
          <t>SOURCE-150</t>
        </is>
      </c>
      <c r="B151" s="5" t="n"/>
      <c r="C151" s="5" t="n"/>
      <c r="D151" s="5" t="inlineStr">
        <is>
          <t>Babbar Subhash</t>
        </is>
      </c>
      <c r="E151" s="5" t="inlineStr">
        <is>
          <t>Wikipedia</t>
        </is>
      </c>
      <c r="F151" s="5" t="n"/>
      <c r="G151" s="5" t="n"/>
      <c r="H151" s="22" t="inlineStr">
        <is>
          <t>https://en.wikipedia.org/wiki/Babbar_Subhash</t>
        </is>
      </c>
      <c r="I151" s="16" t="n">
        <v>46303</v>
      </c>
      <c r="J151" s="5" t="inlineStr">
        <is>
          <t>Career background, major works and awards of Babbar Subhash.</t>
        </is>
      </c>
      <c r="K151" s="5" t="inlineStr">
        <is>
          <t>Reference encyclopedia</t>
        </is>
      </c>
      <c r="L151" s="5" t="inlineStr">
        <is>
          <t>C</t>
        </is>
      </c>
      <c r="M151" s="5" t="inlineStr">
        <is>
          <t>Collaborator article; downloaded as raw wikitext.</t>
        </is>
      </c>
    </row>
    <row r="152" ht="34" customHeight="1">
      <c r="A152" s="15" t="inlineStr">
        <is>
          <t>SOURCE-151</t>
        </is>
      </c>
      <c r="B152" s="5" t="n"/>
      <c r="C152" s="5" t="n"/>
      <c r="D152" s="5" t="inlineStr">
        <is>
          <t>Bhushan Kumar</t>
        </is>
      </c>
      <c r="E152" s="5" t="inlineStr">
        <is>
          <t>Wikipedia</t>
        </is>
      </c>
      <c r="F152" s="5" t="n"/>
      <c r="G152" s="5" t="n"/>
      <c r="H152" s="22" t="inlineStr">
        <is>
          <t>https://en.wikipedia.org/wiki/Bhushan_Kumar</t>
        </is>
      </c>
      <c r="I152" s="16" t="n">
        <v>46303</v>
      </c>
      <c r="J152" s="5" t="inlineStr">
        <is>
          <t>Career background, major works and awards of Bhushan Kumar.</t>
        </is>
      </c>
      <c r="K152" s="5" t="inlineStr">
        <is>
          <t>Reference encyclopedia</t>
        </is>
      </c>
      <c r="L152" s="5" t="inlineStr">
        <is>
          <t>C</t>
        </is>
      </c>
      <c r="M152" s="5" t="inlineStr">
        <is>
          <t>Collaborator article; downloaded as raw wikitext.</t>
        </is>
      </c>
    </row>
    <row r="153" ht="34" customHeight="1">
      <c r="A153" s="15" t="inlineStr">
        <is>
          <t>SOURCE-152</t>
        </is>
      </c>
      <c r="B153" s="5" t="n"/>
      <c r="C153" s="5" t="n"/>
      <c r="D153" s="5" t="inlineStr">
        <is>
          <t>Kaleidoscope Entertainment</t>
        </is>
      </c>
      <c r="E153" s="5" t="inlineStr">
        <is>
          <t>Wikipedia</t>
        </is>
      </c>
      <c r="F153" s="5" t="n"/>
      <c r="G153" s="5" t="n"/>
      <c r="H153" s="22" t="inlineStr">
        <is>
          <t>https://en.wikipedia.org/wiki/Kaleidoscope_Entertainment</t>
        </is>
      </c>
      <c r="I153" s="16" t="n">
        <v>46303</v>
      </c>
      <c r="J153" s="5" t="inlineStr">
        <is>
          <t>Career background of Bobby Bedi, drawn from the article on Kaleidoscope Entertainment.</t>
        </is>
      </c>
      <c r="K153" s="5" t="inlineStr">
        <is>
          <t>Reference encyclopedia</t>
        </is>
      </c>
      <c r="L153" s="5" t="inlineStr">
        <is>
          <t>C</t>
        </is>
      </c>
      <c r="M153" s="5" t="inlineStr">
        <is>
          <t>Collaborator article; downloaded as raw wikitext.</t>
        </is>
      </c>
    </row>
    <row r="154" ht="34" customHeight="1">
      <c r="A154" s="15" t="inlineStr">
        <is>
          <t>SOURCE-153</t>
        </is>
      </c>
      <c r="B154" s="5" t="n"/>
      <c r="C154" s="5" t="n"/>
      <c r="D154" s="5" t="inlineStr">
        <is>
          <t>Champak Jain</t>
        </is>
      </c>
      <c r="E154" s="5" t="inlineStr">
        <is>
          <t>Wikipedia</t>
        </is>
      </c>
      <c r="F154" s="5" t="n"/>
      <c r="G154" s="5" t="n"/>
      <c r="H154" s="22" t="inlineStr">
        <is>
          <t>https://en.wikipedia.org/wiki/Champak_Jain</t>
        </is>
      </c>
      <c r="I154" s="16" t="n">
        <v>46303</v>
      </c>
      <c r="J154" s="5" t="inlineStr">
        <is>
          <t>Career background, major works and awards of Champak Jain.</t>
        </is>
      </c>
      <c r="K154" s="5" t="inlineStr">
        <is>
          <t>Reference encyclopedia</t>
        </is>
      </c>
      <c r="L154" s="5" t="inlineStr">
        <is>
          <t>C</t>
        </is>
      </c>
      <c r="M154" s="5" t="inlineStr">
        <is>
          <t>Collaborator article; downloaded as raw wikitext.</t>
        </is>
      </c>
    </row>
    <row r="155" ht="34" customHeight="1">
      <c r="A155" s="15" t="inlineStr">
        <is>
          <t>SOURCE-154</t>
        </is>
      </c>
      <c r="B155" s="5" t="n"/>
      <c r="C155" s="5" t="n"/>
      <c r="D155" s="5" t="inlineStr">
        <is>
          <t>Deepa Sahi</t>
        </is>
      </c>
      <c r="E155" s="5" t="inlineStr">
        <is>
          <t>Wikipedia</t>
        </is>
      </c>
      <c r="F155" s="5" t="n"/>
      <c r="G155" s="5" t="n"/>
      <c r="H155" s="22" t="inlineStr">
        <is>
          <t>https://en.wikipedia.org/wiki/Deepa_Sahi</t>
        </is>
      </c>
      <c r="I155" s="16" t="n">
        <v>46303</v>
      </c>
      <c r="J155" s="5" t="inlineStr">
        <is>
          <t>Career background, major works and awards of Deepa Sahi.</t>
        </is>
      </c>
      <c r="K155" s="5" t="inlineStr">
        <is>
          <t>Reference encyclopedia</t>
        </is>
      </c>
      <c r="L155" s="5" t="inlineStr">
        <is>
          <t>C</t>
        </is>
      </c>
      <c r="M155" s="5" t="inlineStr">
        <is>
          <t>Collaborator article; downloaded as raw wikitext.</t>
        </is>
      </c>
    </row>
    <row r="156" ht="34" customHeight="1">
      <c r="A156" s="15" t="inlineStr">
        <is>
          <t>SOURCE-155</t>
        </is>
      </c>
      <c r="B156" s="5" t="n"/>
      <c r="C156" s="5" t="n"/>
      <c r="D156" s="5" t="inlineStr">
        <is>
          <t>Dev Anand</t>
        </is>
      </c>
      <c r="E156" s="5" t="inlineStr">
        <is>
          <t>Wikipedia</t>
        </is>
      </c>
      <c r="F156" s="5" t="n"/>
      <c r="G156" s="5" t="n"/>
      <c r="H156" s="22" t="inlineStr">
        <is>
          <t>https://en.wikipedia.org/wiki/Dev_Anand</t>
        </is>
      </c>
      <c r="I156" s="16" t="n">
        <v>46303</v>
      </c>
      <c r="J156" s="5" t="inlineStr">
        <is>
          <t>Career background, major works and awards of Dev Anand.</t>
        </is>
      </c>
      <c r="K156" s="5" t="inlineStr">
        <is>
          <t>Reference encyclopedia</t>
        </is>
      </c>
      <c r="L156" s="5" t="inlineStr">
        <is>
          <t>C</t>
        </is>
      </c>
      <c r="M156" s="5" t="inlineStr">
        <is>
          <t>Collaborator article; downloaded as raw wikitext.</t>
        </is>
      </c>
    </row>
    <row r="157" ht="34" customHeight="1">
      <c r="A157" s="15" t="inlineStr">
        <is>
          <t>SOURCE-156</t>
        </is>
      </c>
      <c r="B157" s="5" t="n"/>
      <c r="C157" s="5" t="n"/>
      <c r="D157" s="5" t="inlineStr">
        <is>
          <t>Dharma Productions</t>
        </is>
      </c>
      <c r="E157" s="5" t="inlineStr">
        <is>
          <t>Wikipedia</t>
        </is>
      </c>
      <c r="F157" s="5" t="n"/>
      <c r="G157" s="5" t="n"/>
      <c r="H157" s="22" t="inlineStr">
        <is>
          <t>https://en.wikipedia.org/wiki/Dharma_Productions</t>
        </is>
      </c>
      <c r="I157" s="16" t="n">
        <v>46303</v>
      </c>
      <c r="J157" s="5" t="inlineStr">
        <is>
          <t>Career background, major works and awards of Dharma Productions.</t>
        </is>
      </c>
      <c r="K157" s="5" t="inlineStr">
        <is>
          <t>Reference encyclopedia</t>
        </is>
      </c>
      <c r="L157" s="5" t="inlineStr">
        <is>
          <t>C</t>
        </is>
      </c>
      <c r="M157" s="5" t="inlineStr">
        <is>
          <t>Collaborator article; downloaded as raw wikitext.</t>
        </is>
      </c>
    </row>
    <row r="158" ht="34" customHeight="1">
      <c r="A158" s="15" t="inlineStr">
        <is>
          <t>SOURCE-157</t>
        </is>
      </c>
      <c r="B158" s="5" t="n"/>
      <c r="C158" s="5" t="n"/>
      <c r="D158" s="5" t="inlineStr">
        <is>
          <t>Dibakar Banerjee</t>
        </is>
      </c>
      <c r="E158" s="5" t="inlineStr">
        <is>
          <t>Wikipedia</t>
        </is>
      </c>
      <c r="F158" s="5" t="n"/>
      <c r="G158" s="5" t="n"/>
      <c r="H158" s="22" t="inlineStr">
        <is>
          <t>https://en.wikipedia.org/wiki/Dibakar_Banerjee</t>
        </is>
      </c>
      <c r="I158" s="16" t="n">
        <v>46303</v>
      </c>
      <c r="J158" s="5" t="inlineStr">
        <is>
          <t>Career background, major works and awards of Dibakar Banerjee.</t>
        </is>
      </c>
      <c r="K158" s="5" t="inlineStr">
        <is>
          <t>Reference encyclopedia</t>
        </is>
      </c>
      <c r="L158" s="5" t="inlineStr">
        <is>
          <t>C</t>
        </is>
      </c>
      <c r="M158" s="5" t="inlineStr">
        <is>
          <t>Collaborator article; downloaded as raw wikitext.</t>
        </is>
      </c>
    </row>
    <row r="159" ht="34" customHeight="1">
      <c r="A159" s="15" t="inlineStr">
        <is>
          <t>SOURCE-158</t>
        </is>
      </c>
      <c r="B159" s="5" t="n"/>
      <c r="C159" s="5" t="n"/>
      <c r="D159" s="5" t="inlineStr">
        <is>
          <t>Farrukh Dhondy</t>
        </is>
      </c>
      <c r="E159" s="5" t="inlineStr">
        <is>
          <t>Wikipedia</t>
        </is>
      </c>
      <c r="F159" s="5" t="n"/>
      <c r="G159" s="5" t="n"/>
      <c r="H159" s="22" t="inlineStr">
        <is>
          <t>https://en.wikipedia.org/wiki/Farrukh_Dhondy</t>
        </is>
      </c>
      <c r="I159" s="16" t="n">
        <v>46303</v>
      </c>
      <c r="J159" s="5" t="inlineStr">
        <is>
          <t>Career background, major works and awards of Farrukh Dhondy.</t>
        </is>
      </c>
      <c r="K159" s="5" t="inlineStr">
        <is>
          <t>Reference encyclopedia</t>
        </is>
      </c>
      <c r="L159" s="5" t="inlineStr">
        <is>
          <t>C</t>
        </is>
      </c>
      <c r="M159" s="5" t="inlineStr">
        <is>
          <t>Collaborator article; downloaded as raw wikitext.</t>
        </is>
      </c>
    </row>
    <row r="160" ht="34" customHeight="1">
      <c r="A160" s="15" t="inlineStr">
        <is>
          <t>SOURCE-159</t>
        </is>
      </c>
      <c r="B160" s="5" t="n"/>
      <c r="C160" s="5" t="n"/>
      <c r="D160" s="5" t="inlineStr">
        <is>
          <t>Ganesh Jain</t>
        </is>
      </c>
      <c r="E160" s="5" t="inlineStr">
        <is>
          <t>Wikipedia</t>
        </is>
      </c>
      <c r="F160" s="5" t="n"/>
      <c r="G160" s="5" t="n"/>
      <c r="H160" s="22" t="inlineStr">
        <is>
          <t>https://en.wikipedia.org/wiki/Ganesh_Jain</t>
        </is>
      </c>
      <c r="I160" s="16" t="n">
        <v>46303</v>
      </c>
      <c r="J160" s="5" t="inlineStr">
        <is>
          <t>Career background, major works and awards of Ganesh Jain.</t>
        </is>
      </c>
      <c r="K160" s="5" t="inlineStr">
        <is>
          <t>Reference encyclopedia</t>
        </is>
      </c>
      <c r="L160" s="5" t="inlineStr">
        <is>
          <t>C</t>
        </is>
      </c>
      <c r="M160" s="5" t="inlineStr">
        <is>
          <t>Collaborator article; downloaded as raw wikitext.</t>
        </is>
      </c>
    </row>
    <row r="161" ht="34" customHeight="1">
      <c r="A161" s="15" t="inlineStr">
        <is>
          <t>SOURCE-160</t>
        </is>
      </c>
      <c r="B161" s="5" t="n"/>
      <c r="C161" s="5" t="n"/>
      <c r="D161" s="5" t="inlineStr">
        <is>
          <t>Geetha Arts</t>
        </is>
      </c>
      <c r="E161" s="5" t="inlineStr">
        <is>
          <t>Wikipedia</t>
        </is>
      </c>
      <c r="F161" s="5" t="n"/>
      <c r="G161" s="5" t="n"/>
      <c r="H161" s="22" t="inlineStr">
        <is>
          <t>https://en.wikipedia.org/wiki/Geetha_Arts</t>
        </is>
      </c>
      <c r="I161" s="16" t="n">
        <v>46303</v>
      </c>
      <c r="J161" s="5" t="inlineStr">
        <is>
          <t>Career background, major works and awards of Geetha Arts.</t>
        </is>
      </c>
      <c r="K161" s="5" t="inlineStr">
        <is>
          <t>Reference encyclopedia</t>
        </is>
      </c>
      <c r="L161" s="5" t="inlineStr">
        <is>
          <t>C</t>
        </is>
      </c>
      <c r="M161" s="5" t="inlineStr">
        <is>
          <t>Collaborator article; downloaded as raw wikitext.</t>
        </is>
      </c>
    </row>
    <row r="162" ht="34" customHeight="1">
      <c r="A162" s="15" t="inlineStr">
        <is>
          <t>SOURCE-161</t>
        </is>
      </c>
      <c r="B162" s="5" t="n"/>
      <c r="C162" s="5" t="n"/>
      <c r="D162" s="5" t="inlineStr">
        <is>
          <t>Gulshan Kumar</t>
        </is>
      </c>
      <c r="E162" s="5" t="inlineStr">
        <is>
          <t>Wikipedia</t>
        </is>
      </c>
      <c r="F162" s="5" t="n"/>
      <c r="G162" s="5" t="n"/>
      <c r="H162" s="22" t="inlineStr">
        <is>
          <t>https://en.wikipedia.org/wiki/Gulshan_Kumar</t>
        </is>
      </c>
      <c r="I162" s="16" t="n">
        <v>46303</v>
      </c>
      <c r="J162" s="5" t="inlineStr">
        <is>
          <t>Career background, major works and awards of Gulshan Kumar.</t>
        </is>
      </c>
      <c r="K162" s="5" t="inlineStr">
        <is>
          <t>Reference encyclopedia</t>
        </is>
      </c>
      <c r="L162" s="5" t="inlineStr">
        <is>
          <t>C</t>
        </is>
      </c>
      <c r="M162" s="5" t="inlineStr">
        <is>
          <t>Collaborator article; downloaded as raw wikitext.</t>
        </is>
      </c>
    </row>
    <row r="163" ht="34" customHeight="1">
      <c r="A163" s="15" t="inlineStr">
        <is>
          <t>SOURCE-162</t>
        </is>
      </c>
      <c r="B163" s="5" t="n"/>
      <c r="C163" s="5" t="n"/>
      <c r="D163" s="5" t="inlineStr">
        <is>
          <t>Gustavo Santaolalla</t>
        </is>
      </c>
      <c r="E163" s="5" t="inlineStr">
        <is>
          <t>Wikipedia</t>
        </is>
      </c>
      <c r="F163" s="5" t="n"/>
      <c r="G163" s="5" t="n"/>
      <c r="H163" s="22" t="inlineStr">
        <is>
          <t>https://en.wikipedia.org/wiki/Gustavo_Santaolalla</t>
        </is>
      </c>
      <c r="I163" s="16" t="n">
        <v>46303</v>
      </c>
      <c r="J163" s="5" t="inlineStr">
        <is>
          <t>Career background, major works and awards of Gustavo Santaolalla.</t>
        </is>
      </c>
      <c r="K163" s="5" t="inlineStr">
        <is>
          <t>Reference encyclopedia</t>
        </is>
      </c>
      <c r="L163" s="5" t="inlineStr">
        <is>
          <t>C</t>
        </is>
      </c>
      <c r="M163" s="5" t="inlineStr">
        <is>
          <t>Collaborator article; downloaded as raw wikitext.</t>
        </is>
      </c>
    </row>
    <row r="164" ht="34" customHeight="1">
      <c r="A164" s="15" t="inlineStr">
        <is>
          <t>SOURCE-163</t>
        </is>
      </c>
      <c r="B164" s="5" t="n"/>
      <c r="C164" s="5" t="n"/>
      <c r="D164" s="5" t="inlineStr">
        <is>
          <t>Honey Irani</t>
        </is>
      </c>
      <c r="E164" s="5" t="inlineStr">
        <is>
          <t>Wikipedia</t>
        </is>
      </c>
      <c r="F164" s="5" t="n"/>
      <c r="G164" s="5" t="n"/>
      <c r="H164" s="22" t="inlineStr">
        <is>
          <t>https://en.wikipedia.org/wiki/Honey_Irani</t>
        </is>
      </c>
      <c r="I164" s="16" t="n">
        <v>46303</v>
      </c>
      <c r="J164" s="5" t="inlineStr">
        <is>
          <t>Career background, major works and awards of Honey Irani.</t>
        </is>
      </c>
      <c r="K164" s="5" t="inlineStr">
        <is>
          <t>Reference encyclopedia</t>
        </is>
      </c>
      <c r="L164" s="5" t="inlineStr">
        <is>
          <t>C</t>
        </is>
      </c>
      <c r="M164" s="5" t="inlineStr">
        <is>
          <t>Collaborator article; downloaded as raw wikitext.</t>
        </is>
      </c>
    </row>
    <row r="165" ht="34" customHeight="1">
      <c r="A165" s="15" t="inlineStr">
        <is>
          <t>SOURCE-164</t>
        </is>
      </c>
      <c r="B165" s="5" t="n"/>
      <c r="C165" s="5" t="n"/>
      <c r="D165" s="5" t="inlineStr">
        <is>
          <t>Hriday Lani</t>
        </is>
      </c>
      <c r="E165" s="5" t="inlineStr">
        <is>
          <t>Wikipedia</t>
        </is>
      </c>
      <c r="F165" s="5" t="n"/>
      <c r="G165" s="5" t="n"/>
      <c r="H165" s="22" t="inlineStr">
        <is>
          <t>https://en.wikipedia.org/wiki/Hriday_Lani</t>
        </is>
      </c>
      <c r="I165" s="16" t="n">
        <v>46303</v>
      </c>
      <c r="J165" s="5" t="inlineStr">
        <is>
          <t>Career background, major works and awards of Hriday Lani.</t>
        </is>
      </c>
      <c r="K165" s="5" t="inlineStr">
        <is>
          <t>Reference encyclopedia</t>
        </is>
      </c>
      <c r="L165" s="5" t="inlineStr">
        <is>
          <t>C</t>
        </is>
      </c>
      <c r="M165" s="5" t="inlineStr">
        <is>
          <t>Collaborator article; downloaded as raw wikitext.</t>
        </is>
      </c>
    </row>
    <row r="166" ht="34" customHeight="1">
      <c r="A166" s="15" t="inlineStr">
        <is>
          <t>SOURCE-165</t>
        </is>
      </c>
      <c r="B166" s="5" t="n"/>
      <c r="C166" s="5" t="n"/>
      <c r="D166" s="5" t="inlineStr">
        <is>
          <t>Javed Akhtar</t>
        </is>
      </c>
      <c r="E166" s="5" t="inlineStr">
        <is>
          <t>Wikipedia</t>
        </is>
      </c>
      <c r="F166" s="5" t="n"/>
      <c r="G166" s="5" t="n"/>
      <c r="H166" s="22" t="inlineStr">
        <is>
          <t>https://en.wikipedia.org/wiki/Javed_Akhtar</t>
        </is>
      </c>
      <c r="I166" s="16" t="n">
        <v>46303</v>
      </c>
      <c r="J166" s="5" t="inlineStr">
        <is>
          <t>Career background, major works and awards of Javed Akhtar.</t>
        </is>
      </c>
      <c r="K166" s="5" t="inlineStr">
        <is>
          <t>Reference encyclopedia</t>
        </is>
      </c>
      <c r="L166" s="5" t="inlineStr">
        <is>
          <t>C</t>
        </is>
      </c>
      <c r="M166" s="5" t="inlineStr">
        <is>
          <t>Collaborator article; downloaded as raw wikitext.</t>
        </is>
      </c>
    </row>
    <row r="167" ht="34" customHeight="1">
      <c r="A167" s="15" t="inlineStr">
        <is>
          <t>SOURCE-166</t>
        </is>
      </c>
      <c r="B167" s="5" t="n"/>
      <c r="C167" s="5" t="n"/>
      <c r="D167" s="5" t="inlineStr">
        <is>
          <t>Javed Siddiqui</t>
        </is>
      </c>
      <c r="E167" s="5" t="inlineStr">
        <is>
          <t>Wikipedia</t>
        </is>
      </c>
      <c r="F167" s="5" t="n"/>
      <c r="G167" s="5" t="n"/>
      <c r="H167" s="22" t="inlineStr">
        <is>
          <t>https://en.wikipedia.org/wiki/Javed_Siddiqui</t>
        </is>
      </c>
      <c r="I167" s="16" t="n">
        <v>46303</v>
      </c>
      <c r="J167" s="5" t="inlineStr">
        <is>
          <t>Career background, major works and awards of Javed Siddiqui.</t>
        </is>
      </c>
      <c r="K167" s="5" t="inlineStr">
        <is>
          <t>Reference encyclopedia</t>
        </is>
      </c>
      <c r="L167" s="5" t="inlineStr">
        <is>
          <t>C</t>
        </is>
      </c>
      <c r="M167" s="5" t="inlineStr">
        <is>
          <t>Collaborator article; downloaded as raw wikitext.</t>
        </is>
      </c>
    </row>
    <row r="168" ht="34" customHeight="1">
      <c r="A168" s="15" t="inlineStr">
        <is>
          <t>SOURCE-167</t>
        </is>
      </c>
      <c r="B168" s="5" t="n"/>
      <c r="C168" s="5" t="n"/>
      <c r="D168" s="5" t="inlineStr">
        <is>
          <t>Julius Packiam</t>
        </is>
      </c>
      <c r="E168" s="5" t="inlineStr">
        <is>
          <t>Wikipedia</t>
        </is>
      </c>
      <c r="F168" s="5" t="n"/>
      <c r="G168" s="5" t="n"/>
      <c r="H168" s="22" t="inlineStr">
        <is>
          <t>https://en.wikipedia.org/wiki/Julius_Packiam</t>
        </is>
      </c>
      <c r="I168" s="16" t="n">
        <v>46303</v>
      </c>
      <c r="J168" s="5" t="inlineStr">
        <is>
          <t>Career background, major works and awards of Julius Packiam.</t>
        </is>
      </c>
      <c r="K168" s="5" t="inlineStr">
        <is>
          <t>Reference encyclopedia</t>
        </is>
      </c>
      <c r="L168" s="5" t="inlineStr">
        <is>
          <t>C</t>
        </is>
      </c>
      <c r="M168" s="5" t="inlineStr">
        <is>
          <t>Collaborator article; downloaded as raw wikitext.</t>
        </is>
      </c>
    </row>
    <row r="169" ht="34" customHeight="1">
      <c r="A169" s="15" t="inlineStr">
        <is>
          <t>SOURCE-168</t>
        </is>
      </c>
      <c r="B169" s="5" t="n"/>
      <c r="C169" s="5" t="n"/>
      <c r="D169" s="5" t="inlineStr">
        <is>
          <t>Junglee Pictures</t>
        </is>
      </c>
      <c r="E169" s="5" t="inlineStr">
        <is>
          <t>Wikipedia</t>
        </is>
      </c>
      <c r="F169" s="5" t="n"/>
      <c r="G169" s="5" t="n"/>
      <c r="H169" s="22" t="inlineStr">
        <is>
          <t>https://en.wikipedia.org/wiki/Junglee_Pictures</t>
        </is>
      </c>
      <c r="I169" s="16" t="n">
        <v>46303</v>
      </c>
      <c r="J169" s="5" t="inlineStr">
        <is>
          <t>Career background, major works and awards of Junglee Pictures.</t>
        </is>
      </c>
      <c r="K169" s="5" t="inlineStr">
        <is>
          <t>Reference encyclopedia</t>
        </is>
      </c>
      <c r="L169" s="5" t="inlineStr">
        <is>
          <t>C</t>
        </is>
      </c>
      <c r="M169" s="5" t="inlineStr">
        <is>
          <t>Collaborator article; downloaded as raw wikitext.</t>
        </is>
      </c>
    </row>
    <row r="170" ht="34" customHeight="1">
      <c r="A170" s="15" t="inlineStr">
        <is>
          <t>SOURCE-169</t>
        </is>
      </c>
      <c r="B170" s="5" t="n"/>
      <c r="C170" s="5" t="n"/>
      <c r="D170" s="5" t="inlineStr">
        <is>
          <t>Jyoti Deshpande</t>
        </is>
      </c>
      <c r="E170" s="5" t="inlineStr">
        <is>
          <t>Wikipedia</t>
        </is>
      </c>
      <c r="F170" s="5" t="n"/>
      <c r="G170" s="5" t="n"/>
      <c r="H170" s="22" t="inlineStr">
        <is>
          <t>https://en.wikipedia.org/wiki/Jyoti_Deshpande</t>
        </is>
      </c>
      <c r="I170" s="16" t="n">
        <v>46303</v>
      </c>
      <c r="J170" s="5" t="inlineStr">
        <is>
          <t>Career background, major works and awards of Jyoti Deshpande.</t>
        </is>
      </c>
      <c r="K170" s="5" t="inlineStr">
        <is>
          <t>Reference encyclopedia</t>
        </is>
      </c>
      <c r="L170" s="5" t="inlineStr">
        <is>
          <t>C</t>
        </is>
      </c>
      <c r="M170" s="5" t="inlineStr">
        <is>
          <t>Collaborator article; downloaded as raw wikitext.</t>
        </is>
      </c>
    </row>
    <row r="171" ht="34" customHeight="1">
      <c r="A171" s="15" t="inlineStr">
        <is>
          <t>SOURCE-170</t>
        </is>
      </c>
      <c r="B171" s="5" t="n"/>
      <c r="C171" s="5" t="n"/>
      <c r="D171" s="5" t="inlineStr">
        <is>
          <t>K. P. Saxena</t>
        </is>
      </c>
      <c r="E171" s="5" t="inlineStr">
        <is>
          <t>Wikipedia</t>
        </is>
      </c>
      <c r="F171" s="5" t="n"/>
      <c r="G171" s="5" t="n"/>
      <c r="H171" s="22" t="inlineStr">
        <is>
          <t>https://en.wikipedia.org/wiki/K._P._Saxena</t>
        </is>
      </c>
      <c r="I171" s="16" t="n">
        <v>46303</v>
      </c>
      <c r="J171" s="5" t="inlineStr">
        <is>
          <t>Career background, major works and awards of K. P. Saxena.</t>
        </is>
      </c>
      <c r="K171" s="5" t="inlineStr">
        <is>
          <t>Reference encyclopedia</t>
        </is>
      </c>
      <c r="L171" s="5" t="inlineStr">
        <is>
          <t>C</t>
        </is>
      </c>
      <c r="M171" s="5" t="inlineStr">
        <is>
          <t>Collaborator article; downloaded as raw wikitext.</t>
        </is>
      </c>
    </row>
    <row r="172" ht="34" customHeight="1">
      <c r="A172" s="15" t="inlineStr">
        <is>
          <t>SOURCE-171</t>
        </is>
      </c>
      <c r="B172" s="5" t="n"/>
      <c r="C172" s="5" t="n"/>
      <c r="D172" s="5" t="inlineStr">
        <is>
          <t>Kalanithi Maran</t>
        </is>
      </c>
      <c r="E172" s="5" t="inlineStr">
        <is>
          <t>Wikipedia</t>
        </is>
      </c>
      <c r="F172" s="5" t="n"/>
      <c r="G172" s="5" t="n"/>
      <c r="H172" s="22" t="inlineStr">
        <is>
          <t>https://en.wikipedia.org/wiki/Kalanithi_Maran</t>
        </is>
      </c>
      <c r="I172" s="16" t="n">
        <v>46303</v>
      </c>
      <c r="J172" s="5" t="inlineStr">
        <is>
          <t>Career background, major works and awards of Kalanithi Maran.</t>
        </is>
      </c>
      <c r="K172" s="5" t="inlineStr">
        <is>
          <t>Reference encyclopedia</t>
        </is>
      </c>
      <c r="L172" s="5" t="inlineStr">
        <is>
          <t>C</t>
        </is>
      </c>
      <c r="M172" s="5" t="inlineStr">
        <is>
          <t>Collaborator article; downloaded as raw wikitext.</t>
        </is>
      </c>
    </row>
    <row r="173" ht="34" customHeight="1">
      <c r="A173" s="15" t="inlineStr">
        <is>
          <t>SOURCE-172</t>
        </is>
      </c>
      <c r="B173" s="5" t="n"/>
      <c r="C173" s="5" t="n"/>
      <c r="D173" s="5" t="inlineStr">
        <is>
          <t>Karan Johar</t>
        </is>
      </c>
      <c r="E173" s="5" t="inlineStr">
        <is>
          <t>Wikipedia</t>
        </is>
      </c>
      <c r="F173" s="5" t="n"/>
      <c r="G173" s="5" t="n"/>
      <c r="H173" s="22" t="inlineStr">
        <is>
          <t>https://en.wikipedia.org/wiki/Karan_Johar</t>
        </is>
      </c>
      <c r="I173" s="16" t="n">
        <v>46303</v>
      </c>
      <c r="J173" s="5" t="inlineStr">
        <is>
          <t>Career background, major works and awards of Karan Johar.</t>
        </is>
      </c>
      <c r="K173" s="5" t="inlineStr">
        <is>
          <t>Reference encyclopedia</t>
        </is>
      </c>
      <c r="L173" s="5" t="inlineStr">
        <is>
          <t>C</t>
        </is>
      </c>
      <c r="M173" s="5" t="inlineStr">
        <is>
          <t>Collaborator article; downloaded as raw wikitext.</t>
        </is>
      </c>
    </row>
    <row r="174" ht="34" customHeight="1">
      <c r="A174" s="15" t="inlineStr">
        <is>
          <t>SOURCE-173</t>
        </is>
      </c>
      <c r="B174" s="5" t="n"/>
      <c r="C174" s="5" t="n"/>
      <c r="D174" s="5" t="inlineStr">
        <is>
          <t>Kausar Munir</t>
        </is>
      </c>
      <c r="E174" s="5" t="inlineStr">
        <is>
          <t>Wikipedia</t>
        </is>
      </c>
      <c r="F174" s="5" t="n"/>
      <c r="G174" s="5" t="n"/>
      <c r="H174" s="22" t="inlineStr">
        <is>
          <t>https://en.wikipedia.org/wiki/Kausar_Munir</t>
        </is>
      </c>
      <c r="I174" s="16" t="n">
        <v>46303</v>
      </c>
      <c r="J174" s="5" t="inlineStr">
        <is>
          <t>Career background, major works and awards of Kausar Munir.</t>
        </is>
      </c>
      <c r="K174" s="5" t="inlineStr">
        <is>
          <t>Reference encyclopedia</t>
        </is>
      </c>
      <c r="L174" s="5" t="inlineStr">
        <is>
          <t>C</t>
        </is>
      </c>
      <c r="M174" s="5" t="inlineStr">
        <is>
          <t>Collaborator article; downloaded as raw wikitext.</t>
        </is>
      </c>
    </row>
    <row r="175" ht="34" customHeight="1">
      <c r="A175" s="15" t="inlineStr">
        <is>
          <t>SOURCE-174</t>
        </is>
      </c>
      <c r="B175" s="5" t="n"/>
      <c r="C175" s="5" t="n"/>
      <c r="D175" s="5" t="inlineStr">
        <is>
          <t>Kavi Shastri</t>
        </is>
      </c>
      <c r="E175" s="5" t="inlineStr">
        <is>
          <t>Wikipedia</t>
        </is>
      </c>
      <c r="F175" s="5" t="n"/>
      <c r="G175" s="5" t="n"/>
      <c r="H175" s="22" t="inlineStr">
        <is>
          <t>https://en.wikipedia.org/wiki/Kavi_Shastri</t>
        </is>
      </c>
      <c r="I175" s="16" t="n">
        <v>46303</v>
      </c>
      <c r="J175" s="5" t="inlineStr">
        <is>
          <t>Career background, major works and awards of Kavi Shastri.</t>
        </is>
      </c>
      <c r="K175" s="5" t="inlineStr">
        <is>
          <t>Reference encyclopedia</t>
        </is>
      </c>
      <c r="L175" s="5" t="inlineStr">
        <is>
          <t>C</t>
        </is>
      </c>
      <c r="M175" s="5" t="inlineStr">
        <is>
          <t>Collaborator article; downloaded as raw wikitext.</t>
        </is>
      </c>
    </row>
    <row r="176" ht="34" customHeight="1">
      <c r="A176" s="15" t="inlineStr">
        <is>
          <t>SOURCE-175</t>
        </is>
      </c>
      <c r="B176" s="5" t="n"/>
      <c r="C176" s="5" t="n"/>
      <c r="D176" s="5" t="inlineStr">
        <is>
          <t>Krishan Kumar (actor)</t>
        </is>
      </c>
      <c r="E176" s="5" t="inlineStr">
        <is>
          <t>Wikipedia</t>
        </is>
      </c>
      <c r="F176" s="5" t="n"/>
      <c r="G176" s="5" t="n"/>
      <c r="H176" s="22" t="inlineStr">
        <is>
          <t>https://en.wikipedia.org/wiki/Krishan_Kumar_(actor)</t>
        </is>
      </c>
      <c r="I176" s="16" t="n">
        <v>46303</v>
      </c>
      <c r="J176" s="5" t="inlineStr">
        <is>
          <t>Career background of Krishan Kumar, drawn from the article on Krishan Kumar (actor).</t>
        </is>
      </c>
      <c r="K176" s="5" t="inlineStr">
        <is>
          <t>Reference encyclopedia</t>
        </is>
      </c>
      <c r="L176" s="5" t="inlineStr">
        <is>
          <t>C</t>
        </is>
      </c>
      <c r="M176" s="5" t="inlineStr">
        <is>
          <t>Collaborator article; downloaded as raw wikitext.</t>
        </is>
      </c>
    </row>
    <row r="177" ht="34" customHeight="1">
      <c r="A177" s="15" t="inlineStr">
        <is>
          <t>SOURCE-176</t>
        </is>
      </c>
      <c r="B177" s="5" t="n"/>
      <c r="C177" s="5" t="n"/>
      <c r="D177" s="5" t="inlineStr">
        <is>
          <t>Leslee Lewis</t>
        </is>
      </c>
      <c r="E177" s="5" t="inlineStr">
        <is>
          <t>Wikipedia</t>
        </is>
      </c>
      <c r="F177" s="5" t="n"/>
      <c r="G177" s="5" t="n"/>
      <c r="H177" s="22" t="inlineStr">
        <is>
          <t>https://en.wikipedia.org/wiki/Leslee_Lewis</t>
        </is>
      </c>
      <c r="I177" s="16" t="n">
        <v>46303</v>
      </c>
      <c r="J177" s="5" t="inlineStr">
        <is>
          <t>Career background of Lesle Lewis, drawn from the article on Leslee Lewis.</t>
        </is>
      </c>
      <c r="K177" s="5" t="inlineStr">
        <is>
          <t>Reference encyclopedia</t>
        </is>
      </c>
      <c r="L177" s="5" t="inlineStr">
        <is>
          <t>C</t>
        </is>
      </c>
      <c r="M177" s="5" t="inlineStr">
        <is>
          <t>Collaborator article; downloaded as raw wikitext.</t>
        </is>
      </c>
    </row>
    <row r="178" ht="34" customHeight="1">
      <c r="A178" s="15" t="inlineStr">
        <is>
          <t>SOURCE-177</t>
        </is>
      </c>
      <c r="B178" s="5" t="n"/>
      <c r="C178" s="5" t="n"/>
      <c r="D178" s="5" t="inlineStr">
        <is>
          <t>Lokesh Kanagaraj</t>
        </is>
      </c>
      <c r="E178" s="5" t="inlineStr">
        <is>
          <t>Wikipedia</t>
        </is>
      </c>
      <c r="F178" s="5" t="n"/>
      <c r="G178" s="5" t="n"/>
      <c r="H178" s="22" t="inlineStr">
        <is>
          <t>https://en.wikipedia.org/wiki/Lokesh_Kanagaraj</t>
        </is>
      </c>
      <c r="I178" s="16" t="n">
        <v>46303</v>
      </c>
      <c r="J178" s="5" t="inlineStr">
        <is>
          <t>Career background, major works and awards of Lokesh Kanagaraj.</t>
        </is>
      </c>
      <c r="K178" s="5" t="inlineStr">
        <is>
          <t>Reference encyclopedia</t>
        </is>
      </c>
      <c r="L178" s="5" t="inlineStr">
        <is>
          <t>C</t>
        </is>
      </c>
      <c r="M178" s="5" t="inlineStr">
        <is>
          <t>Collaborator article; downloaded as raw wikitext.</t>
        </is>
      </c>
    </row>
    <row r="179" ht="34" customHeight="1">
      <c r="A179" s="15" t="inlineStr">
        <is>
          <t>SOURCE-178</t>
        </is>
      </c>
      <c r="B179" s="5" t="n"/>
      <c r="C179" s="5" t="n"/>
      <c r="D179" s="5" t="inlineStr">
        <is>
          <t>Madhu Mantena</t>
        </is>
      </c>
      <c r="E179" s="5" t="inlineStr">
        <is>
          <t>Wikipedia</t>
        </is>
      </c>
      <c r="F179" s="5" t="n"/>
      <c r="G179" s="5" t="n"/>
      <c r="H179" s="22" t="inlineStr">
        <is>
          <t>https://en.wikipedia.org/wiki/Madhu_Mantena</t>
        </is>
      </c>
      <c r="I179" s="16" t="n">
        <v>46303</v>
      </c>
      <c r="J179" s="5" t="inlineStr">
        <is>
          <t>Career background, major works and awards of Madhu Mantena.</t>
        </is>
      </c>
      <c r="K179" s="5" t="inlineStr">
        <is>
          <t>Reference encyclopedia</t>
        </is>
      </c>
      <c r="L179" s="5" t="inlineStr">
        <is>
          <t>C</t>
        </is>
      </c>
      <c r="M179" s="5" t="inlineStr">
        <is>
          <t>Collaborator article; downloaded as raw wikitext.</t>
        </is>
      </c>
    </row>
    <row r="180" ht="34" customHeight="1">
      <c r="A180" s="15" t="inlineStr">
        <is>
          <t>SOURCE-179</t>
        </is>
      </c>
      <c r="B180" s="5" t="n"/>
      <c r="C180" s="5" t="n"/>
      <c r="D180" s="5" t="inlineStr">
        <is>
          <t>Mahesh Elkunchwar</t>
        </is>
      </c>
      <c r="E180" s="5" t="inlineStr">
        <is>
          <t>Wikipedia</t>
        </is>
      </c>
      <c r="F180" s="5" t="n"/>
      <c r="G180" s="5" t="n"/>
      <c r="H180" s="22" t="inlineStr">
        <is>
          <t>https://en.wikipedia.org/wiki/Mahesh_Elkunchwar</t>
        </is>
      </c>
      <c r="I180" s="16" t="n">
        <v>46303</v>
      </c>
      <c r="J180" s="5" t="inlineStr">
        <is>
          <t>Career background, major works and awards of Mahesh Elkunchwar.</t>
        </is>
      </c>
      <c r="K180" s="5" t="inlineStr">
        <is>
          <t>Reference encyclopedia</t>
        </is>
      </c>
      <c r="L180" s="5" t="inlineStr">
        <is>
          <t>C</t>
        </is>
      </c>
      <c r="M180" s="5" t="inlineStr">
        <is>
          <t>Collaborator article; downloaded as raw wikitext.</t>
        </is>
      </c>
    </row>
    <row r="181" ht="34" customHeight="1">
      <c r="A181" s="15" t="inlineStr">
        <is>
          <t>SOURCE-180</t>
        </is>
      </c>
      <c r="B181" s="5" t="n"/>
      <c r="C181" s="5" t="n"/>
      <c r="D181" s="5" t="inlineStr">
        <is>
          <t>Mithoon</t>
        </is>
      </c>
      <c r="E181" s="5" t="inlineStr">
        <is>
          <t>Wikipedia</t>
        </is>
      </c>
      <c r="F181" s="5" t="n"/>
      <c r="G181" s="5" t="n"/>
      <c r="H181" s="22" t="inlineStr">
        <is>
          <t>https://en.wikipedia.org/wiki/Mithoon</t>
        </is>
      </c>
      <c r="I181" s="16" t="n">
        <v>46303</v>
      </c>
      <c r="J181" s="5" t="inlineStr">
        <is>
          <t>Career background, major works and awards of Mithoon.</t>
        </is>
      </c>
      <c r="K181" s="5" t="inlineStr">
        <is>
          <t>Reference encyclopedia</t>
        </is>
      </c>
      <c r="L181" s="5" t="inlineStr">
        <is>
          <t>C</t>
        </is>
      </c>
      <c r="M181" s="5" t="inlineStr">
        <is>
          <t>Collaborator article; downloaded as raw wikitext.</t>
        </is>
      </c>
    </row>
    <row r="182" ht="34" customHeight="1">
      <c r="A182" s="15" t="inlineStr">
        <is>
          <t>SOURCE-181</t>
        </is>
      </c>
      <c r="B182" s="5" t="n"/>
      <c r="C182" s="5" t="n"/>
      <c r="D182" s="5" t="inlineStr">
        <is>
          <t>Paramount Pictures</t>
        </is>
      </c>
      <c r="E182" s="5" t="inlineStr">
        <is>
          <t>Wikipedia</t>
        </is>
      </c>
      <c r="F182" s="5" t="n"/>
      <c r="G182" s="5" t="n"/>
      <c r="H182" s="22" t="inlineStr">
        <is>
          <t>https://en.wikipedia.org/wiki/Paramount_Pictures</t>
        </is>
      </c>
      <c r="I182" s="16" t="n">
        <v>46303</v>
      </c>
      <c r="J182" s="5" t="inlineStr">
        <is>
          <t>Career background, major works and awards of Paramount Pictures.</t>
        </is>
      </c>
      <c r="K182" s="5" t="inlineStr">
        <is>
          <t>Reference encyclopedia</t>
        </is>
      </c>
      <c r="L182" s="5" t="inlineStr">
        <is>
          <t>C</t>
        </is>
      </c>
      <c r="M182" s="5" t="inlineStr">
        <is>
          <t>Collaborator article; downloaded as raw wikitext.</t>
        </is>
      </c>
    </row>
    <row r="183" ht="34" customHeight="1">
      <c r="A183" s="15" t="inlineStr">
        <is>
          <t>SOURCE-182</t>
        </is>
      </c>
      <c r="B183" s="5" t="n"/>
      <c r="C183" s="5" t="n"/>
      <c r="D183" s="5" t="inlineStr">
        <is>
          <t>Pathik Vats</t>
        </is>
      </c>
      <c r="E183" s="5" t="inlineStr">
        <is>
          <t>Wikipedia</t>
        </is>
      </c>
      <c r="F183" s="5" t="n"/>
      <c r="G183" s="5" t="n"/>
      <c r="H183" s="22" t="inlineStr">
        <is>
          <t>https://en.wikipedia.org/wiki/Pathik_Vats</t>
        </is>
      </c>
      <c r="I183" s="16" t="n">
        <v>46303</v>
      </c>
      <c r="J183" s="5" t="inlineStr">
        <is>
          <t>Career background, major works and awards of Pathik Vats.</t>
        </is>
      </c>
      <c r="K183" s="5" t="inlineStr">
        <is>
          <t>Reference encyclopedia</t>
        </is>
      </c>
      <c r="L183" s="5" t="inlineStr">
        <is>
          <t>C</t>
        </is>
      </c>
      <c r="M183" s="5" t="inlineStr">
        <is>
          <t>Collaborator article; downloaded as raw wikitext.</t>
        </is>
      </c>
    </row>
    <row r="184" ht="34" customHeight="1">
      <c r="A184" s="15" t="inlineStr">
        <is>
          <t>SOURCE-183</t>
        </is>
      </c>
      <c r="B184" s="5" t="n"/>
      <c r="C184" s="5" t="n"/>
      <c r="D184" s="5" t="inlineStr">
        <is>
          <t>Piyush Mishra</t>
        </is>
      </c>
      <c r="E184" s="5" t="inlineStr">
        <is>
          <t>Wikipedia</t>
        </is>
      </c>
      <c r="F184" s="5" t="n"/>
      <c r="G184" s="5" t="n"/>
      <c r="H184" s="22" t="inlineStr">
        <is>
          <t>https://en.wikipedia.org/wiki/Piyush_Mishra</t>
        </is>
      </c>
      <c r="I184" s="16" t="n">
        <v>46303</v>
      </c>
      <c r="J184" s="5" t="inlineStr">
        <is>
          <t>Career background, major works and awards of Piyush Mishra.</t>
        </is>
      </c>
      <c r="K184" s="5" t="inlineStr">
        <is>
          <t>Reference encyclopedia</t>
        </is>
      </c>
      <c r="L184" s="5" t="inlineStr">
        <is>
          <t>C</t>
        </is>
      </c>
      <c r="M184" s="5" t="inlineStr">
        <is>
          <t>Collaborator article; downloaded as raw wikitext.</t>
        </is>
      </c>
    </row>
    <row r="185" ht="34" customHeight="1">
      <c r="A185" s="15" t="inlineStr">
        <is>
          <t>SOURCE-184</t>
        </is>
      </c>
      <c r="B185" s="5" t="n"/>
      <c r="C185" s="5" t="n"/>
      <c r="D185" s="5" t="inlineStr">
        <is>
          <t>Pradeep Uppoor</t>
        </is>
      </c>
      <c r="E185" s="5" t="inlineStr">
        <is>
          <t>Wikipedia</t>
        </is>
      </c>
      <c r="F185" s="5" t="n"/>
      <c r="G185" s="5" t="n"/>
      <c r="H185" s="22" t="inlineStr">
        <is>
          <t>https://en.wikipedia.org/wiki/Pradeep_Uppoor</t>
        </is>
      </c>
      <c r="I185" s="16" t="n">
        <v>46303</v>
      </c>
      <c r="J185" s="5" t="inlineStr">
        <is>
          <t>Career background, major works and awards of Pradeep Uppoor.</t>
        </is>
      </c>
      <c r="K185" s="5" t="inlineStr">
        <is>
          <t>Reference encyclopedia</t>
        </is>
      </c>
      <c r="L185" s="5" t="inlineStr">
        <is>
          <t>C</t>
        </is>
      </c>
      <c r="M185" s="5" t="inlineStr">
        <is>
          <t>Collaborator article; downloaded as raw wikitext.</t>
        </is>
      </c>
    </row>
    <row r="186" ht="34" customHeight="1">
      <c r="A186" s="15" t="inlineStr">
        <is>
          <t>SOURCE-185</t>
        </is>
      </c>
      <c r="B186" s="5" t="n"/>
      <c r="C186" s="5" t="n"/>
      <c r="D186" s="5" t="inlineStr">
        <is>
          <t>Prasoon Joshi</t>
        </is>
      </c>
      <c r="E186" s="5" t="inlineStr">
        <is>
          <t>Wikipedia</t>
        </is>
      </c>
      <c r="F186" s="5" t="n"/>
      <c r="G186" s="5" t="n"/>
      <c r="H186" s="22" t="inlineStr">
        <is>
          <t>https://en.wikipedia.org/wiki/Prasoon_Joshi</t>
        </is>
      </c>
      <c r="I186" s="16" t="n">
        <v>46303</v>
      </c>
      <c r="J186" s="5" t="inlineStr">
        <is>
          <t>Career background, major works and awards of Prasoon Joshi.</t>
        </is>
      </c>
      <c r="K186" s="5" t="inlineStr">
        <is>
          <t>Reference encyclopedia</t>
        </is>
      </c>
      <c r="L186" s="5" t="inlineStr">
        <is>
          <t>C</t>
        </is>
      </c>
      <c r="M186" s="5" t="inlineStr">
        <is>
          <t>Collaborator article; downloaded as raw wikitext.</t>
        </is>
      </c>
    </row>
    <row r="187" ht="34" customHeight="1">
      <c r="A187" s="15" t="inlineStr">
        <is>
          <t>SOURCE-186</t>
        </is>
      </c>
      <c r="B187" s="5" t="n"/>
      <c r="C187" s="5" t="n"/>
      <c r="D187" s="5" t="inlineStr">
        <is>
          <t>PVR Inox Pictures</t>
        </is>
      </c>
      <c r="E187" s="5" t="inlineStr">
        <is>
          <t>Wikipedia</t>
        </is>
      </c>
      <c r="F187" s="5" t="n"/>
      <c r="G187" s="5" t="n"/>
      <c r="H187" s="22" t="inlineStr">
        <is>
          <t>https://en.wikipedia.org/wiki/PVR_Inox_Pictures</t>
        </is>
      </c>
      <c r="I187" s="16" t="n">
        <v>46303</v>
      </c>
      <c r="J187" s="5" t="inlineStr">
        <is>
          <t>Career background of PVR Pictures, drawn from the article on PVR Inox Pictures.</t>
        </is>
      </c>
      <c r="K187" s="5" t="inlineStr">
        <is>
          <t>Reference encyclopedia</t>
        </is>
      </c>
      <c r="L187" s="5" t="inlineStr">
        <is>
          <t>C</t>
        </is>
      </c>
      <c r="M187" s="5" t="inlineStr">
        <is>
          <t>Collaborator article; downloaded as raw wikitext.</t>
        </is>
      </c>
    </row>
    <row r="188" ht="34" customHeight="1">
      <c r="A188" s="15" t="inlineStr">
        <is>
          <t>SOURCE-187</t>
        </is>
      </c>
      <c r="B188" s="5" t="n"/>
      <c r="C188" s="5" t="n"/>
      <c r="D188" s="5" t="inlineStr">
        <is>
          <t>Rahi Masoom Raza</t>
        </is>
      </c>
      <c r="E188" s="5" t="inlineStr">
        <is>
          <t>Wikipedia</t>
        </is>
      </c>
      <c r="F188" s="5" t="n"/>
      <c r="G188" s="5" t="n"/>
      <c r="H188" s="22" t="inlineStr">
        <is>
          <t>https://en.wikipedia.org/wiki/Rahi_Masoom_Raza</t>
        </is>
      </c>
      <c r="I188" s="16" t="n">
        <v>46303</v>
      </c>
      <c r="J188" s="5" t="inlineStr">
        <is>
          <t>Career background, major works and awards of Rahi Masoom Raza.</t>
        </is>
      </c>
      <c r="K188" s="5" t="inlineStr">
        <is>
          <t>Reference encyclopedia</t>
        </is>
      </c>
      <c r="L188" s="5" t="inlineStr">
        <is>
          <t>C</t>
        </is>
      </c>
      <c r="M188" s="5" t="inlineStr">
        <is>
          <t>Collaborator article; downloaded as raw wikitext.</t>
        </is>
      </c>
    </row>
    <row r="189" ht="34" customHeight="1">
      <c r="A189" s="15" t="inlineStr">
        <is>
          <t>SOURCE-188</t>
        </is>
      </c>
      <c r="B189" s="5" t="n"/>
      <c r="C189" s="5" t="n"/>
      <c r="D189" s="5" t="inlineStr">
        <is>
          <t>Rajat Dholakia</t>
        </is>
      </c>
      <c r="E189" s="5" t="inlineStr">
        <is>
          <t>Wikipedia</t>
        </is>
      </c>
      <c r="F189" s="5" t="n"/>
      <c r="G189" s="5" t="n"/>
      <c r="H189" s="22" t="inlineStr">
        <is>
          <t>https://en.wikipedia.org/wiki/Rajat_Dholakia</t>
        </is>
      </c>
      <c r="I189" s="16" t="n">
        <v>46303</v>
      </c>
      <c r="J189" s="5" t="inlineStr">
        <is>
          <t>Career background, major works and awards of Rajat Dholakia.</t>
        </is>
      </c>
      <c r="K189" s="5" t="inlineStr">
        <is>
          <t>Reference encyclopedia</t>
        </is>
      </c>
      <c r="L189" s="5" t="inlineStr">
        <is>
          <t>C</t>
        </is>
      </c>
      <c r="M189" s="5" t="inlineStr">
        <is>
          <t>Collaborator article; downloaded as raw wikitext.</t>
        </is>
      </c>
    </row>
    <row r="190" ht="34" customHeight="1">
      <c r="A190" s="15" t="inlineStr">
        <is>
          <t>SOURCE-189</t>
        </is>
      </c>
      <c r="B190" s="5" t="n"/>
      <c r="C190" s="5" t="n"/>
      <c r="D190" s="5" t="inlineStr">
        <is>
          <t>Rajesh Roshan</t>
        </is>
      </c>
      <c r="E190" s="5" t="inlineStr">
        <is>
          <t>Wikipedia</t>
        </is>
      </c>
      <c r="F190" s="5" t="n"/>
      <c r="G190" s="5" t="n"/>
      <c r="H190" s="22" t="inlineStr">
        <is>
          <t>https://en.wikipedia.org/wiki/Rajesh_Roshan</t>
        </is>
      </c>
      <c r="I190" s="16" t="n">
        <v>46303</v>
      </c>
      <c r="J190" s="5" t="inlineStr">
        <is>
          <t>Career background, major works and awards of Rajesh Roshan.</t>
        </is>
      </c>
      <c r="K190" s="5" t="inlineStr">
        <is>
          <t>Reference encyclopedia</t>
        </is>
      </c>
      <c r="L190" s="5" t="inlineStr">
        <is>
          <t>C</t>
        </is>
      </c>
      <c r="M190" s="5" t="inlineStr">
        <is>
          <t>Collaborator article; downloaded as raw wikitext.</t>
        </is>
      </c>
    </row>
    <row r="191" ht="34" customHeight="1">
      <c r="A191" s="15" t="inlineStr">
        <is>
          <t>SOURCE-190</t>
        </is>
      </c>
      <c r="B191" s="5" t="n"/>
      <c r="C191" s="5" t="n"/>
      <c r="D191" s="5" t="inlineStr">
        <is>
          <t>Ranjit Barot</t>
        </is>
      </c>
      <c r="E191" s="5" t="inlineStr">
        <is>
          <t>Wikipedia</t>
        </is>
      </c>
      <c r="F191" s="5" t="n"/>
      <c r="G191" s="5" t="n"/>
      <c r="H191" s="22" t="inlineStr">
        <is>
          <t>https://en.wikipedia.org/wiki/Ranjit_Barot</t>
        </is>
      </c>
      <c r="I191" s="16" t="n">
        <v>46303</v>
      </c>
      <c r="J191" s="5" t="inlineStr">
        <is>
          <t>Career background, major works and awards of Ranjit Barot.</t>
        </is>
      </c>
      <c r="K191" s="5" t="inlineStr">
        <is>
          <t>Reference encyclopedia</t>
        </is>
      </c>
      <c r="L191" s="5" t="inlineStr">
        <is>
          <t>C</t>
        </is>
      </c>
      <c r="M191" s="5" t="inlineStr">
        <is>
          <t>Collaborator article; downloaded as raw wikitext.</t>
        </is>
      </c>
    </row>
    <row r="192" ht="34" customHeight="1">
      <c r="A192" s="15" t="inlineStr">
        <is>
          <t>SOURCE-191</t>
        </is>
      </c>
      <c r="B192" s="5" t="n"/>
      <c r="C192" s="5" t="n"/>
      <c r="D192" s="5" t="inlineStr">
        <is>
          <t>Rensil D'Silva</t>
        </is>
      </c>
      <c r="E192" s="5" t="inlineStr">
        <is>
          <t>Wikipedia</t>
        </is>
      </c>
      <c r="F192" s="5" t="n"/>
      <c r="G192" s="5" t="n"/>
      <c r="H192" s="22" t="inlineStr">
        <is>
          <t>https://en.wikipedia.org/wiki/Rensil_D'Silva</t>
        </is>
      </c>
      <c r="I192" s="16" t="n">
        <v>46303</v>
      </c>
      <c r="J192" s="5" t="inlineStr">
        <is>
          <t>Career background, major works and awards of Rensil D'Silva.</t>
        </is>
      </c>
      <c r="K192" s="5" t="inlineStr">
        <is>
          <t>Reference encyclopedia</t>
        </is>
      </c>
      <c r="L192" s="5" t="inlineStr">
        <is>
          <t>C</t>
        </is>
      </c>
      <c r="M192" s="5" t="inlineStr">
        <is>
          <t>Collaborator article; downloaded as raw wikitext.</t>
        </is>
      </c>
    </row>
    <row r="193" ht="34" customHeight="1">
      <c r="A193" s="15" t="inlineStr">
        <is>
          <t>SOURCE-192</t>
        </is>
      </c>
      <c r="B193" s="5" t="n"/>
      <c r="C193" s="5" t="n"/>
      <c r="D193" s="5" t="inlineStr">
        <is>
          <t>Revathi</t>
        </is>
      </c>
      <c r="E193" s="5" t="inlineStr">
        <is>
          <t>Wikipedia</t>
        </is>
      </c>
      <c r="F193" s="5" t="n"/>
      <c r="G193" s="5" t="n"/>
      <c r="H193" s="22" t="inlineStr">
        <is>
          <t>https://en.wikipedia.org/wiki/Revathi</t>
        </is>
      </c>
      <c r="I193" s="16" t="n">
        <v>46303</v>
      </c>
      <c r="J193" s="5" t="inlineStr">
        <is>
          <t>Career background, major works and awards of Revathi.</t>
        </is>
      </c>
      <c r="K193" s="5" t="inlineStr">
        <is>
          <t>Reference encyclopedia</t>
        </is>
      </c>
      <c r="L193" s="5" t="inlineStr">
        <is>
          <t>C</t>
        </is>
      </c>
      <c r="M193" s="5" t="inlineStr">
        <is>
          <t>Collaborator article; downloaded as raw wikitext.</t>
        </is>
      </c>
    </row>
    <row r="194" ht="34" customHeight="1">
      <c r="A194" s="15" t="inlineStr">
        <is>
          <t>SOURCE-193</t>
        </is>
      </c>
      <c r="B194" s="5" t="n"/>
      <c r="C194" s="5" t="n"/>
      <c r="D194" s="5" t="inlineStr">
        <is>
          <t>Rochak Kohli</t>
        </is>
      </c>
      <c r="E194" s="5" t="inlineStr">
        <is>
          <t>Wikipedia</t>
        </is>
      </c>
      <c r="F194" s="5" t="n"/>
      <c r="G194" s="5" t="n"/>
      <c r="H194" s="22" t="inlineStr">
        <is>
          <t>https://en.wikipedia.org/wiki/Rochak_Kohli</t>
        </is>
      </c>
      <c r="I194" s="16" t="n">
        <v>46303</v>
      </c>
      <c r="J194" s="5" t="inlineStr">
        <is>
          <t>Career background, major works and awards of Rochak Kohli.</t>
        </is>
      </c>
      <c r="K194" s="5" t="inlineStr">
        <is>
          <t>Reference encyclopedia</t>
        </is>
      </c>
      <c r="L194" s="5" t="inlineStr">
        <is>
          <t>C</t>
        </is>
      </c>
      <c r="M194" s="5" t="inlineStr">
        <is>
          <t>Collaborator article; downloaded as raw wikitext.</t>
        </is>
      </c>
    </row>
    <row r="195" ht="34" customHeight="1">
      <c r="A195" s="15" t="inlineStr">
        <is>
          <t>SOURCE-194</t>
        </is>
      </c>
      <c r="B195" s="5" t="n"/>
      <c r="C195" s="5" t="n"/>
      <c r="D195" s="5" t="inlineStr">
        <is>
          <t>Salim–Javed</t>
        </is>
      </c>
      <c r="E195" s="5" t="inlineStr">
        <is>
          <t>Wikipedia</t>
        </is>
      </c>
      <c r="F195" s="5" t="n"/>
      <c r="G195" s="5" t="n"/>
      <c r="H195" s="22" t="inlineStr">
        <is>
          <t>https://en.wikipedia.org/wiki/Salim%E2%80%93Javed</t>
        </is>
      </c>
      <c r="I195" s="16" t="n">
        <v>46303</v>
      </c>
      <c r="J195" s="5" t="inlineStr">
        <is>
          <t>Career background, major works and awards of Salim–Javed.</t>
        </is>
      </c>
      <c r="K195" s="5" t="inlineStr">
        <is>
          <t>Reference encyclopedia</t>
        </is>
      </c>
      <c r="L195" s="5" t="inlineStr">
        <is>
          <t>C</t>
        </is>
      </c>
      <c r="M195" s="5" t="inlineStr">
        <is>
          <t>Collaborator article; downloaded as raw wikitext.</t>
        </is>
      </c>
    </row>
    <row r="196" ht="34" customHeight="1">
      <c r="A196" s="15" t="inlineStr">
        <is>
          <t>SOURCE-195</t>
        </is>
      </c>
      <c r="B196" s="5" t="n"/>
      <c r="C196" s="5" t="n"/>
      <c r="D196" s="5" t="inlineStr">
        <is>
          <t>Salim–Sulaiman</t>
        </is>
      </c>
      <c r="E196" s="5" t="inlineStr">
        <is>
          <t>Wikipedia</t>
        </is>
      </c>
      <c r="F196" s="5" t="n"/>
      <c r="G196" s="5" t="n"/>
      <c r="H196" s="22" t="inlineStr">
        <is>
          <t>https://en.wikipedia.org/wiki/Salim%E2%80%93Sulaiman</t>
        </is>
      </c>
      <c r="I196" s="16" t="n">
        <v>46303</v>
      </c>
      <c r="J196" s="5" t="inlineStr">
        <is>
          <t>Career background, major works and awards of Salim–Sulaiman.</t>
        </is>
      </c>
      <c r="K196" s="5" t="inlineStr">
        <is>
          <t>Reference encyclopedia</t>
        </is>
      </c>
      <c r="L196" s="5" t="inlineStr">
        <is>
          <t>C</t>
        </is>
      </c>
      <c r="M196" s="5" t="inlineStr">
        <is>
          <t>Collaborator article; downloaded as raw wikitext.</t>
        </is>
      </c>
    </row>
    <row r="197" ht="34" customHeight="1">
      <c r="A197" s="15" t="inlineStr">
        <is>
          <t>SOURCE-196</t>
        </is>
      </c>
      <c r="B197" s="5" t="n"/>
      <c r="C197" s="5" t="n"/>
      <c r="D197" s="5" t="inlineStr">
        <is>
          <t>Sangeeth Sivan</t>
        </is>
      </c>
      <c r="E197" s="5" t="inlineStr">
        <is>
          <t>Wikipedia</t>
        </is>
      </c>
      <c r="F197" s="5" t="n"/>
      <c r="G197" s="5" t="n"/>
      <c r="H197" s="22" t="inlineStr">
        <is>
          <t>https://en.wikipedia.org/wiki/Sangeeth_Sivan</t>
        </is>
      </c>
      <c r="I197" s="16" t="n">
        <v>46303</v>
      </c>
      <c r="J197" s="5" t="inlineStr">
        <is>
          <t>Career background, major works and awards of Sangeeth Sivan.</t>
        </is>
      </c>
      <c r="K197" s="5" t="inlineStr">
        <is>
          <t>Reference encyclopedia</t>
        </is>
      </c>
      <c r="L197" s="5" t="inlineStr">
        <is>
          <t>C</t>
        </is>
      </c>
      <c r="M197" s="5" t="inlineStr">
        <is>
          <t>Collaborator article; downloaded as raw wikitext.</t>
        </is>
      </c>
    </row>
    <row r="198" ht="34" customHeight="1">
      <c r="A198" s="15" t="inlineStr">
        <is>
          <t>SOURCE-197</t>
        </is>
      </c>
      <c r="B198" s="5" t="n"/>
      <c r="C198" s="5" t="n"/>
      <c r="D198" s="5" t="inlineStr">
        <is>
          <t>Sanjeev–Darshan</t>
        </is>
      </c>
      <c r="E198" s="5" t="inlineStr">
        <is>
          <t>Wikipedia</t>
        </is>
      </c>
      <c r="F198" s="5" t="n"/>
      <c r="G198" s="5" t="n"/>
      <c r="H198" s="22" t="inlineStr">
        <is>
          <t>https://en.wikipedia.org/wiki/Sanjeev%E2%80%93Darshan</t>
        </is>
      </c>
      <c r="I198" s="16" t="n">
        <v>46303</v>
      </c>
      <c r="J198" s="5" t="inlineStr">
        <is>
          <t>Career background, major works and awards of Sanjeev–Darshan.</t>
        </is>
      </c>
      <c r="K198" s="5" t="inlineStr">
        <is>
          <t>Reference encyclopedia</t>
        </is>
      </c>
      <c r="L198" s="5" t="inlineStr">
        <is>
          <t>C</t>
        </is>
      </c>
      <c r="M198" s="5" t="inlineStr">
        <is>
          <t>Collaborator article; downloaded as raw wikitext.</t>
        </is>
      </c>
    </row>
    <row r="199" ht="34" customHeight="1">
      <c r="A199" s="15" t="inlineStr">
        <is>
          <t>SOURCE-198</t>
        </is>
      </c>
      <c r="B199" s="5" t="n"/>
      <c r="C199" s="5" t="n"/>
      <c r="D199" s="5" t="inlineStr">
        <is>
          <t>Sanjoy Chowdhury</t>
        </is>
      </c>
      <c r="E199" s="5" t="inlineStr">
        <is>
          <t>Wikipedia</t>
        </is>
      </c>
      <c r="F199" s="5" t="n"/>
      <c r="G199" s="5" t="n"/>
      <c r="H199" s="22" t="inlineStr">
        <is>
          <t>https://en.wikipedia.org/wiki/Sanjoy_Chowdhury</t>
        </is>
      </c>
      <c r="I199" s="16" t="n">
        <v>46303</v>
      </c>
      <c r="J199" s="5" t="inlineStr">
        <is>
          <t>Career background, major works and awards of Sanjoy Chowdhury.</t>
        </is>
      </c>
      <c r="K199" s="5" t="inlineStr">
        <is>
          <t>Reference encyclopedia</t>
        </is>
      </c>
      <c r="L199" s="5" t="inlineStr">
        <is>
          <t>C</t>
        </is>
      </c>
      <c r="M199" s="5" t="inlineStr">
        <is>
          <t>Collaborator article; downloaded as raw wikitext.</t>
        </is>
      </c>
    </row>
    <row r="200" ht="34" customHeight="1">
      <c r="A200" s="15" t="inlineStr">
        <is>
          <t>SOURCE-199</t>
        </is>
      </c>
      <c r="B200" s="5" t="n"/>
      <c r="C200" s="5" t="n"/>
      <c r="D200" s="5" t="inlineStr">
        <is>
          <t>Santosh Saroj</t>
        </is>
      </c>
      <c r="E200" s="5" t="inlineStr">
        <is>
          <t>Wikipedia</t>
        </is>
      </c>
      <c r="F200" s="5" t="n"/>
      <c r="G200" s="5" t="n"/>
      <c r="H200" s="22" t="inlineStr">
        <is>
          <t>https://en.wikipedia.org/wiki/Santosh_Saroj</t>
        </is>
      </c>
      <c r="I200" s="16" t="n">
        <v>46303</v>
      </c>
      <c r="J200" s="5" t="inlineStr">
        <is>
          <t>Career background, major works and awards of Santosh Saroj.</t>
        </is>
      </c>
      <c r="K200" s="5" t="inlineStr">
        <is>
          <t>Reference encyclopedia</t>
        </is>
      </c>
      <c r="L200" s="5" t="inlineStr">
        <is>
          <t>C</t>
        </is>
      </c>
      <c r="M200" s="5" t="inlineStr">
        <is>
          <t>Collaborator article; downloaded as raw wikitext.</t>
        </is>
      </c>
    </row>
    <row r="201" ht="34" customHeight="1">
      <c r="A201" s="15" t="inlineStr">
        <is>
          <t>SOURCE-200</t>
        </is>
      </c>
      <c r="B201" s="5" t="n"/>
      <c r="C201" s="5" t="n"/>
      <c r="D201" s="5" t="inlineStr">
        <is>
          <t>Sharad Joshi</t>
        </is>
      </c>
      <c r="E201" s="5" t="inlineStr">
        <is>
          <t>Wikipedia</t>
        </is>
      </c>
      <c r="F201" s="5" t="n"/>
      <c r="G201" s="5" t="n"/>
      <c r="H201" s="22" t="inlineStr">
        <is>
          <t>https://en.wikipedia.org/wiki/Sharad_Joshi</t>
        </is>
      </c>
      <c r="I201" s="16" t="n">
        <v>46303</v>
      </c>
      <c r="J201" s="5" t="inlineStr">
        <is>
          <t>Career background, major works and awards of Sharad Joshi.</t>
        </is>
      </c>
      <c r="K201" s="5" t="inlineStr">
        <is>
          <t>Reference encyclopedia</t>
        </is>
      </c>
      <c r="L201" s="5" t="inlineStr">
        <is>
          <t>C</t>
        </is>
      </c>
      <c r="M201" s="5" t="inlineStr">
        <is>
          <t>Collaborator article; downloaded as raw wikitext.</t>
        </is>
      </c>
    </row>
    <row r="202" ht="34" customHeight="1">
      <c r="A202" s="15" t="inlineStr">
        <is>
          <t>SOURCE-201</t>
        </is>
      </c>
      <c r="B202" s="5" t="n"/>
      <c r="C202" s="5" t="n"/>
      <c r="D202" s="5" t="inlineStr">
        <is>
          <t>Shibani Bathija</t>
        </is>
      </c>
      <c r="E202" s="5" t="inlineStr">
        <is>
          <t>Wikipedia</t>
        </is>
      </c>
      <c r="F202" s="5" t="n"/>
      <c r="G202" s="5" t="n"/>
      <c r="H202" s="22" t="inlineStr">
        <is>
          <t>https://en.wikipedia.org/wiki/Shibani_Bathija</t>
        </is>
      </c>
      <c r="I202" s="16" t="n">
        <v>46303</v>
      </c>
      <c r="J202" s="5" t="inlineStr">
        <is>
          <t>Career background, major works and awards of Shibani Bathija.</t>
        </is>
      </c>
      <c r="K202" s="5" t="inlineStr">
        <is>
          <t>Reference encyclopedia</t>
        </is>
      </c>
      <c r="L202" s="5" t="inlineStr">
        <is>
          <t>C</t>
        </is>
      </c>
      <c r="M202" s="5" t="inlineStr">
        <is>
          <t>Collaborator article; downloaded as raw wikitext.</t>
        </is>
      </c>
    </row>
    <row r="203" ht="34" customHeight="1">
      <c r="A203" s="15" t="inlineStr">
        <is>
          <t>SOURCE-202</t>
        </is>
      </c>
      <c r="B203" s="5" t="n"/>
      <c r="C203" s="5" t="n"/>
      <c r="D203" s="5" t="inlineStr">
        <is>
          <t>Shiv–Hari</t>
        </is>
      </c>
      <c r="E203" s="5" t="inlineStr">
        <is>
          <t>Wikipedia</t>
        </is>
      </c>
      <c r="F203" s="5" t="n"/>
      <c r="G203" s="5" t="n"/>
      <c r="H203" s="22" t="inlineStr">
        <is>
          <t>https://en.wikipedia.org/wiki/Shiv%E2%80%93Hari</t>
        </is>
      </c>
      <c r="I203" s="16" t="n">
        <v>46303</v>
      </c>
      <c r="J203" s="5" t="inlineStr">
        <is>
          <t>Career background, major works and awards of Shiv–Hari.</t>
        </is>
      </c>
      <c r="K203" s="5" t="inlineStr">
        <is>
          <t>Reference encyclopedia</t>
        </is>
      </c>
      <c r="L203" s="5" t="inlineStr">
        <is>
          <t>C</t>
        </is>
      </c>
      <c r="M203" s="5" t="inlineStr">
        <is>
          <t>Collaborator article; downloaded as raw wikitext.</t>
        </is>
      </c>
    </row>
    <row r="204" ht="34" customHeight="1">
      <c r="A204" s="15" t="inlineStr">
        <is>
          <t>SOURCE-203</t>
        </is>
      </c>
      <c r="B204" s="5" t="n"/>
      <c r="C204" s="5" t="n"/>
      <c r="D204" s="5" t="inlineStr">
        <is>
          <t>Siddharth Roy Kapur</t>
        </is>
      </c>
      <c r="E204" s="5" t="inlineStr">
        <is>
          <t>Wikipedia</t>
        </is>
      </c>
      <c r="F204" s="5" t="n"/>
      <c r="G204" s="5" t="n"/>
      <c r="H204" s="22" t="inlineStr">
        <is>
          <t>https://en.wikipedia.org/wiki/Siddharth_Roy_Kapur</t>
        </is>
      </c>
      <c r="I204" s="16" t="n">
        <v>46303</v>
      </c>
      <c r="J204" s="5" t="inlineStr">
        <is>
          <t>Career background, major works and awards of Siddharth Roy Kapur.</t>
        </is>
      </c>
      <c r="K204" s="5" t="inlineStr">
        <is>
          <t>Reference encyclopedia</t>
        </is>
      </c>
      <c r="L204" s="5" t="inlineStr">
        <is>
          <t>C</t>
        </is>
      </c>
      <c r="M204" s="5" t="inlineStr">
        <is>
          <t>Collaborator article; downloaded as raw wikitext.</t>
        </is>
      </c>
    </row>
    <row r="205" ht="34" customHeight="1">
      <c r="A205" s="15" t="inlineStr">
        <is>
          <t>SOURCE-204</t>
        </is>
      </c>
      <c r="B205" s="5" t="n"/>
      <c r="C205" s="5" t="n"/>
      <c r="D205" s="5" t="inlineStr">
        <is>
          <t>Sikhya Entertainment</t>
        </is>
      </c>
      <c r="E205" s="5" t="inlineStr">
        <is>
          <t>Wikipedia</t>
        </is>
      </c>
      <c r="F205" s="5" t="n"/>
      <c r="G205" s="5" t="n"/>
      <c r="H205" s="22" t="inlineStr">
        <is>
          <t>https://en.wikipedia.org/wiki/Sikhya_Entertainment</t>
        </is>
      </c>
      <c r="I205" s="16" t="n">
        <v>46303</v>
      </c>
      <c r="J205" s="5" t="inlineStr">
        <is>
          <t>Career background, major works and awards of Sikhya Entertainment.</t>
        </is>
      </c>
      <c r="K205" s="5" t="inlineStr">
        <is>
          <t>Reference encyclopedia</t>
        </is>
      </c>
      <c r="L205" s="5" t="inlineStr">
        <is>
          <t>C</t>
        </is>
      </c>
      <c r="M205" s="5" t="inlineStr">
        <is>
          <t>Collaborator article; downloaded as raw wikitext.</t>
        </is>
      </c>
    </row>
    <row r="206" ht="34" customHeight="1">
      <c r="A206" s="15" t="inlineStr">
        <is>
          <t>SOURCE-205</t>
        </is>
      </c>
      <c r="B206" s="5" t="n"/>
      <c r="C206" s="5" t="n"/>
      <c r="D206" s="5" t="inlineStr">
        <is>
          <t>Sun Pictures</t>
        </is>
      </c>
      <c r="E206" s="5" t="inlineStr">
        <is>
          <t>Wikipedia</t>
        </is>
      </c>
      <c r="F206" s="5" t="n"/>
      <c r="G206" s="5" t="n"/>
      <c r="H206" s="22" t="inlineStr">
        <is>
          <t>https://en.wikipedia.org/wiki/Sun_Pictures</t>
        </is>
      </c>
      <c r="I206" s="16" t="n">
        <v>46303</v>
      </c>
      <c r="J206" s="5" t="inlineStr">
        <is>
          <t>Career background, major works and awards of Sun Pictures.</t>
        </is>
      </c>
      <c r="K206" s="5" t="inlineStr">
        <is>
          <t>Reference encyclopedia</t>
        </is>
      </c>
      <c r="L206" s="5" t="inlineStr">
        <is>
          <t>C</t>
        </is>
      </c>
      <c r="M206" s="5" t="inlineStr">
        <is>
          <t>Collaborator article; downloaded as raw wikitext.</t>
        </is>
      </c>
    </row>
    <row r="207" ht="34" customHeight="1">
      <c r="A207" s="15" t="inlineStr">
        <is>
          <t>SOURCE-206</t>
        </is>
      </c>
      <c r="B207" s="5" t="n"/>
      <c r="C207" s="5" t="n"/>
      <c r="D207" s="5" t="inlineStr">
        <is>
          <t>Suneel Darshan</t>
        </is>
      </c>
      <c r="E207" s="5" t="inlineStr">
        <is>
          <t>Wikipedia</t>
        </is>
      </c>
      <c r="F207" s="5" t="n"/>
      <c r="G207" s="5" t="n"/>
      <c r="H207" s="22" t="inlineStr">
        <is>
          <t>https://en.wikipedia.org/wiki/Suneel_Darshan</t>
        </is>
      </c>
      <c r="I207" s="16" t="n">
        <v>46303</v>
      </c>
      <c r="J207" s="5" t="inlineStr">
        <is>
          <t>Career background, major works and awards of Suneel Darshan.</t>
        </is>
      </c>
      <c r="K207" s="5" t="inlineStr">
        <is>
          <t>Reference encyclopedia</t>
        </is>
      </c>
      <c r="L207" s="5" t="inlineStr">
        <is>
          <t>C</t>
        </is>
      </c>
      <c r="M207" s="5" t="inlineStr">
        <is>
          <t>Collaborator article; downloaded as raw wikitext.</t>
        </is>
      </c>
    </row>
    <row r="208" ht="34" customHeight="1">
      <c r="A208" s="15" t="inlineStr">
        <is>
          <t>SOURCE-207</t>
        </is>
      </c>
      <c r="B208" s="5" t="n"/>
      <c r="C208" s="5" t="n"/>
      <c r="D208" s="5" t="inlineStr">
        <is>
          <t>Tanishk Bagchi</t>
        </is>
      </c>
      <c r="E208" s="5" t="inlineStr">
        <is>
          <t>Wikipedia</t>
        </is>
      </c>
      <c r="F208" s="5" t="n"/>
      <c r="G208" s="5" t="n"/>
      <c r="H208" s="22" t="inlineStr">
        <is>
          <t>https://en.wikipedia.org/wiki/Tanishk_Bagchi</t>
        </is>
      </c>
      <c r="I208" s="16" t="n">
        <v>46303</v>
      </c>
      <c r="J208" s="5" t="inlineStr">
        <is>
          <t>Career background, major works and awards of Tanishk Bagchi.</t>
        </is>
      </c>
      <c r="K208" s="5" t="inlineStr">
        <is>
          <t>Reference encyclopedia</t>
        </is>
      </c>
      <c r="L208" s="5" t="inlineStr">
        <is>
          <t>C</t>
        </is>
      </c>
      <c r="M208" s="5" t="inlineStr">
        <is>
          <t>Collaborator article; downloaded as raw wikitext.</t>
        </is>
      </c>
    </row>
    <row r="209" ht="34" customHeight="1">
      <c r="A209" s="15" t="inlineStr">
        <is>
          <t>SOURCE-208</t>
        </is>
      </c>
      <c r="B209" s="5" t="n"/>
      <c r="C209" s="5" t="n"/>
      <c r="D209" s="5" t="inlineStr">
        <is>
          <t>Disney India</t>
        </is>
      </c>
      <c r="E209" s="5" t="inlineStr">
        <is>
          <t>Wikipedia</t>
        </is>
      </c>
      <c r="F209" s="5" t="n"/>
      <c r="G209" s="5" t="n"/>
      <c r="H209" s="22" t="inlineStr">
        <is>
          <t>https://en.wikipedia.org/wiki/Disney_India</t>
        </is>
      </c>
      <c r="I209" s="16" t="n">
        <v>46303</v>
      </c>
      <c r="J209" s="5" t="inlineStr">
        <is>
          <t>Career background of The Walt Disney Company India, drawn from the article on Disney India.</t>
        </is>
      </c>
      <c r="K209" s="5" t="inlineStr">
        <is>
          <t>Reference encyclopedia</t>
        </is>
      </c>
      <c r="L209" s="5" t="inlineStr">
        <is>
          <t>C</t>
        </is>
      </c>
      <c r="M209" s="5" t="inlineStr">
        <is>
          <t>Collaborator article; downloaded as raw wikitext.</t>
        </is>
      </c>
    </row>
    <row r="210" ht="34" customHeight="1">
      <c r="A210" s="15" t="inlineStr">
        <is>
          <t>SOURCE-209</t>
        </is>
      </c>
      <c r="B210" s="5" t="n"/>
      <c r="C210" s="5" t="n"/>
      <c r="D210" s="5" t="inlineStr">
        <is>
          <t>Vanraj Bhatia</t>
        </is>
      </c>
      <c r="E210" s="5" t="inlineStr">
        <is>
          <t>Wikipedia</t>
        </is>
      </c>
      <c r="F210" s="5" t="n"/>
      <c r="G210" s="5" t="n"/>
      <c r="H210" s="22" t="inlineStr">
        <is>
          <t>https://en.wikipedia.org/wiki/Vanraj_Bhatia</t>
        </is>
      </c>
      <c r="I210" s="16" t="n">
        <v>46303</v>
      </c>
      <c r="J210" s="5" t="inlineStr">
        <is>
          <t>Career background, major works and awards of Vanraj Bhatia.</t>
        </is>
      </c>
      <c r="K210" s="5" t="inlineStr">
        <is>
          <t>Reference encyclopedia</t>
        </is>
      </c>
      <c r="L210" s="5" t="inlineStr">
        <is>
          <t>C</t>
        </is>
      </c>
      <c r="M210" s="5" t="inlineStr">
        <is>
          <t>Collaborator article; downloaded as raw wikitext.</t>
        </is>
      </c>
    </row>
    <row r="211" ht="34" customHeight="1">
      <c r="A211" s="15" t="inlineStr">
        <is>
          <t>SOURCE-210</t>
        </is>
      </c>
      <c r="B211" s="5" t="n"/>
      <c r="C211" s="5" t="n"/>
      <c r="D211" s="5" t="inlineStr">
        <is>
          <t>Viacom18 Studios</t>
        </is>
      </c>
      <c r="E211" s="5" t="inlineStr">
        <is>
          <t>Wikipedia</t>
        </is>
      </c>
      <c r="F211" s="5" t="n"/>
      <c r="G211" s="5" t="n"/>
      <c r="H211" s="22" t="inlineStr">
        <is>
          <t>https://en.wikipedia.org/wiki/Viacom18_Studios</t>
        </is>
      </c>
      <c r="I211" s="16" t="n">
        <v>46303</v>
      </c>
      <c r="J211" s="5" t="inlineStr">
        <is>
          <t>Career background, major works and awards of Viacom18 Studios.</t>
        </is>
      </c>
      <c r="K211" s="5" t="inlineStr">
        <is>
          <t>Reference encyclopedia</t>
        </is>
      </c>
      <c r="L211" s="5" t="inlineStr">
        <is>
          <t>C</t>
        </is>
      </c>
      <c r="M211" s="5" t="inlineStr">
        <is>
          <t>Collaborator article; downloaded as raw wikitext.</t>
        </is>
      </c>
    </row>
    <row r="212" ht="34" customHeight="1">
      <c r="A212" s="15" t="inlineStr">
        <is>
          <t>SOURCE-211</t>
        </is>
      </c>
      <c r="B212" s="5" t="n"/>
      <c r="C212" s="5" t="n"/>
      <c r="D212" s="5" t="inlineStr">
        <is>
          <t>Viju Shah</t>
        </is>
      </c>
      <c r="E212" s="5" t="inlineStr">
        <is>
          <t>Wikipedia</t>
        </is>
      </c>
      <c r="F212" s="5" t="n"/>
      <c r="G212" s="5" t="n"/>
      <c r="H212" s="22" t="inlineStr">
        <is>
          <t>https://en.wikipedia.org/wiki/Viju_Shah</t>
        </is>
      </c>
      <c r="I212" s="16" t="n">
        <v>46303</v>
      </c>
      <c r="J212" s="5" t="inlineStr">
        <is>
          <t>Career background, major works and awards of Viju Shah.</t>
        </is>
      </c>
      <c r="K212" s="5" t="inlineStr">
        <is>
          <t>Reference encyclopedia</t>
        </is>
      </c>
      <c r="L212" s="5" t="inlineStr">
        <is>
          <t>C</t>
        </is>
      </c>
      <c r="M212" s="5" t="inlineStr">
        <is>
          <t>Collaborator article; downloaded as raw wikitext.</t>
        </is>
      </c>
    </row>
    <row r="213" ht="34" customHeight="1">
      <c r="A213" s="15" t="inlineStr">
        <is>
          <t>SOURCE-212</t>
        </is>
      </c>
      <c r="B213" s="5" t="n"/>
      <c r="C213" s="5" t="n"/>
      <c r="D213" s="5" t="inlineStr">
        <is>
          <t>Vinay Kumar Sinha</t>
        </is>
      </c>
      <c r="E213" s="5" t="inlineStr">
        <is>
          <t>Wikipedia</t>
        </is>
      </c>
      <c r="F213" s="5" t="n"/>
      <c r="G213" s="5" t="n"/>
      <c r="H213" s="22" t="inlineStr">
        <is>
          <t>https://en.wikipedia.org/wiki/Vinay_Kumar_Sinha</t>
        </is>
      </c>
      <c r="I213" s="16" t="n">
        <v>46303</v>
      </c>
      <c r="J213" s="5" t="inlineStr">
        <is>
          <t>Career background, major works and awards of Vinay Kumar Sinha.</t>
        </is>
      </c>
      <c r="K213" s="5" t="inlineStr">
        <is>
          <t>Reference encyclopedia</t>
        </is>
      </c>
      <c r="L213" s="5" t="inlineStr">
        <is>
          <t>C</t>
        </is>
      </c>
      <c r="M213" s="5" t="inlineStr">
        <is>
          <t>Collaborator article; downloaded as raw wikitext.</t>
        </is>
      </c>
    </row>
    <row r="214" ht="34" customHeight="1">
      <c r="A214" s="15" t="inlineStr">
        <is>
          <t>SOURCE-213</t>
        </is>
      </c>
      <c r="B214" s="5" t="n"/>
      <c r="C214" s="5" t="n"/>
      <c r="D214" s="5" t="inlineStr">
        <is>
          <t>Vir Das</t>
        </is>
      </c>
      <c r="E214" s="5" t="inlineStr">
        <is>
          <t>Wikipedia</t>
        </is>
      </c>
      <c r="F214" s="5" t="n"/>
      <c r="G214" s="5" t="n"/>
      <c r="H214" s="22" t="inlineStr">
        <is>
          <t>https://en.wikipedia.org/wiki/Vir_Das</t>
        </is>
      </c>
      <c r="I214" s="16" t="n">
        <v>46303</v>
      </c>
      <c r="J214" s="5" t="inlineStr">
        <is>
          <t>Career background, major works and awards of Vir Das.</t>
        </is>
      </c>
      <c r="K214" s="5" t="inlineStr">
        <is>
          <t>Reference encyclopedia</t>
        </is>
      </c>
      <c r="L214" s="5" t="inlineStr">
        <is>
          <t>C</t>
        </is>
      </c>
      <c r="M214" s="5" t="inlineStr">
        <is>
          <t>Collaborator article; downloaded as raw wikitext.</t>
        </is>
      </c>
    </row>
    <row r="215" ht="34" customHeight="1">
      <c r="A215" s="15" t="inlineStr">
        <is>
          <t>SOURCE-214</t>
        </is>
      </c>
      <c r="B215" s="5" t="n"/>
      <c r="C215" s="5" t="n"/>
      <c r="D215" s="5" t="inlineStr">
        <is>
          <t>Zee Studios</t>
        </is>
      </c>
      <c r="E215" s="5" t="inlineStr">
        <is>
          <t>Wikipedia</t>
        </is>
      </c>
      <c r="F215" s="5" t="n"/>
      <c r="G215" s="5" t="n"/>
      <c r="H215" s="22" t="inlineStr">
        <is>
          <t>https://en.wikipedia.org/wiki/Zee_Studios</t>
        </is>
      </c>
      <c r="I215" s="16" t="n">
        <v>46303</v>
      </c>
      <c r="J215" s="5" t="inlineStr">
        <is>
          <t>Career background, major works and awards of Zee Studios.</t>
        </is>
      </c>
      <c r="K215" s="5" t="inlineStr">
        <is>
          <t>Reference encyclopedia</t>
        </is>
      </c>
      <c r="L215" s="5" t="inlineStr">
        <is>
          <t>C</t>
        </is>
      </c>
      <c r="M215" s="5" t="inlineStr">
        <is>
          <t>Collaborator article; downloaded as raw wikitext.</t>
        </is>
      </c>
    </row>
  </sheetData>
  <autoFilter ref="A1:M215"/>
  <dataValidations count="1">
    <dataValidation sqref="L2:L415" showDropDown="0" showInputMessage="0" showErrorMessage="1" allowBlank="1" errorTitle="Reliability Tier" error="Choose a value from the list." type="list">
      <formula1>"A,B,C,D"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 xmlns:r="http://schemas.openxmlformats.org/officeDocument/2006/relationships" ref="H153" r:id="rId151"/>
    <hyperlink xmlns:r="http://schemas.openxmlformats.org/officeDocument/2006/relationships" ref="H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 xmlns:r="http://schemas.openxmlformats.org/officeDocument/2006/relationships" ref="H159" r:id="rId157"/>
    <hyperlink xmlns:r="http://schemas.openxmlformats.org/officeDocument/2006/relationships" ref="H160" r:id="rId158"/>
    <hyperlink xmlns:r="http://schemas.openxmlformats.org/officeDocument/2006/relationships" ref="H161" r:id="rId159"/>
    <hyperlink xmlns:r="http://schemas.openxmlformats.org/officeDocument/2006/relationships" ref="H162" r:id="rId160"/>
    <hyperlink xmlns:r="http://schemas.openxmlformats.org/officeDocument/2006/relationships" ref="H163" r:id="rId161"/>
    <hyperlink xmlns:r="http://schemas.openxmlformats.org/officeDocument/2006/relationships" ref="H164" r:id="rId162"/>
    <hyperlink xmlns:r="http://schemas.openxmlformats.org/officeDocument/2006/relationships" ref="H165" r:id="rId163"/>
    <hyperlink xmlns:r="http://schemas.openxmlformats.org/officeDocument/2006/relationships" ref="H166" r:id="rId164"/>
    <hyperlink xmlns:r="http://schemas.openxmlformats.org/officeDocument/2006/relationships" ref="H167" r:id="rId165"/>
    <hyperlink xmlns:r="http://schemas.openxmlformats.org/officeDocument/2006/relationships" ref="H168" r:id="rId166"/>
    <hyperlink xmlns:r="http://schemas.openxmlformats.org/officeDocument/2006/relationships" ref="H169" r:id="rId167"/>
    <hyperlink xmlns:r="http://schemas.openxmlformats.org/officeDocument/2006/relationships" ref="H170" r:id="rId168"/>
    <hyperlink xmlns:r="http://schemas.openxmlformats.org/officeDocument/2006/relationships" ref="H171" r:id="rId169"/>
    <hyperlink xmlns:r="http://schemas.openxmlformats.org/officeDocument/2006/relationships" ref="H172" r:id="rId170"/>
    <hyperlink xmlns:r="http://schemas.openxmlformats.org/officeDocument/2006/relationships" ref="H173" r:id="rId171"/>
    <hyperlink xmlns:r="http://schemas.openxmlformats.org/officeDocument/2006/relationships" ref="H174" r:id="rId172"/>
    <hyperlink xmlns:r="http://schemas.openxmlformats.org/officeDocument/2006/relationships" ref="H175" r:id="rId173"/>
    <hyperlink xmlns:r="http://schemas.openxmlformats.org/officeDocument/2006/relationships" ref="H176" r:id="rId174"/>
    <hyperlink xmlns:r="http://schemas.openxmlformats.org/officeDocument/2006/relationships" ref="H177" r:id="rId175"/>
    <hyperlink xmlns:r="http://schemas.openxmlformats.org/officeDocument/2006/relationships" ref="H178" r:id="rId176"/>
    <hyperlink xmlns:r="http://schemas.openxmlformats.org/officeDocument/2006/relationships" ref="H179" r:id="rId177"/>
    <hyperlink xmlns:r="http://schemas.openxmlformats.org/officeDocument/2006/relationships" ref="H180" r:id="rId178"/>
    <hyperlink xmlns:r="http://schemas.openxmlformats.org/officeDocument/2006/relationships" ref="H181" r:id="rId179"/>
    <hyperlink xmlns:r="http://schemas.openxmlformats.org/officeDocument/2006/relationships" ref="H182" r:id="rId180"/>
    <hyperlink xmlns:r="http://schemas.openxmlformats.org/officeDocument/2006/relationships" ref="H183" r:id="rId181"/>
    <hyperlink xmlns:r="http://schemas.openxmlformats.org/officeDocument/2006/relationships" ref="H184" r:id="rId182"/>
    <hyperlink xmlns:r="http://schemas.openxmlformats.org/officeDocument/2006/relationships" ref="H185" r:id="rId183"/>
    <hyperlink xmlns:r="http://schemas.openxmlformats.org/officeDocument/2006/relationships" ref="H186" r:id="rId184"/>
    <hyperlink xmlns:r="http://schemas.openxmlformats.org/officeDocument/2006/relationships" ref="H187" r:id="rId185"/>
    <hyperlink xmlns:r="http://schemas.openxmlformats.org/officeDocument/2006/relationships" ref="H188" r:id="rId186"/>
    <hyperlink xmlns:r="http://schemas.openxmlformats.org/officeDocument/2006/relationships" ref="H189" r:id="rId187"/>
    <hyperlink xmlns:r="http://schemas.openxmlformats.org/officeDocument/2006/relationships" ref="H190" r:id="rId188"/>
    <hyperlink xmlns:r="http://schemas.openxmlformats.org/officeDocument/2006/relationships" ref="H191" r:id="rId189"/>
    <hyperlink xmlns:r="http://schemas.openxmlformats.org/officeDocument/2006/relationships" ref="H192" r:id="rId190"/>
    <hyperlink xmlns:r="http://schemas.openxmlformats.org/officeDocument/2006/relationships" ref="H193" r:id="rId191"/>
    <hyperlink xmlns:r="http://schemas.openxmlformats.org/officeDocument/2006/relationships" ref="H194" r:id="rId192"/>
    <hyperlink xmlns:r="http://schemas.openxmlformats.org/officeDocument/2006/relationships" ref="H195" r:id="rId193"/>
    <hyperlink xmlns:r="http://schemas.openxmlformats.org/officeDocument/2006/relationships" ref="H196" r:id="rId194"/>
    <hyperlink xmlns:r="http://schemas.openxmlformats.org/officeDocument/2006/relationships" ref="H197" r:id="rId195"/>
    <hyperlink xmlns:r="http://schemas.openxmlformats.org/officeDocument/2006/relationships" ref="H198" r:id="rId196"/>
    <hyperlink xmlns:r="http://schemas.openxmlformats.org/officeDocument/2006/relationships" ref="H199" r:id="rId197"/>
    <hyperlink xmlns:r="http://schemas.openxmlformats.org/officeDocument/2006/relationships" ref="H200" r:id="rId198"/>
    <hyperlink xmlns:r="http://schemas.openxmlformats.org/officeDocument/2006/relationships" ref="H201" r:id="rId199"/>
    <hyperlink xmlns:r="http://schemas.openxmlformats.org/officeDocument/2006/relationships" ref="H202" r:id="rId200"/>
    <hyperlink xmlns:r="http://schemas.openxmlformats.org/officeDocument/2006/relationships" ref="H203" r:id="rId201"/>
    <hyperlink xmlns:r="http://schemas.openxmlformats.org/officeDocument/2006/relationships" ref="H204" r:id="rId202"/>
    <hyperlink xmlns:r="http://schemas.openxmlformats.org/officeDocument/2006/relationships" ref="H205" r:id="rId203"/>
    <hyperlink xmlns:r="http://schemas.openxmlformats.org/officeDocument/2006/relationships" ref="H206" r:id="rId204"/>
    <hyperlink xmlns:r="http://schemas.openxmlformats.org/officeDocument/2006/relationships" ref="H207" r:id="rId205"/>
    <hyperlink xmlns:r="http://schemas.openxmlformats.org/officeDocument/2006/relationships" ref="H208" r:id="rId206"/>
    <hyperlink xmlns:r="http://schemas.openxmlformats.org/officeDocument/2006/relationships" ref="H209" r:id="rId207"/>
    <hyperlink xmlns:r="http://schemas.openxmlformats.org/officeDocument/2006/relationships" ref="H210" r:id="rId208"/>
    <hyperlink xmlns:r="http://schemas.openxmlformats.org/officeDocument/2006/relationships" ref="H211" r:id="rId209"/>
    <hyperlink xmlns:r="http://schemas.openxmlformats.org/officeDocument/2006/relationships" ref="H212" r:id="rId210"/>
    <hyperlink xmlns:r="http://schemas.openxmlformats.org/officeDocument/2006/relationships" ref="H213" r:id="rId211"/>
    <hyperlink xmlns:r="http://schemas.openxmlformats.org/officeDocument/2006/relationships" ref="H214" r:id="rId212"/>
    <hyperlink xmlns:r="http://schemas.openxmlformats.org/officeDocument/2006/relationships" ref="H215" r:id="rId2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2026-10-08T22:24:11Z</dcterms:created>
  <dcterms:modified xmlns:dcterms="http://purl.org/dc/terms/" xmlns:xsi="http://www.w3.org/2001/XMLSchema-instance" xsi:type="dcterms:W3CDTF">2026-10-08T22:24:12Z</dcterms:modified>
</cp:coreProperties>
</file>